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C85CC8E-E871-4C1D-8035-777A126031F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5" i="1" l="1"/>
  <c r="CL255" i="1"/>
  <c r="CK10" i="1"/>
  <c r="CK13" i="1"/>
  <c r="CK14" i="1"/>
  <c r="CK15" i="1"/>
  <c r="CK17" i="1"/>
  <c r="CK18" i="1"/>
  <c r="O5" i="1" l="1"/>
  <c r="P5" i="1"/>
  <c r="P14" i="1" s="1"/>
  <c r="Q5" i="1"/>
  <c r="R5" i="1"/>
  <c r="S5" i="1"/>
  <c r="S14" i="1" s="1"/>
  <c r="T5" i="1"/>
  <c r="T14" i="1" s="1"/>
  <c r="U5" i="1"/>
  <c r="U14" i="1" s="1"/>
  <c r="V5" i="1"/>
  <c r="W5" i="1"/>
  <c r="X5" i="1"/>
  <c r="X14" i="1" s="1"/>
  <c r="Y5" i="1"/>
  <c r="Y14" i="1" s="1"/>
  <c r="Z5" i="1"/>
  <c r="AA5" i="1"/>
  <c r="AA14" i="1" s="1"/>
  <c r="AB5" i="1"/>
  <c r="AC5" i="1"/>
  <c r="AD5" i="1"/>
  <c r="AE5" i="1"/>
  <c r="AE14" i="1" s="1"/>
  <c r="O6" i="1"/>
  <c r="P6" i="1"/>
  <c r="P15" i="1" s="1"/>
  <c r="Q6" i="1"/>
  <c r="R6" i="1"/>
  <c r="S6" i="1"/>
  <c r="S15" i="1" s="1"/>
  <c r="T6" i="1"/>
  <c r="T15" i="1" s="1"/>
  <c r="U6" i="1"/>
  <c r="V6" i="1"/>
  <c r="V15" i="1" s="1"/>
  <c r="W6" i="1"/>
  <c r="W15" i="1" s="1"/>
  <c r="X6" i="1"/>
  <c r="Y6" i="1"/>
  <c r="Z6" i="1"/>
  <c r="Z15" i="1" s="1"/>
  <c r="AA6" i="1"/>
  <c r="AA15" i="1" s="1"/>
  <c r="AB6" i="1"/>
  <c r="AC6" i="1"/>
  <c r="AC15" i="1" s="1"/>
  <c r="AD6" i="1"/>
  <c r="AD15" i="1" s="1"/>
  <c r="AE6" i="1"/>
  <c r="AE15" i="1" s="1"/>
  <c r="O7" i="1"/>
  <c r="P7" i="1"/>
  <c r="Q7" i="1"/>
  <c r="Q16" i="1" s="1"/>
  <c r="R7" i="1"/>
  <c r="R16" i="1" s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O8" i="1"/>
  <c r="P8" i="1"/>
  <c r="P17" i="1" s="1"/>
  <c r="Q8" i="1"/>
  <c r="Q17" i="1" s="1"/>
  <c r="R8" i="1"/>
  <c r="R17" i="1" s="1"/>
  <c r="S8" i="1"/>
  <c r="T8" i="1"/>
  <c r="U8" i="1"/>
  <c r="U17" i="1" s="1"/>
  <c r="V8" i="1"/>
  <c r="V17" i="1" s="1"/>
  <c r="W8" i="1"/>
  <c r="W17" i="1" s="1"/>
  <c r="X8" i="1"/>
  <c r="X17" i="1" s="1"/>
  <c r="Y8" i="1"/>
  <c r="Z8" i="1"/>
  <c r="AA8" i="1"/>
  <c r="AB8" i="1"/>
  <c r="AC8" i="1"/>
  <c r="AC17" i="1" s="1"/>
  <c r="AD8" i="1"/>
  <c r="AD17" i="1" s="1"/>
  <c r="AE8" i="1"/>
  <c r="O9" i="1"/>
  <c r="P9" i="1"/>
  <c r="Q9" i="1"/>
  <c r="R9" i="1"/>
  <c r="R18" i="1" s="1"/>
  <c r="S9" i="1"/>
  <c r="S18" i="1" s="1"/>
  <c r="T9" i="1"/>
  <c r="U9" i="1"/>
  <c r="V9" i="1"/>
  <c r="V18" i="1" s="1"/>
  <c r="W9" i="1"/>
  <c r="W18" i="1" s="1"/>
  <c r="X9" i="1"/>
  <c r="X18" i="1" s="1"/>
  <c r="Y9" i="1"/>
  <c r="Y18" i="1" s="1"/>
  <c r="Z9" i="1"/>
  <c r="AA9" i="1"/>
  <c r="AB9" i="1"/>
  <c r="AC9" i="1"/>
  <c r="AD9" i="1"/>
  <c r="AE9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BV18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CH18" i="1"/>
  <c r="CI18" i="1"/>
  <c r="CJ18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AP13" i="1"/>
  <c r="CJ10" i="1"/>
  <c r="CI10" i="1"/>
  <c r="CH10" i="1"/>
  <c r="CG10" i="1"/>
  <c r="CK19" i="1" s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2" i="1"/>
  <c r="AB25" i="1"/>
  <c r="AC25" i="1"/>
  <c r="AD25" i="1"/>
  <c r="AE25" i="1"/>
  <c r="AB38" i="1"/>
  <c r="AC38" i="1"/>
  <c r="AD38" i="1"/>
  <c r="AE38" i="1"/>
  <c r="AE37" i="1"/>
  <c r="AD37" i="1"/>
  <c r="AC37" i="1"/>
  <c r="AB37" i="1"/>
  <c r="AJ225" i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A83" i="1" s="1"/>
  <c r="AC70" i="2"/>
  <c r="AC94" i="2"/>
  <c r="AD71" i="2"/>
  <c r="AD87" i="2"/>
  <c r="AE67" i="2"/>
  <c r="AF76" i="2"/>
  <c r="AE73" i="2"/>
  <c r="AE77" i="2"/>
  <c r="AE30" i="2"/>
  <c r="AB18" i="2"/>
  <c r="AA41" i="1" s="1"/>
  <c r="AB53" i="2"/>
  <c r="AD72" i="2"/>
  <c r="AD108" i="2"/>
  <c r="AF62" i="2"/>
  <c r="AC49" i="2"/>
  <c r="AE78" i="2"/>
  <c r="AF49" i="2"/>
  <c r="AC72" i="2"/>
  <c r="AF80" i="2"/>
  <c r="AE52" i="2"/>
  <c r="AC79" i="2"/>
  <c r="AC26" i="2"/>
  <c r="AE68" i="2"/>
  <c r="AE50" i="2"/>
  <c r="AB82" i="2"/>
  <c r="AB98" i="2"/>
  <c r="AD99" i="2"/>
  <c r="AC84" i="2"/>
  <c r="AC20" i="2"/>
  <c r="AF48" i="2"/>
  <c r="AC40" i="2"/>
  <c r="AB85" i="2"/>
  <c r="AA186" i="1" s="1"/>
  <c r="AF18" i="2"/>
  <c r="AC73" i="2"/>
  <c r="AB68" i="2"/>
  <c r="AA152" i="1" s="1"/>
  <c r="AE87" i="2"/>
  <c r="AB7" i="2"/>
  <c r="AA25" i="1" s="1"/>
  <c r="AB15" i="2"/>
  <c r="AA39" i="1" s="1"/>
  <c r="AB23" i="2"/>
  <c r="AA51" i="1" s="1"/>
  <c r="AB31" i="2"/>
  <c r="AB42" i="2"/>
  <c r="AA134" i="1" s="1"/>
  <c r="AB50" i="2"/>
  <c r="AA165" i="1" s="1"/>
  <c r="AB58" i="2"/>
  <c r="AC15" i="2"/>
  <c r="AC27" i="2"/>
  <c r="AC42" i="2"/>
  <c r="AC54" i="2"/>
  <c r="AB14" i="2"/>
  <c r="AA36" i="1" s="1"/>
  <c r="AB30" i="2"/>
  <c r="AA55" i="1" s="1"/>
  <c r="AB49" i="2"/>
  <c r="AA179" i="1" s="1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D107" i="2"/>
  <c r="AE91" i="2"/>
  <c r="AE42" i="2"/>
  <c r="AF92" i="2"/>
  <c r="AE97" i="2"/>
  <c r="AE57" i="2"/>
  <c r="AE31" i="2"/>
  <c r="AC96" i="2"/>
  <c r="AC78" i="2"/>
  <c r="AB92" i="2"/>
  <c r="AE99" i="2"/>
  <c r="AD97" i="2"/>
  <c r="AB64" i="2"/>
  <c r="AA149" i="1" s="1"/>
  <c r="AC104" i="2"/>
  <c r="AD83" i="2"/>
  <c r="AF88" i="2"/>
  <c r="AF29" i="2"/>
  <c r="AF47" i="2"/>
  <c r="AB77" i="2"/>
  <c r="AA161" i="1" s="1"/>
  <c r="AE13" i="2"/>
  <c r="AB32" i="2"/>
  <c r="AA61" i="1" s="1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48" i="1" s="1"/>
  <c r="AB71" i="2"/>
  <c r="AA156" i="1" s="1"/>
  <c r="AB79" i="2"/>
  <c r="AA162" i="1" s="1"/>
  <c r="AB87" i="2"/>
  <c r="AA142" i="1" s="1"/>
  <c r="AB95" i="2"/>
  <c r="AA187" i="1" s="1"/>
  <c r="AB107" i="2"/>
  <c r="AA94" i="1" s="1"/>
  <c r="AE104" i="2"/>
  <c r="AF26" i="2"/>
  <c r="AD59" i="2"/>
  <c r="AC18" i="2"/>
  <c r="AC45" i="2"/>
  <c r="AE64" i="2"/>
  <c r="AE76" i="2"/>
  <c r="AE88" i="2"/>
  <c r="AB8" i="2"/>
  <c r="AB43" i="2"/>
  <c r="AA135" i="1" s="1"/>
  <c r="AE15" i="2"/>
  <c r="AB72" i="2"/>
  <c r="AA158" i="1" s="1"/>
  <c r="AB88" i="2"/>
  <c r="AB108" i="2"/>
  <c r="AA95" i="1" s="1"/>
  <c r="AC68" i="2"/>
  <c r="AC92" i="2"/>
  <c r="AC55" i="2"/>
  <c r="AD77" i="2"/>
  <c r="AD93" i="2"/>
  <c r="AC8" i="2"/>
  <c r="AC74" i="2"/>
  <c r="AC98" i="2"/>
  <c r="AE21" i="2"/>
  <c r="AC89" i="2"/>
  <c r="AC28" i="2"/>
  <c r="AF74" i="2"/>
  <c r="AF110" i="2"/>
  <c r="AE71" i="2"/>
  <c r="AE58" i="2"/>
  <c r="AC60" i="2"/>
  <c r="AC24" i="2"/>
  <c r="AE25" i="2"/>
  <c r="AB16" i="2"/>
  <c r="AC47" i="2"/>
  <c r="AB76" i="2"/>
  <c r="AA160" i="1" s="1"/>
  <c r="AE63" i="2"/>
  <c r="AD54" i="2"/>
  <c r="AF94" i="2"/>
  <c r="AC76" i="2"/>
  <c r="AC43" i="2"/>
  <c r="AC110" i="2"/>
  <c r="AD67" i="2"/>
  <c r="AF108" i="2"/>
  <c r="AF5" i="2"/>
  <c r="AF111" i="2" s="1"/>
  <c r="AF56" i="2"/>
  <c r="AC25" i="2"/>
  <c r="AF53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B28" i="2"/>
  <c r="AB60" i="2"/>
  <c r="AE48" i="2"/>
  <c r="AC65" i="2"/>
  <c r="AC77" i="2"/>
  <c r="AD11" i="2"/>
  <c r="AD46" i="2"/>
  <c r="AF90" i="2"/>
  <c r="AE95" i="2"/>
  <c r="AB78" i="2"/>
  <c r="AA176" i="1" s="1"/>
  <c r="AB94" i="2"/>
  <c r="AE11" i="2"/>
  <c r="AE105" i="2"/>
  <c r="AE45" i="2"/>
  <c r="AB34" i="2"/>
  <c r="AD64" i="2"/>
  <c r="AD80" i="2"/>
  <c r="AD88" i="2"/>
  <c r="AD96" i="2"/>
  <c r="AE108" i="2"/>
  <c r="AD31" i="2"/>
  <c r="AC22" i="2"/>
  <c r="AE66" i="2"/>
  <c r="AE90" i="2"/>
  <c r="AF14" i="2"/>
  <c r="AD75" i="2"/>
  <c r="AD91" i="2"/>
  <c r="AC106" i="2"/>
  <c r="AC67" i="2"/>
  <c r="AC91" i="2"/>
  <c r="AB51" i="2"/>
  <c r="AA166" i="1" s="1"/>
  <c r="AE75" i="2"/>
  <c r="AE27" i="2"/>
  <c r="AE109" i="2"/>
  <c r="AE80" i="2"/>
  <c r="AF78" i="2"/>
  <c r="AC16" i="2"/>
  <c r="AB66" i="2"/>
  <c r="AC82" i="2"/>
  <c r="AB62" i="2"/>
  <c r="AC52" i="2"/>
  <c r="AB61" i="2"/>
  <c r="AC93" i="2"/>
  <c r="AB84" i="2"/>
  <c r="AE23" i="2"/>
  <c r="AE69" i="2"/>
  <c r="AB9" i="2"/>
  <c r="AB17" i="2"/>
  <c r="AA37" i="1" s="1"/>
  <c r="AB25" i="2"/>
  <c r="AA52" i="1" s="1"/>
  <c r="AB33" i="2"/>
  <c r="AA62" i="1" s="1"/>
  <c r="AB44" i="2"/>
  <c r="AB52" i="2"/>
  <c r="AA167" i="1" s="1"/>
  <c r="AE6" i="2"/>
  <c r="AE18" i="2"/>
  <c r="AF96" i="2"/>
  <c r="AE106" i="2"/>
  <c r="AD8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59" i="1" s="1"/>
  <c r="AB81" i="2"/>
  <c r="AB89" i="2"/>
  <c r="AB97" i="2"/>
  <c r="AB109" i="2"/>
  <c r="AC109" i="2"/>
  <c r="AF34" i="2"/>
  <c r="AD63" i="2"/>
  <c r="AD81" i="2"/>
  <c r="AE81" i="2"/>
  <c r="AB36" i="2"/>
  <c r="AC53" i="2"/>
  <c r="AE92" i="2"/>
  <c r="AD19" i="2"/>
  <c r="AF21" i="2"/>
  <c r="AC61" i="2"/>
  <c r="AB104" i="2"/>
  <c r="AD73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F6" i="2"/>
  <c r="AB11" i="2"/>
  <c r="AA29" i="1" s="1"/>
  <c r="AB19" i="2"/>
  <c r="AA38" i="1" s="1"/>
  <c r="AB27" i="2"/>
  <c r="AA48" i="1" s="1"/>
  <c r="AB35" i="2"/>
  <c r="AA67" i="1" s="1"/>
  <c r="AB46" i="2"/>
  <c r="AB54" i="2"/>
  <c r="AA169" i="1" s="1"/>
  <c r="AC9" i="2"/>
  <c r="AC21" i="2"/>
  <c r="AC33" i="2"/>
  <c r="AC48" i="2"/>
  <c r="AB6" i="2"/>
  <c r="AA24" i="1" s="1"/>
  <c r="AB22" i="2"/>
  <c r="AB41" i="2"/>
  <c r="AA133" i="1" s="1"/>
  <c r="AB57" i="2"/>
  <c r="AA171" i="1" s="1"/>
  <c r="AD66" i="2"/>
  <c r="AD74" i="2"/>
  <c r="AD82" i="2"/>
  <c r="AD90" i="2"/>
  <c r="AD98" i="2"/>
  <c r="AD110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E46" i="2"/>
  <c r="AE85" i="2"/>
  <c r="AD15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53" i="1" s="1"/>
  <c r="AB75" i="2"/>
  <c r="AA175" i="1" s="1"/>
  <c r="AB83" i="2"/>
  <c r="AA180" i="1" s="1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A163" i="1" s="1"/>
  <c r="AB96" i="2"/>
  <c r="AC32" i="2"/>
  <c r="AC80" i="2"/>
  <c r="AC108" i="2"/>
  <c r="AD69" i="2"/>
  <c r="AD85" i="2"/>
  <c r="AD105" i="2"/>
  <c r="AC62" i="2"/>
  <c r="AC86" i="2"/>
  <c r="AD27" i="2"/>
  <c r="AD61" i="2"/>
  <c r="AF66" i="2"/>
  <c r="AF82" i="2"/>
  <c r="AF98" i="2"/>
  <c r="AE35" i="2"/>
  <c r="AE83" i="2"/>
  <c r="AE7" i="2"/>
  <c r="AB70" i="2"/>
  <c r="AB86" i="2"/>
  <c r="AA151" i="1" s="1"/>
  <c r="AB106" i="2"/>
  <c r="AA93" i="1" s="1"/>
  <c r="AE65" i="2"/>
  <c r="AE89" i="2"/>
  <c r="AB5" i="2"/>
  <c r="AB21" i="2"/>
  <c r="AB40" i="2"/>
  <c r="AB48" i="2"/>
  <c r="AA141" i="1" s="1"/>
  <c r="AE12" i="2"/>
  <c r="AB10" i="2"/>
  <c r="AB26" i="2"/>
  <c r="AB45" i="2"/>
  <c r="AA138" i="1" s="1"/>
  <c r="AD60" i="2"/>
  <c r="AD76" i="2"/>
  <c r="AD84" i="2"/>
  <c r="AC34" i="2"/>
  <c r="AE72" i="2"/>
  <c r="AC99" i="2"/>
  <c r="AC66" i="2"/>
  <c r="AF13" i="2"/>
  <c r="AC13" i="2"/>
  <c r="AF28" i="2"/>
  <c r="AB69" i="2"/>
  <c r="AE5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A31" i="1" s="1"/>
  <c r="AB47" i="2"/>
  <c r="AA140" i="1" s="1"/>
  <c r="AE9" i="2"/>
  <c r="AE33" i="2"/>
  <c r="AC59" i="2"/>
  <c r="AC71" i="2"/>
  <c r="AC83" i="2"/>
  <c r="AE98" i="2"/>
  <c r="AB13" i="2"/>
  <c r="AA40" i="1" s="1"/>
  <c r="AB29" i="2"/>
  <c r="AA63" i="1" s="1"/>
  <c r="AB56" i="2"/>
  <c r="AA143" i="1" s="1"/>
  <c r="AE24" i="2"/>
  <c r="AE36" i="2"/>
  <c r="AE51" i="2"/>
  <c r="AD68" i="2"/>
  <c r="AD92" i="2"/>
  <c r="AD104" i="2"/>
  <c r="AD50" i="2"/>
  <c r="AC10" i="2"/>
  <c r="AE60" i="2"/>
  <c r="AE84" i="2"/>
  <c r="AF30" i="2"/>
  <c r="AC51" i="2"/>
  <c r="AF72" i="2"/>
  <c r="AC90" i="2"/>
  <c r="AF40" i="2"/>
  <c r="AF12" i="2"/>
  <c r="AB93" i="2"/>
  <c r="AA188" i="1" s="1"/>
  <c r="AB105" i="2"/>
  <c r="AE40" i="2"/>
  <c r="AC85" i="2"/>
  <c r="AF64" i="2"/>
  <c r="AD109" i="2"/>
  <c r="AE93" i="2"/>
  <c r="AE13" i="1" l="1"/>
  <c r="R13" i="1"/>
  <c r="AD14" i="1"/>
  <c r="Z17" i="1"/>
  <c r="Q10" i="1"/>
  <c r="Z13" i="1"/>
  <c r="V13" i="1"/>
  <c r="AA42" i="1"/>
  <c r="AA196" i="1"/>
  <c r="AA164" i="1"/>
  <c r="AA195" i="1"/>
  <c r="AA177" i="1"/>
  <c r="P10" i="1"/>
  <c r="AD13" i="1"/>
  <c r="Y13" i="1"/>
  <c r="S13" i="1"/>
  <c r="AF112" i="2"/>
  <c r="AA170" i="1"/>
  <c r="AA189" i="1"/>
  <c r="AA268" i="1"/>
  <c r="AA269" i="1"/>
  <c r="AA210" i="1"/>
  <c r="AA26" i="1"/>
  <c r="AA43" i="1" s="1"/>
  <c r="AA247" i="1"/>
  <c r="AA147" i="1"/>
  <c r="AA150" i="1" s="1"/>
  <c r="AA154" i="1" s="1"/>
  <c r="AA199" i="1"/>
  <c r="AA136" i="1"/>
  <c r="AA144" i="1"/>
  <c r="AA184" i="1"/>
  <c r="AA125" i="1" s="1"/>
  <c r="AA198" i="1"/>
  <c r="AA172" i="1"/>
  <c r="AB112" i="2"/>
  <c r="AA89" i="1" s="1"/>
  <c r="AB111" i="2"/>
  <c r="AB113" i="2"/>
  <c r="AA90" i="1" s="1"/>
  <c r="BE19" i="1"/>
  <c r="BD19" i="1"/>
  <c r="BB19" i="1"/>
  <c r="AY19" i="1"/>
  <c r="AS19" i="1"/>
  <c r="AQ19" i="1"/>
  <c r="BF19" i="1"/>
  <c r="BC19" i="1"/>
  <c r="AV19" i="1"/>
  <c r="AT19" i="1"/>
  <c r="AR19" i="1"/>
  <c r="AB17" i="1"/>
  <c r="AB14" i="1"/>
  <c r="AB15" i="1"/>
  <c r="AU19" i="1"/>
  <c r="BG19" i="1"/>
  <c r="X13" i="1"/>
  <c r="O10" i="1"/>
  <c r="R15" i="1"/>
  <c r="W14" i="1"/>
  <c r="W13" i="1"/>
  <c r="Z10" i="1"/>
  <c r="AE17" i="1"/>
  <c r="S17" i="1"/>
  <c r="Q15" i="1"/>
  <c r="V14" i="1"/>
  <c r="AW19" i="1"/>
  <c r="Y10" i="1"/>
  <c r="Y17" i="1"/>
  <c r="Z18" i="1"/>
  <c r="AX19" i="1"/>
  <c r="AA13" i="1"/>
  <c r="X10" i="1"/>
  <c r="P13" i="1"/>
  <c r="AB13" i="1"/>
  <c r="W10" i="1"/>
  <c r="P18" i="1"/>
  <c r="AZ19" i="1"/>
  <c r="Q13" i="1"/>
  <c r="AC13" i="1"/>
  <c r="V10" i="1"/>
  <c r="AA17" i="1"/>
  <c r="Y15" i="1"/>
  <c r="R14" i="1"/>
  <c r="Q18" i="1"/>
  <c r="AC14" i="1"/>
  <c r="BA19" i="1"/>
  <c r="U10" i="1"/>
  <c r="X15" i="1"/>
  <c r="Q14" i="1"/>
  <c r="T10" i="1"/>
  <c r="T13" i="1"/>
  <c r="S10" i="1"/>
  <c r="T18" i="1"/>
  <c r="U13" i="1"/>
  <c r="R10" i="1"/>
  <c r="P16" i="1"/>
  <c r="U15" i="1"/>
  <c r="Z14" i="1"/>
  <c r="T17" i="1"/>
  <c r="U18" i="1"/>
  <c r="CJ19" i="1"/>
  <c r="CE19" i="1"/>
  <c r="CB19" i="1"/>
  <c r="BY19" i="1"/>
  <c r="BW19" i="1"/>
  <c r="BT19" i="1"/>
  <c r="BQ19" i="1"/>
  <c r="BN19" i="1"/>
  <c r="BK19" i="1"/>
  <c r="CH19" i="1"/>
  <c r="CG19" i="1"/>
  <c r="CD19" i="1"/>
  <c r="CA19" i="1"/>
  <c r="BX19" i="1"/>
  <c r="BU19" i="1"/>
  <c r="BR19" i="1"/>
  <c r="BO19" i="1"/>
  <c r="BM19" i="1"/>
  <c r="BI19" i="1"/>
  <c r="CI19" i="1"/>
  <c r="CF19" i="1"/>
  <c r="CC19" i="1"/>
  <c r="BZ19" i="1"/>
  <c r="BV19" i="1"/>
  <c r="BS19" i="1"/>
  <c r="BP19" i="1"/>
  <c r="BL19" i="1"/>
  <c r="BJ19" i="1"/>
  <c r="BH19" i="1"/>
  <c r="AP19" i="1"/>
  <c r="X19" i="1"/>
  <c r="Y19" i="1"/>
  <c r="AA18" i="1"/>
  <c r="AA10" i="1"/>
  <c r="AB18" i="1"/>
  <c r="AB10" i="1"/>
  <c r="AC18" i="1"/>
  <c r="AC10" i="1"/>
  <c r="AD18" i="1"/>
  <c r="AD10" i="1"/>
  <c r="AD19" i="1" s="1"/>
  <c r="AE18" i="1"/>
  <c r="AE10" i="1"/>
  <c r="AE19" i="1" s="1"/>
  <c r="B1" i="9"/>
  <c r="AE111" i="2"/>
  <c r="AD112" i="2"/>
  <c r="AC112" i="2"/>
  <c r="AC113" i="2"/>
  <c r="AF113" i="2"/>
  <c r="AC111" i="2"/>
  <c r="AE112" i="2"/>
  <c r="AE113" i="2"/>
  <c r="A1" i="9"/>
  <c r="L1" i="9"/>
  <c r="AD113" i="2"/>
  <c r="AA260" i="1" l="1"/>
  <c r="AA32" i="1"/>
  <c r="AA114" i="1"/>
  <c r="AA264" i="1"/>
  <c r="AA262" i="1"/>
  <c r="U19" i="1"/>
  <c r="W19" i="1"/>
  <c r="R19" i="1"/>
  <c r="P19" i="1"/>
  <c r="Q19" i="1"/>
  <c r="Z19" i="1"/>
  <c r="AA19" i="1"/>
  <c r="AA191" i="1"/>
  <c r="AA53" i="1"/>
  <c r="AA49" i="1"/>
  <c r="AA145" i="1"/>
  <c r="AA33" i="1"/>
  <c r="AA44" i="1"/>
  <c r="AA197" i="1"/>
  <c r="AA201" i="1"/>
  <c r="AA200" i="1" s="1"/>
  <c r="AA173" i="1"/>
  <c r="AA181" i="1" s="1"/>
  <c r="T19" i="1"/>
  <c r="V19" i="1"/>
  <c r="AC19" i="1"/>
  <c r="S19" i="1"/>
  <c r="AB19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K255" i="1"/>
  <c r="CK152" i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H168" i="1"/>
  <c r="CJ255" i="1"/>
  <c r="Z255" i="1"/>
  <c r="AA182" i="1" l="1"/>
  <c r="AA45" i="1"/>
  <c r="AA50" i="1"/>
  <c r="AA128" i="1"/>
  <c r="AA248" i="1"/>
  <c r="AA249" i="1" s="1"/>
  <c r="AA202" i="1"/>
  <c r="CI255" i="1"/>
  <c r="CG152" i="1"/>
  <c r="CG255" i="1"/>
  <c r="CH255" i="1"/>
  <c r="AB29" i="1"/>
  <c r="AC29" i="1"/>
  <c r="AD29" i="1"/>
  <c r="AE29" i="1"/>
  <c r="AB30" i="1"/>
  <c r="AC30" i="1"/>
  <c r="AD30" i="1"/>
  <c r="AE30" i="1"/>
  <c r="AB40" i="1"/>
  <c r="AC40" i="1"/>
  <c r="AD40" i="1"/>
  <c r="AE40" i="1"/>
  <c r="AB41" i="1"/>
  <c r="AC41" i="1"/>
  <c r="AD41" i="1"/>
  <c r="AE41" i="1"/>
  <c r="AB63" i="1"/>
  <c r="AC63" i="1"/>
  <c r="AD63" i="1"/>
  <c r="AE63" i="1"/>
  <c r="AB175" i="1"/>
  <c r="AC175" i="1"/>
  <c r="AD175" i="1"/>
  <c r="AE175" i="1"/>
  <c r="AB189" i="1"/>
  <c r="AC189" i="1"/>
  <c r="AD189" i="1"/>
  <c r="AE189" i="1"/>
  <c r="CE152" i="1"/>
  <c r="CE255" i="1"/>
  <c r="CF255" i="1"/>
  <c r="AI213" i="1"/>
  <c r="AI218" i="1"/>
  <c r="AI222" i="1"/>
  <c r="AI225" i="1"/>
  <c r="AI255" i="1"/>
  <c r="Y255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BU152" i="1"/>
  <c r="BW152" i="1"/>
  <c r="BY152" i="1"/>
  <c r="CA152" i="1"/>
  <c r="CC152" i="1"/>
  <c r="CD255" i="1"/>
  <c r="CC255" i="1"/>
  <c r="AJ255" i="1"/>
  <c r="AK255" i="1"/>
  <c r="AL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71" i="1" l="1"/>
  <c r="AA54" i="1"/>
  <c r="Y1" i="1"/>
  <c r="Z1" i="1" s="1"/>
  <c r="AA56" i="1" l="1"/>
  <c r="AA57" i="1"/>
  <c r="AA1" i="1"/>
  <c r="AB1" i="1" s="1"/>
  <c r="AC1" i="1" s="1"/>
  <c r="AD1" i="1" s="1"/>
  <c r="AE1" i="1" s="1"/>
  <c r="AA58" i="1" l="1"/>
  <c r="AA261" i="1" s="1"/>
  <c r="AA250" i="1"/>
  <c r="AA64" i="1"/>
  <c r="A1" i="3"/>
  <c r="AA68" i="1" l="1"/>
  <c r="AA70" i="1"/>
  <c r="AA209" i="1"/>
  <c r="AA211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31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F16" i="3"/>
  <c r="CL36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5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30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N28" i="3"/>
  <c r="BT37" i="3"/>
  <c r="BP40" i="3"/>
  <c r="BG40" i="3"/>
  <c r="BF17" i="3"/>
  <c r="CL37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24" i="1" s="1"/>
  <c r="BH25" i="3"/>
  <c r="BL45" i="3"/>
  <c r="BH27" i="3"/>
  <c r="BH35" i="3"/>
  <c r="BT45" i="3"/>
  <c r="BM25" i="3"/>
  <c r="BI41" i="3"/>
  <c r="BL18" i="3"/>
  <c r="BF35" i="3"/>
  <c r="CL62" i="1" s="1"/>
  <c r="BG11" i="3"/>
  <c r="BE28" i="3"/>
  <c r="BJ8" i="3"/>
  <c r="BF28" i="3"/>
  <c r="CL48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61" i="1" s="1"/>
  <c r="BL7" i="3"/>
  <c r="BN26" i="3"/>
  <c r="BJ46" i="3"/>
  <c r="BL33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C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8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7" i="3" s="1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7" i="1" s="1"/>
  <c r="BH9" i="3"/>
  <c r="BJ28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AA62" i="2"/>
  <c r="Z40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9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AA98" i="2"/>
  <c r="Y90" i="2"/>
  <c r="BD16" i="3"/>
  <c r="Y79" i="2"/>
  <c r="Y63" i="2"/>
  <c r="FA7" i="4" a="1"/>
  <c r="FC16" i="4" a="1"/>
  <c r="EX9" i="4" a="1"/>
  <c r="FF5" i="4" a="1"/>
  <c r="BS12" i="3"/>
  <c r="BS30" i="3"/>
  <c r="BT33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1" i="1" s="1"/>
  <c r="BG5" i="3"/>
  <c r="BG66" i="3" s="1"/>
  <c r="BK25" i="3"/>
  <c r="BF18" i="3"/>
  <c r="CL41" i="1" s="1"/>
  <c r="BT12" i="3"/>
  <c r="BP33" i="3"/>
  <c r="BP13" i="3"/>
  <c r="BG8" i="3"/>
  <c r="BE13" i="3"/>
  <c r="BM17" i="3"/>
  <c r="BK22" i="3"/>
  <c r="BK36" i="3"/>
  <c r="BF15" i="3"/>
  <c r="CL40" i="1" s="1"/>
  <c r="BH34" i="3"/>
  <c r="BM14" i="3"/>
  <c r="BG35" i="3"/>
  <c r="BH15" i="3"/>
  <c r="BJ12" i="3"/>
  <c r="BL31" i="3"/>
  <c r="BH19" i="3"/>
  <c r="BG7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F32" i="3"/>
  <c r="BD22" i="3"/>
  <c r="BC27" i="3"/>
  <c r="BB15" i="3"/>
  <c r="Z107" i="2"/>
  <c r="AA79" i="2"/>
  <c r="AA63" i="2"/>
  <c r="BC28" i="3"/>
  <c r="BC29" i="3"/>
  <c r="BB46" i="3"/>
  <c r="Y96" i="2"/>
  <c r="AA46" i="2"/>
  <c r="Z105" i="2"/>
  <c r="Z65" i="2"/>
  <c r="BD38" i="3"/>
  <c r="Z27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63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39" i="1" s="1"/>
  <c r="BH33" i="3"/>
  <c r="BL25" i="3"/>
  <c r="BL17" i="3"/>
  <c r="BP6" i="3"/>
  <c r="BP8" i="3"/>
  <c r="BG32" i="3"/>
  <c r="BL8" i="3"/>
  <c r="BF25" i="3"/>
  <c r="CL52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L15" i="3"/>
  <c r="BF45" i="3"/>
  <c r="CL79" i="1" s="1"/>
  <c r="AA61" i="2"/>
  <c r="AA17" i="2"/>
  <c r="Y46" i="2"/>
  <c r="Y23" i="2"/>
  <c r="AA105" i="2"/>
  <c r="Z64" i="2"/>
  <c r="BC18" i="3"/>
  <c r="AA9" i="2"/>
  <c r="Y71" i="2"/>
  <c r="BC7" i="3"/>
  <c r="Y8" i="2"/>
  <c r="BA8" i="3"/>
  <c r="BC40" i="3"/>
  <c r="Y105" i="2"/>
  <c r="FC14" i="4" a="1"/>
  <c r="EX13" i="4" a="1"/>
  <c r="FC15" i="4" a="1"/>
  <c r="BS18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55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34" i="3"/>
  <c r="BF24" i="3"/>
  <c r="BT9" i="3"/>
  <c r="BP14" i="3"/>
  <c r="BI33" i="3"/>
  <c r="BN9" i="3"/>
  <c r="BH26" i="3"/>
  <c r="BK19" i="3"/>
  <c r="BK35" i="3"/>
  <c r="BJ40" i="3"/>
  <c r="AB39" i="3"/>
  <c r="AA86" i="2"/>
  <c r="BA33" i="3"/>
  <c r="Y27" i="2"/>
  <c r="Y53" i="2"/>
  <c r="EY15" i="4" a="1"/>
  <c r="BS24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80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BS38" i="3"/>
  <c r="BE19" i="3"/>
  <c r="BH41" i="3"/>
  <c r="BJ15" i="3"/>
  <c r="Y12" i="2"/>
  <c r="Y20" i="2"/>
  <c r="AA11" i="2"/>
  <c r="BC19" i="3"/>
  <c r="AA73" i="2"/>
  <c r="Z94" i="2"/>
  <c r="Y30" i="2"/>
  <c r="BD7" i="3"/>
  <c r="BA11" i="3"/>
  <c r="BB10" i="3"/>
  <c r="BD5" i="3"/>
  <c r="AA59" i="2"/>
  <c r="FD7" i="4" a="1"/>
  <c r="FA15" i="4" a="1"/>
  <c r="FB14" i="4" a="1"/>
  <c r="FB11" i="4" a="1"/>
  <c r="FD5" i="4" a="1"/>
  <c r="FE14" i="4" a="1"/>
  <c r="FB5" i="4" a="1"/>
  <c r="FE15" i="4" a="1"/>
  <c r="BB42" i="3"/>
  <c r="BD34" i="3"/>
  <c r="FF14" i="4" a="1"/>
  <c r="AA64" i="2"/>
  <c r="Y40" i="2"/>
  <c r="AA45" i="2"/>
  <c r="EZ8" i="4" a="1"/>
  <c r="Z93" i="2"/>
  <c r="FA12" i="4" a="1"/>
  <c r="BC30" i="3"/>
  <c r="Z32" i="2"/>
  <c r="FE12" i="4" a="1"/>
  <c r="BB27" i="3"/>
  <c r="FB15" i="4" a="1"/>
  <c r="AA56" i="2"/>
  <c r="BC33" i="3"/>
  <c r="Z69" i="2"/>
  <c r="FD16" i="4" a="1"/>
  <c r="BG26" i="3"/>
  <c r="BM23" i="3"/>
  <c r="BJ38" i="3"/>
  <c r="BJ27" i="3"/>
  <c r="AA40" i="2"/>
  <c r="AA47" i="2"/>
  <c r="Y19" i="2"/>
  <c r="Z70" i="2"/>
  <c r="BA36" i="3"/>
  <c r="Y16" i="2"/>
  <c r="AA12" i="2"/>
  <c r="Y82" i="2"/>
  <c r="BC36" i="3"/>
  <c r="BB31" i="3"/>
  <c r="AA69" i="2"/>
  <c r="AA75" i="2"/>
  <c r="Y110" i="2"/>
  <c r="EY14" i="4" a="1"/>
  <c r="EY13" i="4" a="1"/>
  <c r="FB12" i="4" a="1"/>
  <c r="FA14" i="4" a="1"/>
  <c r="BA10" i="3"/>
  <c r="FC5" i="4" a="1"/>
  <c r="FC13" i="4" a="1"/>
  <c r="FE13" i="4" a="1"/>
  <c r="Y93" i="2"/>
  <c r="Z34" i="2"/>
  <c r="EZ11" i="4" a="1"/>
  <c r="Z63" i="2"/>
  <c r="Y92" i="2"/>
  <c r="Z84" i="2"/>
  <c r="EX6" i="4" a="1"/>
  <c r="AA78" i="2"/>
  <c r="BD14" i="3"/>
  <c r="BN7" i="3"/>
  <c r="BK40" i="3"/>
  <c r="BJ14" i="3"/>
  <c r="BH32" i="3"/>
  <c r="Y85" i="2"/>
  <c r="BC38" i="3"/>
  <c r="Y58" i="2"/>
  <c r="Z95" i="2"/>
  <c r="BC39" i="3"/>
  <c r="AA20" i="2"/>
  <c r="Y55" i="2"/>
  <c r="AA60" i="2"/>
  <c r="BC23" i="3"/>
  <c r="Y52" i="2"/>
  <c r="Z78" i="2"/>
  <c r="FA6" i="4" a="1"/>
  <c r="EY8" i="4" a="1"/>
  <c r="BF31" i="3"/>
  <c r="BH20" i="3"/>
  <c r="BN36" i="3"/>
  <c r="BK5" i="3"/>
  <c r="Y94" i="2"/>
  <c r="BC37" i="3"/>
  <c r="AA48" i="2"/>
  <c r="Z80" i="2"/>
  <c r="BB5" i="3"/>
  <c r="Y109" i="2"/>
  <c r="Z74" i="2"/>
  <c r="AA82" i="2"/>
  <c r="Y48" i="2"/>
  <c r="BB6" i="3"/>
  <c r="Z33" i="2"/>
  <c r="Y89" i="2"/>
  <c r="AA15" i="2"/>
  <c r="EZ12" i="4" a="1"/>
  <c r="FF11" i="4" a="1"/>
  <c r="EY12" i="4" a="1"/>
  <c r="EX14" i="4" a="1"/>
  <c r="EZ6" i="4" a="1"/>
  <c r="BK9" i="3"/>
  <c r="BJ39" i="3"/>
  <c r="BJ22" i="3"/>
  <c r="BG9" i="3"/>
  <c r="Z67" i="2"/>
  <c r="BA20" i="3"/>
  <c r="Z14" i="2"/>
  <c r="Z91" i="2"/>
  <c r="BB14" i="3"/>
  <c r="Z31" i="2"/>
  <c r="Y74" i="2"/>
  <c r="Y56" i="2"/>
  <c r="Y95" i="2"/>
  <c r="FF12" i="4" a="1"/>
  <c r="FE11" i="4" a="1"/>
  <c r="Z97" i="2"/>
  <c r="Z45" i="2"/>
  <c r="Z8" i="2"/>
  <c r="EZ7" i="4" a="1"/>
  <c r="BC13" i="3"/>
  <c r="FC12" i="4" a="1"/>
  <c r="AA32" i="2"/>
  <c r="BB39" i="3"/>
  <c r="BM30" i="3"/>
  <c r="BE20" i="3"/>
  <c r="BT13" i="3"/>
  <c r="BG21" i="3"/>
  <c r="Z48" i="2"/>
  <c r="BB32" i="3"/>
  <c r="Z5" i="2"/>
  <c r="Y61" i="2"/>
  <c r="BC42" i="3"/>
  <c r="AA74" i="2"/>
  <c r="AA13" i="2"/>
  <c r="BB13" i="3"/>
  <c r="BA34" i="3"/>
  <c r="Y87" i="2"/>
  <c r="FF6" i="4" a="1"/>
  <c r="BC46" i="3"/>
  <c r="FD6" i="4" a="1"/>
  <c r="FC6" i="4" a="1"/>
  <c r="Z58" i="2"/>
  <c r="BB11" i="3"/>
  <c r="BC5" i="3"/>
  <c r="BH37" i="3"/>
  <c r="BI40" i="3"/>
  <c r="BT31" i="3"/>
  <c r="BG25" i="3"/>
  <c r="Y36" i="2"/>
  <c r="BC16" i="3"/>
  <c r="Z49" i="2"/>
  <c r="Z29" i="2"/>
  <c r="BD35" i="3"/>
  <c r="Z75" i="2"/>
  <c r="Y57" i="2"/>
  <c r="BD41" i="3"/>
  <c r="Z83" i="2"/>
  <c r="BD12" i="3"/>
  <c r="Y54" i="2"/>
  <c r="FF15" i="4" a="1"/>
  <c r="FD11" i="4" a="1"/>
  <c r="Y47" i="2"/>
  <c r="EX16" i="4" a="1"/>
  <c r="EY16" i="4" a="1"/>
  <c r="BA7" i="3"/>
  <c r="FB6" i="4" a="1"/>
  <c r="BD24" i="3"/>
  <c r="BG14" i="3"/>
  <c r="Z20" i="2"/>
  <c r="BB26" i="3"/>
  <c r="EY11" i="4" a="1"/>
  <c r="BT24" i="3"/>
  <c r="BF36" i="3"/>
  <c r="BP20" i="3"/>
  <c r="BG37" i="3"/>
  <c r="AA14" i="2"/>
  <c r="BD39" i="3"/>
  <c r="Z11" i="2"/>
  <c r="Z86" i="2"/>
  <c r="BB21" i="3"/>
  <c r="BD28" i="3"/>
  <c r="FE8" i="4" a="1"/>
  <c r="BC26" i="3"/>
  <c r="FA5" i="4" a="1"/>
  <c r="BJ36" i="3"/>
  <c r="C5" i="2"/>
  <c r="EY5" i="4" a="1"/>
  <c r="FF7" i="4" a="1"/>
  <c r="BP37" i="3"/>
  <c r="BP34" i="3"/>
  <c r="BM40" i="3"/>
  <c r="Z36" i="2"/>
  <c r="BD37" i="3"/>
  <c r="AA91" i="2"/>
  <c r="Z15" i="2"/>
  <c r="BA27" i="3"/>
  <c r="Z85" i="2"/>
  <c r="AA70" i="2"/>
  <c r="AV10" i="3"/>
  <c r="Z16" i="2"/>
  <c r="Y70" i="2"/>
  <c r="BD15" i="3"/>
  <c r="Z51" i="2"/>
  <c r="BC24" i="3"/>
  <c r="FC7" i="4" a="1"/>
  <c r="FB13" i="4" a="1"/>
  <c r="FF8" i="4" a="1"/>
  <c r="EX8" i="4" a="1"/>
  <c r="AA22" i="2"/>
  <c r="Z73" i="2"/>
  <c r="Z17" i="2"/>
  <c r="FA16" i="4" a="1"/>
  <c r="BD10" i="3"/>
  <c r="Y34" i="2"/>
  <c r="BA18" i="3"/>
  <c r="BP23" i="3"/>
  <c r="BH17" i="3"/>
  <c r="BK34" i="3"/>
  <c r="BH45" i="3"/>
  <c r="Z108" i="2"/>
  <c r="BB37" i="3"/>
  <c r="AA50" i="2"/>
  <c r="AA88" i="2"/>
  <c r="AA95" i="2"/>
  <c r="FF9" i="4" a="1"/>
  <c r="EZ5" i="4" a="1"/>
  <c r="Z106" i="2"/>
  <c r="BJ11" i="3"/>
  <c r="BI9" i="3"/>
  <c r="BF22" i="3"/>
  <c r="BK38" i="3"/>
  <c r="BN16" i="3"/>
  <c r="Z22" i="2"/>
  <c r="BC15" i="3"/>
  <c r="Z77" i="2"/>
  <c r="BA6" i="3"/>
  <c r="FA8" i="4" a="1"/>
  <c r="Y91" i="2"/>
  <c r="EX5" i="4" a="1"/>
  <c r="CL26" i="1" l="1"/>
  <c r="CL247" i="1"/>
  <c r="CL210" i="1"/>
  <c r="CL269" i="1"/>
  <c r="CL268" i="1"/>
  <c r="CL42" i="1"/>
  <c r="CL43" i="1" s="1"/>
  <c r="CL81" i="1"/>
  <c r="CK25" i="1"/>
  <c r="CK80" i="1"/>
  <c r="CK67" i="1"/>
  <c r="CK30" i="1"/>
  <c r="CK41" i="1"/>
  <c r="CK51" i="1"/>
  <c r="CK79" i="1"/>
  <c r="CK81" i="1" s="1"/>
  <c r="CK63" i="1"/>
  <c r="CK62" i="1"/>
  <c r="CK55" i="1"/>
  <c r="CK37" i="1"/>
  <c r="CK29" i="1"/>
  <c r="CK48" i="1"/>
  <c r="CK38" i="1"/>
  <c r="CK24" i="1"/>
  <c r="CK11" i="1" s="1"/>
  <c r="CK31" i="1"/>
  <c r="CK52" i="1"/>
  <c r="CK36" i="1"/>
  <c r="CK40" i="1"/>
  <c r="CK39" i="1"/>
  <c r="CK61" i="1"/>
  <c r="CK26" i="1"/>
  <c r="CL28" i="1" s="1"/>
  <c r="CK42" i="1"/>
  <c r="CK43" i="1" s="1"/>
  <c r="Z63" i="1"/>
  <c r="CH61" i="1"/>
  <c r="CH31" i="1"/>
  <c r="X142" i="1"/>
  <c r="X170" i="1" s="1"/>
  <c r="Z138" i="1"/>
  <c r="CH138" i="1" s="1"/>
  <c r="CI138" i="1" s="1"/>
  <c r="Z39" i="1"/>
  <c r="Z171" i="1"/>
  <c r="CH171" i="1" s="1"/>
  <c r="CH55" i="1"/>
  <c r="CJ61" i="1"/>
  <c r="CJ25" i="1"/>
  <c r="X83" i="1"/>
  <c r="Y134" i="1"/>
  <c r="X63" i="1"/>
  <c r="Y37" i="1"/>
  <c r="X148" i="1"/>
  <c r="X133" i="1"/>
  <c r="Y133" i="1"/>
  <c r="Y25" i="1"/>
  <c r="Z187" i="1"/>
  <c r="Z94" i="1"/>
  <c r="Y166" i="1"/>
  <c r="Y148" i="1"/>
  <c r="X169" i="1"/>
  <c r="Y135" i="1"/>
  <c r="Y188" i="1"/>
  <c r="CI62" i="1"/>
  <c r="Y176" i="1"/>
  <c r="Z175" i="1"/>
  <c r="X41" i="1"/>
  <c r="CH48" i="1"/>
  <c r="CH210" i="1" s="1"/>
  <c r="CJ39" i="1"/>
  <c r="CI63" i="1"/>
  <c r="CJ40" i="1"/>
  <c r="CH51" i="1"/>
  <c r="CG52" i="1"/>
  <c r="X162" i="1"/>
  <c r="Y143" i="1"/>
  <c r="X94" i="1"/>
  <c r="Z52" i="1"/>
  <c r="Z180" i="1"/>
  <c r="CH180" i="1" s="1"/>
  <c r="CI180" i="1" s="1"/>
  <c r="X187" i="1"/>
  <c r="Y62" i="1"/>
  <c r="Z179" i="1"/>
  <c r="CH179" i="1" s="1"/>
  <c r="CI179" i="1" s="1"/>
  <c r="Y167" i="1"/>
  <c r="X167" i="1"/>
  <c r="X48" i="1"/>
  <c r="X210" i="1" s="1"/>
  <c r="Z153" i="1"/>
  <c r="CH153" i="1" s="1"/>
  <c r="CI153" i="1" s="1"/>
  <c r="CH29" i="1"/>
  <c r="CG41" i="1"/>
  <c r="CJ37" i="1"/>
  <c r="Y48" i="1"/>
  <c r="Y156" i="1"/>
  <c r="Z135" i="1"/>
  <c r="CH135" i="1" s="1"/>
  <c r="CJ30" i="1"/>
  <c r="CG61" i="1"/>
  <c r="CG51" i="1"/>
  <c r="CI24" i="1"/>
  <c r="CG29" i="1"/>
  <c r="CG38" i="1"/>
  <c r="CH62" i="1"/>
  <c r="CH24" i="1"/>
  <c r="CH67" i="1"/>
  <c r="CG31" i="1"/>
  <c r="CJ52" i="1"/>
  <c r="CI61" i="1"/>
  <c r="CJ36" i="1"/>
  <c r="CN36" i="1" s="1"/>
  <c r="CR36" i="1" s="1"/>
  <c r="CV36" i="1" s="1"/>
  <c r="CZ36" i="1" s="1"/>
  <c r="X151" i="1"/>
  <c r="X147" i="1" s="1"/>
  <c r="Y142" i="1"/>
  <c r="Y170" i="1" s="1"/>
  <c r="Z51" i="1"/>
  <c r="Y61" i="1"/>
  <c r="X153" i="1"/>
  <c r="Y180" i="1"/>
  <c r="X25" i="1"/>
  <c r="X188" i="1"/>
  <c r="Z48" i="1"/>
  <c r="X143" i="1"/>
  <c r="X141" i="1"/>
  <c r="CI51" i="1"/>
  <c r="CH30" i="1"/>
  <c r="CI38" i="1"/>
  <c r="CH63" i="1"/>
  <c r="CJ80" i="1"/>
  <c r="CI80" i="1" s="1"/>
  <c r="CH80" i="1" s="1"/>
  <c r="CG80" i="1" s="1"/>
  <c r="CF80" i="1" s="1"/>
  <c r="CE80" i="1" s="1"/>
  <c r="CD80" i="1" s="1"/>
  <c r="CC80" i="1" s="1"/>
  <c r="CB80" i="1" s="1"/>
  <c r="CA80" i="1" s="1"/>
  <c r="BZ80" i="1" s="1"/>
  <c r="BY80" i="1" s="1"/>
  <c r="BX80" i="1" s="1"/>
  <c r="BW80" i="1" s="1"/>
  <c r="BV80" i="1" s="1"/>
  <c r="BU80" i="1" s="1"/>
  <c r="BT80" i="1" s="1"/>
  <c r="BS80" i="1" s="1"/>
  <c r="BR80" i="1" s="1"/>
  <c r="BQ80" i="1" s="1"/>
  <c r="BP80" i="1" s="1"/>
  <c r="BO80" i="1" s="1"/>
  <c r="BN80" i="1" s="1"/>
  <c r="BM80" i="1" s="1"/>
  <c r="BL80" i="1" s="1"/>
  <c r="BK80" i="1" s="1"/>
  <c r="BJ80" i="1" s="1"/>
  <c r="BI80" i="1" s="1"/>
  <c r="BH80" i="1" s="1"/>
  <c r="BG80" i="1" s="1"/>
  <c r="BF80" i="1" s="1"/>
  <c r="BE80" i="1" s="1"/>
  <c r="BD80" i="1" s="1"/>
  <c r="BC80" i="1" s="1"/>
  <c r="BB80" i="1" s="1"/>
  <c r="BA80" i="1" s="1"/>
  <c r="AZ80" i="1" s="1"/>
  <c r="AY80" i="1" s="1"/>
  <c r="AX80" i="1" s="1"/>
  <c r="AW80" i="1" s="1"/>
  <c r="AV80" i="1" s="1"/>
  <c r="AU80" i="1" s="1"/>
  <c r="AT80" i="1" s="1"/>
  <c r="AS80" i="1" s="1"/>
  <c r="AR80" i="1" s="1"/>
  <c r="AQ80" i="1" s="1"/>
  <c r="AP80" i="1" s="1"/>
  <c r="AO80" i="1" s="1"/>
  <c r="AN80" i="1" s="1"/>
  <c r="AM80" i="1" s="1"/>
  <c r="AL80" i="1" s="1"/>
  <c r="AK80" i="1" s="1"/>
  <c r="AJ80" i="1" s="1"/>
  <c r="AI80" i="1" s="1"/>
  <c r="CG39" i="1"/>
  <c r="CJ48" i="1"/>
  <c r="CG30" i="1"/>
  <c r="Z62" i="1"/>
  <c r="Z167" i="1"/>
  <c r="CH167" i="1" s="1"/>
  <c r="X55" i="1"/>
  <c r="Z61" i="1"/>
  <c r="X161" i="1"/>
  <c r="Y138" i="1"/>
  <c r="X171" i="1"/>
  <c r="Z40" i="1"/>
  <c r="X138" i="1"/>
  <c r="Z149" i="1"/>
  <c r="CH149" i="1" s="1"/>
  <c r="CI149" i="1" s="1"/>
  <c r="Z156" i="1"/>
  <c r="Z31" i="1"/>
  <c r="X29" i="1"/>
  <c r="Y93" i="1"/>
  <c r="Y186" i="1"/>
  <c r="Z186" i="1"/>
  <c r="X140" i="1"/>
  <c r="Y67" i="1"/>
  <c r="Y41" i="1"/>
  <c r="Y175" i="1"/>
  <c r="Z134" i="1"/>
  <c r="CH134" i="1" s="1"/>
  <c r="CI134" i="1" s="1"/>
  <c r="Y51" i="1"/>
  <c r="Y171" i="1"/>
  <c r="Z95" i="1"/>
  <c r="Z159" i="1"/>
  <c r="CH159" i="1" s="1"/>
  <c r="Z143" i="1"/>
  <c r="CH143" i="1" s="1"/>
  <c r="CI143" i="1" s="1"/>
  <c r="Y159" i="1"/>
  <c r="Y24" i="1"/>
  <c r="Y11" i="1" s="1"/>
  <c r="CG62" i="1"/>
  <c r="CJ79" i="1"/>
  <c r="CI79" i="1" s="1"/>
  <c r="CH79" i="1" s="1"/>
  <c r="CG79" i="1" s="1"/>
  <c r="CF79" i="1" s="1"/>
  <c r="CE79" i="1" s="1"/>
  <c r="CD79" i="1" s="1"/>
  <c r="CC79" i="1" s="1"/>
  <c r="CB79" i="1" s="1"/>
  <c r="CA79" i="1" s="1"/>
  <c r="BZ79" i="1" s="1"/>
  <c r="BY79" i="1" s="1"/>
  <c r="BX79" i="1" s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K79" i="1" s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AK79" i="1" s="1"/>
  <c r="AJ79" i="1" s="1"/>
  <c r="AI79" i="1" s="1"/>
  <c r="CH41" i="1"/>
  <c r="CH38" i="1"/>
  <c r="CJ62" i="1"/>
  <c r="CG48" i="1"/>
  <c r="CI67" i="1"/>
  <c r="CI55" i="1"/>
  <c r="CG67" i="1"/>
  <c r="CH39" i="1"/>
  <c r="CJ24" i="1"/>
  <c r="CJ11" i="1" s="1"/>
  <c r="CI39" i="1"/>
  <c r="CJ31" i="1"/>
  <c r="CJ29" i="1"/>
  <c r="CG24" i="1"/>
  <c r="CI37" i="1"/>
  <c r="CH36" i="1"/>
  <c r="CP36" i="1" s="1"/>
  <c r="CT36" i="1" s="1"/>
  <c r="CX36" i="1" s="1"/>
  <c r="DB36" i="1" s="1"/>
  <c r="CI48" i="1"/>
  <c r="CI210" i="1" s="1"/>
  <c r="CG40" i="1"/>
  <c r="X176" i="1"/>
  <c r="Y152" i="1"/>
  <c r="Y39" i="1"/>
  <c r="Z133" i="1"/>
  <c r="X52" i="1"/>
  <c r="Y151" i="1"/>
  <c r="Y147" i="1" s="1"/>
  <c r="Y63" i="1"/>
  <c r="Y31" i="1"/>
  <c r="X156" i="1"/>
  <c r="Y38" i="1"/>
  <c r="X39" i="1"/>
  <c r="X165" i="1"/>
  <c r="X93" i="1"/>
  <c r="Y163" i="1"/>
  <c r="Y187" i="1"/>
  <c r="Z160" i="1"/>
  <c r="Z148" i="1"/>
  <c r="CH148" i="1" s="1"/>
  <c r="Y162" i="1"/>
  <c r="Z29" i="1"/>
  <c r="Z24" i="1"/>
  <c r="Z11" i="1" s="1"/>
  <c r="Y161" i="1"/>
  <c r="Z67" i="1"/>
  <c r="Z165" i="1"/>
  <c r="CH165" i="1" s="1"/>
  <c r="Z151" i="1"/>
  <c r="Y29" i="1"/>
  <c r="Y179" i="1"/>
  <c r="X62" i="1"/>
  <c r="X163" i="1"/>
  <c r="Z162" i="1"/>
  <c r="CH162" i="1" s="1"/>
  <c r="Z55" i="1"/>
  <c r="Y36" i="1"/>
  <c r="X179" i="1"/>
  <c r="Z141" i="1"/>
  <c r="CH141" i="1" s="1"/>
  <c r="CI141" i="1" s="1"/>
  <c r="X95" i="1"/>
  <c r="X38" i="1"/>
  <c r="X134" i="1"/>
  <c r="Y83" i="1"/>
  <c r="Z93" i="1"/>
  <c r="X37" i="1"/>
  <c r="X135" i="1"/>
  <c r="Y94" i="1"/>
  <c r="Z142" i="1"/>
  <c r="CH142" i="1" s="1"/>
  <c r="CI142" i="1" s="1"/>
  <c r="Y52" i="1"/>
  <c r="Y140" i="1"/>
  <c r="X24" i="1"/>
  <c r="X11" i="1" s="1"/>
  <c r="CI40" i="1"/>
  <c r="CJ55" i="1"/>
  <c r="CH40" i="1"/>
  <c r="CI30" i="1"/>
  <c r="CJ51" i="1"/>
  <c r="CI31" i="1"/>
  <c r="CI29" i="1"/>
  <c r="CG55" i="1"/>
  <c r="CG36" i="1"/>
  <c r="CH52" i="1"/>
  <c r="CI52" i="1"/>
  <c r="CI36" i="1"/>
  <c r="CM36" i="1" s="1"/>
  <c r="CQ36" i="1" s="1"/>
  <c r="CU36" i="1" s="1"/>
  <c r="CY36" i="1" s="1"/>
  <c r="CJ38" i="1"/>
  <c r="CJ41" i="1"/>
  <c r="CH37" i="1"/>
  <c r="CE55" i="1"/>
  <c r="CG63" i="1"/>
  <c r="CJ63" i="1"/>
  <c r="CG25" i="1"/>
  <c r="CG37" i="1"/>
  <c r="CI41" i="1"/>
  <c r="CJ67" i="1"/>
  <c r="CH25" i="1"/>
  <c r="CI25" i="1"/>
  <c r="Y158" i="1"/>
  <c r="X67" i="1"/>
  <c r="Z140" i="1"/>
  <c r="CH140" i="1" s="1"/>
  <c r="CI140" i="1" s="1"/>
  <c r="Y149" i="1"/>
  <c r="Y40" i="1"/>
  <c r="X61" i="1"/>
  <c r="Z188" i="1"/>
  <c r="X31" i="1"/>
  <c r="Y165" i="1"/>
  <c r="Z176" i="1"/>
  <c r="CH176" i="1" s="1"/>
  <c r="X158" i="1"/>
  <c r="Y169" i="1"/>
  <c r="Y55" i="1"/>
  <c r="Z25" i="1"/>
  <c r="Z166" i="1"/>
  <c r="CH166" i="1" s="1"/>
  <c r="Y95" i="1"/>
  <c r="X51" i="1"/>
  <c r="X152" i="1"/>
  <c r="Z152" i="1"/>
  <c r="CH152" i="1" s="1"/>
  <c r="CI152" i="1" s="1"/>
  <c r="Z163" i="1"/>
  <c r="CH163" i="1" s="1"/>
  <c r="X149" i="1"/>
  <c r="Z36" i="1"/>
  <c r="Z161" i="1"/>
  <c r="CH161" i="1" s="1"/>
  <c r="Z158" i="1"/>
  <c r="CH158" i="1" s="1"/>
  <c r="X175" i="1"/>
  <c r="X166" i="1"/>
  <c r="Y141" i="1"/>
  <c r="Z37" i="1"/>
  <c r="Z38" i="1"/>
  <c r="Z83" i="1"/>
  <c r="Z41" i="1"/>
  <c r="X160" i="1"/>
  <c r="Y153" i="1"/>
  <c r="Y160" i="1"/>
  <c r="X180" i="1"/>
  <c r="X40" i="1"/>
  <c r="X36" i="1"/>
  <c r="Z169" i="1"/>
  <c r="CH169" i="1" s="1"/>
  <c r="X159" i="1"/>
  <c r="X186" i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1" i="1" s="1"/>
  <c r="BB92" i="3"/>
  <c r="BB85" i="3"/>
  <c r="BB89" i="3"/>
  <c r="BG93" i="3"/>
  <c r="BH76" i="3"/>
  <c r="BF90" i="3"/>
  <c r="CL142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1" i="1" s="1"/>
  <c r="BF85" i="3"/>
  <c r="CL163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5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BK84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8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H59" i="3"/>
  <c r="BK70" i="3"/>
  <c r="BF87" i="3"/>
  <c r="CL168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0" i="1" s="1"/>
  <c r="BU82" i="3"/>
  <c r="BU93" i="3"/>
  <c r="BR86" i="3"/>
  <c r="BR47" i="3"/>
  <c r="BR97" i="3"/>
  <c r="BV95" i="3"/>
  <c r="BV61" i="3"/>
  <c r="BV69" i="3"/>
  <c r="BP50" i="3"/>
  <c r="BP67" i="3"/>
  <c r="BF79" i="3"/>
  <c r="CL159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0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4" i="1" s="1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9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GV15" i="4" a="1"/>
  <c r="FR16" i="4" a="1"/>
  <c r="GP16" i="4" a="1"/>
  <c r="FS12" i="4" a="1"/>
  <c r="HG9" i="4" a="1"/>
  <c r="FV14" i="4" a="1"/>
  <c r="FM11" i="4" a="1"/>
  <c r="FY11" i="4" a="1"/>
  <c r="BV48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8" i="1" s="1"/>
  <c r="BQ70" i="3"/>
  <c r="BQ67" i="3"/>
  <c r="BQ96" i="3"/>
  <c r="BR92" i="3"/>
  <c r="BV56" i="3"/>
  <c r="BT50" i="3"/>
  <c r="BN92" i="3"/>
  <c r="BO76" i="3"/>
  <c r="BO67" i="3"/>
  <c r="BS71" i="3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9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H6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T4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9" i="1" s="1"/>
  <c r="CL199" i="1" s="1"/>
  <c r="BF66" i="3"/>
  <c r="CL167" i="1" s="1"/>
  <c r="BQ79" i="3"/>
  <c r="BQ71" i="3"/>
  <c r="BU72" i="3"/>
  <c r="BG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5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6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BH70" i="3"/>
  <c r="BE56" i="3"/>
  <c r="BG77" i="3"/>
  <c r="BI97" i="3"/>
  <c r="BH82" i="3"/>
  <c r="BI57" i="3"/>
  <c r="BR63" i="3"/>
  <c r="BO89" i="3"/>
  <c r="BS86" i="3"/>
  <c r="BU97" i="3"/>
  <c r="BR83" i="3"/>
  <c r="BV87" i="3"/>
  <c r="BT85" i="3"/>
  <c r="BN75" i="3"/>
  <c r="BN85" i="3"/>
  <c r="AA113" i="2"/>
  <c r="BO93" i="3"/>
  <c r="BG82" i="3"/>
  <c r="BE47" i="3"/>
  <c r="BI77" i="3"/>
  <c r="BF68" i="3"/>
  <c r="CL150" i="1" s="1"/>
  <c r="BJ60" i="3"/>
  <c r="BJ48" i="3"/>
  <c r="BJ77" i="3"/>
  <c r="BK58" i="3"/>
  <c r="BK91" i="3"/>
  <c r="FM5" i="4" a="1"/>
  <c r="GY6" i="4" a="1"/>
  <c r="FQ7" i="4" a="1"/>
  <c r="GX11" i="4" a="1"/>
  <c r="FO5" i="4" a="1"/>
  <c r="HA7" i="4" a="1"/>
  <c r="GR8" i="4" a="1"/>
  <c r="HG13" i="4" a="1"/>
  <c r="GF6" i="4" a="1"/>
  <c r="GY8" i="4" a="1"/>
  <c r="GZ9" i="4" a="1"/>
  <c r="GS14" i="4" a="1"/>
  <c r="FO7" i="4" a="1"/>
  <c r="FR6" i="4" a="1"/>
  <c r="FX11" i="4" a="1"/>
  <c r="GZ7" i="4" a="1"/>
  <c r="FV6" i="4" a="1"/>
  <c r="FJ6" i="4" a="1"/>
  <c r="GZ12" i="4" a="1"/>
  <c r="GD5" i="4" a="1"/>
  <c r="GO8" i="4" a="1"/>
  <c r="GV9" i="4" a="1"/>
  <c r="GK14" i="4" a="1"/>
  <c r="GE11" i="4" a="1"/>
  <c r="GE12" i="4" a="1"/>
  <c r="GB13" i="4" a="1"/>
  <c r="FP9" i="4" a="1"/>
  <c r="FU12" i="4" a="1"/>
  <c r="FR13" i="4" a="1"/>
  <c r="FT14" i="4" a="1"/>
  <c r="FN8" i="4" a="1"/>
  <c r="GF13" i="4" a="1"/>
  <c r="GF15" i="4" a="1"/>
  <c r="HF15" i="4" a="1"/>
  <c r="GD16" i="4" a="1"/>
  <c r="HD16" i="4" a="1"/>
  <c r="FV8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Y113" i="2"/>
  <c r="BC90" i="3"/>
  <c r="BD96" i="3"/>
  <c r="BB93" i="3"/>
  <c r="GB14" i="4" a="1"/>
  <c r="FJ14" i="4" a="1"/>
  <c r="FH16" i="4" a="1"/>
  <c r="HH16" i="4" a="1"/>
  <c r="FK14" i="4" a="1"/>
  <c r="HH11" i="4" a="1"/>
  <c r="GL9" i="4" a="1"/>
  <c r="FJ16" i="4" a="1"/>
  <c r="GJ16" i="4" a="1"/>
  <c r="GA14" i="4" a="1"/>
  <c r="GX14" i="4" a="1"/>
  <c r="GM16" i="4" a="1"/>
  <c r="BC67" i="3"/>
  <c r="BD59" i="3"/>
  <c r="Z112" i="2"/>
  <c r="GV11" i="4" a="1"/>
  <c r="FZ14" i="4" a="1"/>
  <c r="FU11" i="4" a="1"/>
  <c r="HE13" i="4" a="1"/>
  <c r="HC14" i="4" a="1"/>
  <c r="GY9" i="4" a="1"/>
  <c r="BC76" i="3"/>
  <c r="BC57" i="3"/>
  <c r="BK63" i="3"/>
  <c r="FH14" i="4" a="1"/>
  <c r="HF8" i="4" a="1"/>
  <c r="GG12" i="4" a="1"/>
  <c r="HD9" i="4" a="1"/>
  <c r="GM7" i="4" a="1"/>
  <c r="FS7" i="4" a="1"/>
  <c r="HC12" i="4" a="1"/>
  <c r="GP13" i="4" a="1"/>
  <c r="GE14" i="4" a="1"/>
  <c r="FH13" i="4" a="1"/>
  <c r="GI14" i="4" a="1"/>
  <c r="GW15" i="4" a="1"/>
  <c r="GQ16" i="4" a="1"/>
  <c r="BC59" i="3"/>
  <c r="BG86" i="3"/>
  <c r="BC49" i="3"/>
  <c r="BM48" i="3"/>
  <c r="BH64" i="3"/>
  <c r="BB82" i="3"/>
  <c r="BL64" i="3"/>
  <c r="BF65" i="3"/>
  <c r="CL166" i="1" s="1"/>
  <c r="BR54" i="3"/>
  <c r="BO94" i="3"/>
  <c r="BS69" i="3"/>
  <c r="BU81" i="3"/>
  <c r="BR67" i="3"/>
  <c r="BT68" i="3"/>
  <c r="BT87" i="3"/>
  <c r="BN61" i="3"/>
  <c r="BN91" i="3"/>
  <c r="Y112" i="2"/>
  <c r="BO96" i="3"/>
  <c r="BG68" i="3"/>
  <c r="BE79" i="3"/>
  <c r="BI60" i="3"/>
  <c r="BF74" i="3"/>
  <c r="CL153" i="1" s="1"/>
  <c r="BJ68" i="3"/>
  <c r="BJ55" i="3"/>
  <c r="BJ81" i="3"/>
  <c r="BK85" i="3"/>
  <c r="BK54" i="3"/>
  <c r="GC5" i="4" a="1"/>
  <c r="GS7" i="4" a="1"/>
  <c r="HH7" i="4" a="1"/>
  <c r="FT12" i="4" a="1"/>
  <c r="GA5" i="4" a="1"/>
  <c r="FS8" i="4" a="1"/>
  <c r="GP9" i="4" a="1"/>
  <c r="GC14" i="4" a="1"/>
  <c r="HA6" i="4" a="1"/>
  <c r="GX5" i="4" a="1"/>
  <c r="FJ11" i="4" a="1"/>
  <c r="FO15" i="4" a="1"/>
  <c r="GP7" i="4" a="1"/>
  <c r="FK7" i="4" a="1"/>
  <c r="HD5" i="4" a="1"/>
  <c r="FI9" i="4" a="1"/>
  <c r="GT6" i="4" a="1"/>
  <c r="FX8" i="4" a="1"/>
  <c r="FV13" i="4" a="1"/>
  <c r="GY5" i="4" a="1"/>
  <c r="HA8" i="4" a="1"/>
  <c r="FH11" i="4" a="1"/>
  <c r="FG15" i="4" a="1"/>
  <c r="GK11" i="4" a="1"/>
  <c r="GH12" i="4" a="1"/>
  <c r="GG13" i="4" a="1"/>
  <c r="GA9" i="4" a="1"/>
  <c r="FX12" i="4" a="1"/>
  <c r="FZ13" i="4" a="1"/>
  <c r="FY14" i="4" a="1"/>
  <c r="GT8" i="4" a="1"/>
  <c r="HA13" i="4" a="1"/>
  <c r="GH15" i="4" a="1"/>
  <c r="HH15" i="4" a="1"/>
  <c r="GF16" i="4" a="1"/>
  <c r="HF16" i="4" a="1"/>
  <c r="HB8" i="4" a="1"/>
  <c r="HH13" i="4" a="1"/>
  <c r="GD15" i="4" a="1"/>
  <c r="GW11" i="4" a="1"/>
  <c r="GH14" i="4" a="1"/>
  <c r="GO15" i="4" a="1"/>
  <c r="FK16" i="4" a="1"/>
  <c r="GI16" i="4" a="1"/>
  <c r="HG16" i="4" a="1"/>
  <c r="BC88" i="3"/>
  <c r="BC93" i="3"/>
  <c r="BD74" i="3"/>
  <c r="GE13" i="4" a="1"/>
  <c r="FQ9" i="4" a="1"/>
  <c r="GJ15" i="4" a="1"/>
  <c r="GH16" i="4" a="1"/>
  <c r="FV9" i="4" a="1"/>
  <c r="GD12" i="4" a="1"/>
  <c r="GM14" i="4" a="1"/>
  <c r="GQ15" i="4" a="1"/>
  <c r="FM16" i="4" a="1"/>
  <c r="GK16" i="4" a="1"/>
  <c r="GL8" i="4" a="1"/>
  <c r="BC70" i="3"/>
  <c r="BC91" i="3"/>
  <c r="BD87" i="3"/>
  <c r="BD71" i="3"/>
  <c r="BA65" i="3"/>
  <c r="GG14" i="4" a="1"/>
  <c r="GQ9" i="4" a="1"/>
  <c r="GC13" i="4" a="1"/>
  <c r="GA12" i="4" a="1"/>
  <c r="GS15" i="4" a="1"/>
  <c r="GG9" i="4" a="1"/>
  <c r="GU12" i="4" a="1"/>
  <c r="GJ14" i="4" a="1"/>
  <c r="HC9" i="4" a="1"/>
  <c r="GN15" i="4" a="1"/>
  <c r="GL12" i="4" a="1"/>
  <c r="FQ16" i="4" a="1"/>
  <c r="BC61" i="3"/>
  <c r="BQ72" i="3"/>
  <c r="BN71" i="3"/>
  <c r="BF70" i="3"/>
  <c r="CL149" i="1" s="1"/>
  <c r="BJ57" i="3"/>
  <c r="GU8" i="4" a="1"/>
  <c r="FY6" i="4" a="1"/>
  <c r="GJ6" i="4" a="1"/>
  <c r="FK6" i="4" a="1"/>
  <c r="GW7" i="4" a="1"/>
  <c r="GW9" i="4" a="1"/>
  <c r="GZ13" i="4" a="1"/>
  <c r="GS12" i="4" a="1"/>
  <c r="FQ11" i="4" a="1"/>
  <c r="GN16" i="4" a="1"/>
  <c r="FN15" i="4" a="1"/>
  <c r="GC11" i="4" a="1"/>
  <c r="BC97" i="3"/>
  <c r="BG63" i="3"/>
  <c r="BC71" i="3"/>
  <c r="BM59" i="3"/>
  <c r="BH68" i="3"/>
  <c r="BB57" i="3"/>
  <c r="BL93" i="3"/>
  <c r="BF47" i="3"/>
  <c r="BV47" i="3"/>
  <c r="BO74" i="3"/>
  <c r="BS61" i="3"/>
  <c r="BU64" i="3"/>
  <c r="BV50" i="3"/>
  <c r="BT58" i="3"/>
  <c r="BT60" i="3"/>
  <c r="BN90" i="3"/>
  <c r="BP54" i="3"/>
  <c r="Y111" i="2"/>
  <c r="BS66" i="3"/>
  <c r="BG48" i="3"/>
  <c r="BE89" i="3"/>
  <c r="BI87" i="3"/>
  <c r="BF64" i="3"/>
  <c r="CL165" i="1" s="1"/>
  <c r="BJ70" i="3"/>
  <c r="BJ64" i="3"/>
  <c r="BJ83" i="3"/>
  <c r="BK80" i="3"/>
  <c r="BK65" i="3"/>
  <c r="FL5" i="4" a="1"/>
  <c r="FO8" i="4" a="1"/>
  <c r="GB8" i="4" a="1"/>
  <c r="GJ12" i="4" a="1"/>
  <c r="FV5" i="4" a="1"/>
  <c r="GE8" i="4" a="1"/>
  <c r="HB9" i="4" a="1"/>
  <c r="HD14" i="4" a="1"/>
  <c r="FW7" i="4" a="1"/>
  <c r="FQ6" i="4" a="1"/>
  <c r="FV11" i="4" a="1"/>
  <c r="FI7" i="4" a="1"/>
  <c r="FI8" i="4" a="1"/>
  <c r="HG7" i="4" a="1"/>
  <c r="GU6" i="4" a="1"/>
  <c r="FQ5" i="4" a="1"/>
  <c r="GF7" i="4" a="1"/>
  <c r="GV8" i="4" a="1"/>
  <c r="GT13" i="4" a="1"/>
  <c r="FU6" i="4" a="1"/>
  <c r="HF5" i="4" a="1"/>
  <c r="FT11" i="4" a="1"/>
  <c r="GV5" i="4" a="1"/>
  <c r="GN11" i="4" a="1"/>
  <c r="GM12" i="4" a="1"/>
  <c r="GJ13" i="4" a="1"/>
  <c r="GF9" i="4" a="1"/>
  <c r="GF12" i="4" a="1"/>
  <c r="BC81" i="3"/>
  <c r="GL15" i="4" a="1"/>
  <c r="BC68" i="3"/>
  <c r="GO16" i="4" a="1"/>
  <c r="BD66" i="3"/>
  <c r="BD70" i="3"/>
  <c r="BS83" i="3"/>
  <c r="BR64" i="3"/>
  <c r="BN57" i="3"/>
  <c r="BO54" i="3"/>
  <c r="BE67" i="3"/>
  <c r="HG12" i="4" a="1"/>
  <c r="BD77" i="3"/>
  <c r="BA67" i="3"/>
  <c r="BR56" i="3"/>
  <c r="BF84" i="3"/>
  <c r="CL162" i="1" s="1"/>
  <c r="BF86" i="3"/>
  <c r="BA78" i="3"/>
  <c r="BL80" i="3"/>
  <c r="BF82" i="3"/>
  <c r="CL161" i="1" s="1"/>
  <c r="CL196" i="1" s="1"/>
  <c r="BV81" i="3"/>
  <c r="BO79" i="3"/>
  <c r="BS57" i="3"/>
  <c r="BU70" i="3"/>
  <c r="BV79" i="3"/>
  <c r="BT59" i="3"/>
  <c r="BT62" i="3"/>
  <c r="BN48" i="3"/>
  <c r="BP69" i="3"/>
  <c r="BO47" i="3"/>
  <c r="BS67" i="3"/>
  <c r="BG62" i="3"/>
  <c r="BE58" i="3"/>
  <c r="BI91" i="3"/>
  <c r="BF62" i="3"/>
  <c r="CL140" i="1" s="1"/>
  <c r="BJ72" i="3"/>
  <c r="BJ92" i="3"/>
  <c r="BJ85" i="3"/>
  <c r="BK66" i="3"/>
  <c r="BK97" i="3"/>
  <c r="FP5" i="4" a="1"/>
  <c r="FY8" i="4" a="1"/>
  <c r="GZ8" i="4" a="1"/>
  <c r="HE12" i="4" a="1"/>
  <c r="GH5" i="4" a="1"/>
  <c r="HC8" i="4" a="1"/>
  <c r="FL11" i="4" a="1"/>
  <c r="FW15" i="4" a="1"/>
  <c r="GU7" i="4" a="1"/>
  <c r="GB6" i="4" a="1"/>
  <c r="GS5" i="4" a="1"/>
  <c r="GP8" i="4" a="1"/>
  <c r="HE5" i="4" a="1"/>
  <c r="FW9" i="4" a="1"/>
  <c r="FH9" i="4" a="1"/>
  <c r="FN5" i="4" a="1"/>
  <c r="FG8" i="4" a="1"/>
  <c r="FU9" i="4" a="1"/>
  <c r="FP14" i="4" a="1"/>
  <c r="GS6" i="4" a="1"/>
  <c r="GN5" i="4" a="1"/>
  <c r="GD11" i="4" a="1"/>
  <c r="FR8" i="4" a="1"/>
  <c r="GS11" i="4" a="1"/>
  <c r="GP12" i="4" a="1"/>
  <c r="GO13" i="4" a="1"/>
  <c r="GL11" i="4" a="1"/>
  <c r="GK12" i="4" a="1"/>
  <c r="BA48" i="3"/>
  <c r="BR61" i="3"/>
  <c r="BF83" i="3"/>
  <c r="CL176" i="1" s="1"/>
  <c r="BF88" i="3"/>
  <c r="CL143" i="1" s="1"/>
  <c r="BA74" i="3"/>
  <c r="BL82" i="3"/>
  <c r="BF93" i="3"/>
  <c r="BV60" i="3"/>
  <c r="BO82" i="3"/>
  <c r="BU49" i="3"/>
  <c r="BR78" i="3"/>
  <c r="BV93" i="3"/>
  <c r="BT76" i="3"/>
  <c r="BT95" i="3"/>
  <c r="BN62" i="3"/>
  <c r="BP75" i="3"/>
  <c r="BO69" i="3"/>
  <c r="BS76" i="3"/>
  <c r="BG84" i="3"/>
  <c r="BE59" i="3"/>
  <c r="BI50" i="3"/>
  <c r="BF72" i="3"/>
  <c r="CL151" i="1" s="1"/>
  <c r="BJ76" i="3"/>
  <c r="BJ50" i="3"/>
  <c r="BK81" i="3"/>
  <c r="BK60" i="3"/>
  <c r="BK96" i="3"/>
  <c r="GQ5" i="4" a="1"/>
  <c r="GK8" i="4" a="1"/>
  <c r="FR9" i="4" a="1"/>
  <c r="GQ13" i="4" a="1"/>
  <c r="HB5" i="4" a="1"/>
  <c r="HC5" i="4" a="1"/>
  <c r="GB11" i="4" a="1"/>
  <c r="GO7" i="4" a="1"/>
  <c r="GO5" i="4" a="1"/>
  <c r="FV7" i="4" a="1"/>
  <c r="GK5" i="4" a="1"/>
  <c r="GO9" i="4" a="1"/>
  <c r="GD6" i="4" a="1"/>
  <c r="HA5" i="4" a="1"/>
  <c r="FI12" i="4" a="1"/>
  <c r="FZ5" i="4" a="1"/>
  <c r="FW8" i="4" a="1"/>
  <c r="GR9" i="4" a="1"/>
  <c r="GN14" i="4" a="1"/>
  <c r="FR7" i="4" a="1"/>
  <c r="GW6" i="4" a="1"/>
  <c r="GO6" i="4" a="1"/>
  <c r="FN9" i="4" a="1"/>
  <c r="GW13" i="4" a="1"/>
  <c r="GQ11" i="4" a="1"/>
  <c r="GN12" i="4" a="1"/>
  <c r="FL16" i="4" a="1"/>
  <c r="GO11" i="4" a="1"/>
  <c r="GL14" i="4" a="1"/>
  <c r="GU15" i="4" a="1"/>
  <c r="BC95" i="3"/>
  <c r="BT92" i="3"/>
  <c r="BU59" i="3"/>
  <c r="BT96" i="3"/>
  <c r="BS79" i="3"/>
  <c r="BK62" i="3"/>
  <c r="GH9" i="4" a="1"/>
  <c r="HD6" i="4" a="1"/>
  <c r="FH8" i="4" a="1"/>
  <c r="GJ11" i="4" a="1"/>
  <c r="BD56" i="3"/>
  <c r="BA70" i="3"/>
  <c r="BN49" i="3"/>
  <c r="BB55" i="3"/>
  <c r="BU58" i="3"/>
  <c r="BA50" i="3"/>
  <c r="BN84" i="3"/>
  <c r="BB65" i="3"/>
  <c r="BD49" i="3"/>
  <c r="BC60" i="3"/>
  <c r="BL79" i="3"/>
  <c r="BQ63" i="3"/>
  <c r="BT80" i="3"/>
  <c r="BS85" i="3"/>
  <c r="BU62" i="3"/>
  <c r="BR72" i="3"/>
  <c r="BV84" i="3"/>
  <c r="BT64" i="3"/>
  <c r="BN86" i="3"/>
  <c r="BN96" i="3"/>
  <c r="BP85" i="3"/>
  <c r="BO56" i="3"/>
  <c r="BS81" i="3"/>
  <c r="BH93" i="3"/>
  <c r="BE69" i="3"/>
  <c r="BM47" i="3"/>
  <c r="BF56" i="3"/>
  <c r="CL133" i="1" s="1"/>
  <c r="BJ96" i="3"/>
  <c r="BJ61" i="3"/>
  <c r="BK82" i="3"/>
  <c r="BK76" i="3"/>
  <c r="BK71" i="3"/>
  <c r="FX6" i="4" a="1"/>
  <c r="GM5" i="4" a="1"/>
  <c r="HH9" i="4" a="1"/>
  <c r="GF14" i="4" a="1"/>
  <c r="GE7" i="4" a="1"/>
  <c r="GG6" i="4" a="1"/>
  <c r="GD7" i="4" a="1"/>
  <c r="GS9" i="4" a="1"/>
  <c r="GI6" i="4" a="1"/>
  <c r="GB9" i="4" a="1"/>
  <c r="GH11" i="4" a="1"/>
  <c r="FY5" i="4" a="1"/>
  <c r="HD7" i="4" a="1"/>
  <c r="GF8" i="4" a="1"/>
  <c r="HH12" i="4" a="1"/>
  <c r="FM6" i="4" a="1"/>
  <c r="GW8" i="4" a="1"/>
  <c r="FN11" i="4" a="1"/>
  <c r="GE6" i="4" a="1"/>
  <c r="FL8" i="4" a="1"/>
  <c r="FT9" i="4" a="1"/>
  <c r="FS9" i="4" a="1"/>
  <c r="HE9" i="4" a="1"/>
  <c r="FG12" i="4" a="1"/>
  <c r="HF12" i="4" a="1"/>
  <c r="HE6" i="4" a="1"/>
  <c r="GY11" i="4" a="1"/>
  <c r="GV12" i="4" a="1"/>
  <c r="GU13" i="4" a="1"/>
  <c r="GR14" i="4" a="1"/>
  <c r="GG11" i="4" a="1"/>
  <c r="GP14" i="4" a="1"/>
  <c r="GR15" i="4" a="1"/>
  <c r="FP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B74" i="3"/>
  <c r="BO97" i="3"/>
  <c r="BS65" i="3"/>
  <c r="BU86" i="3"/>
  <c r="BN89" i="3"/>
  <c r="BN68" i="3"/>
  <c r="BE81" i="3"/>
  <c r="BK88" i="3"/>
  <c r="GH7" i="4" a="1"/>
  <c r="HH6" i="4" a="1"/>
  <c r="FZ11" i="4" a="1"/>
  <c r="FT7" i="4" a="1"/>
  <c r="GW5" i="4" a="1"/>
  <c r="GU11" i="4" a="1"/>
  <c r="GW12" i="4" a="1"/>
  <c r="HB13" i="4" a="1"/>
  <c r="FT6" i="4" a="1"/>
  <c r="GR12" i="4" a="1"/>
  <c r="FO12" i="4" a="1"/>
  <c r="GI7" i="4" a="1"/>
  <c r="HD12" i="4" a="1"/>
  <c r="GZ14" i="4" a="1"/>
  <c r="FV16" i="4" a="1"/>
  <c r="GV16" i="4" a="1"/>
  <c r="FI15" i="4" a="1"/>
  <c r="GW16" i="4" a="1"/>
  <c r="BD47" i="3"/>
  <c r="BD68" i="3"/>
  <c r="BG83" i="3"/>
  <c r="BA63" i="3"/>
  <c r="BG55" i="3"/>
  <c r="BB69" i="3"/>
  <c r="BU48" i="3"/>
  <c r="BQ55" i="3"/>
  <c r="BE72" i="3"/>
  <c r="BQ81" i="3"/>
  <c r="BT84" i="3"/>
  <c r="BS73" i="3"/>
  <c r="BU71" i="3"/>
  <c r="BR59" i="3"/>
  <c r="BV80" i="3"/>
  <c r="BT57" i="3"/>
  <c r="BN77" i="3"/>
  <c r="BN56" i="3"/>
  <c r="BF81" i="3"/>
  <c r="CL160" i="1" s="1"/>
  <c r="CL195" i="1" s="1"/>
  <c r="BO73" i="3"/>
  <c r="BS87" i="3"/>
  <c r="BH91" i="3"/>
  <c r="BE73" i="3"/>
  <c r="BM54" i="3"/>
  <c r="BF50" i="3"/>
  <c r="CL90" i="1" s="1"/>
  <c r="BJ89" i="3"/>
  <c r="BJ65" i="3"/>
  <c r="BK77" i="3"/>
  <c r="BK90" i="3"/>
  <c r="BK89" i="3"/>
  <c r="GN6" i="4" a="1"/>
  <c r="FI6" i="4" a="1"/>
  <c r="FR11" i="4" a="1"/>
  <c r="FR15" i="4" a="1"/>
  <c r="GX7" i="4" a="1"/>
  <c r="GA7" i="4" a="1"/>
  <c r="FX9" i="4" a="1"/>
  <c r="FG5" i="4" a="1"/>
  <c r="HB6" i="4" a="1"/>
  <c r="GM6" i="4" a="1"/>
  <c r="HF11" i="4" a="1"/>
  <c r="FT5" i="4" a="1"/>
  <c r="FU8" i="4" a="1"/>
  <c r="HD8" i="4" a="1"/>
  <c r="GD13" i="4" a="1"/>
  <c r="GK6" i="4" a="1"/>
  <c r="GU5" i="4" a="1"/>
  <c r="GF11" i="4" a="1"/>
  <c r="FZ8" i="4" a="1"/>
  <c r="HH5" i="4" a="1"/>
  <c r="GM9" i="4" a="1"/>
  <c r="GP11" i="4" a="1"/>
  <c r="FK11" i="4" a="1"/>
  <c r="FJ12" i="4" a="1"/>
  <c r="FI13" i="4" a="1"/>
  <c r="FN7" i="4" a="1"/>
  <c r="HB11" i="4" a="1"/>
  <c r="HA12" i="4" a="1"/>
  <c r="GX13" i="4" a="1"/>
  <c r="GW14" i="4" a="1"/>
  <c r="GR11" i="4" a="1"/>
  <c r="GU14" i="4" a="1"/>
  <c r="GT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A55" i="3"/>
  <c r="BG78" i="3"/>
  <c r="BU54" i="3"/>
  <c r="BQ57" i="3"/>
  <c r="BE80" i="3"/>
  <c r="BQ82" i="3"/>
  <c r="BR66" i="3"/>
  <c r="BV82" i="3"/>
  <c r="BT56" i="3"/>
  <c r="BF67" i="3"/>
  <c r="BO86" i="3"/>
  <c r="BS49" i="3"/>
  <c r="BL95" i="3"/>
  <c r="BM58" i="3"/>
  <c r="BJ74" i="3"/>
  <c r="BJ93" i="3"/>
  <c r="BJ67" i="3"/>
  <c r="BK57" i="3"/>
  <c r="BK93" i="3"/>
  <c r="FL9" i="4" a="1"/>
  <c r="FU5" i="4" a="1"/>
  <c r="FX7" i="4" a="1"/>
  <c r="GB7" i="4" a="1"/>
  <c r="GF5" i="4" a="1"/>
  <c r="GG8" i="4" a="1"/>
  <c r="FZ9" i="4" a="1"/>
  <c r="FG7" i="4" a="1"/>
  <c r="GZ6" i="4" a="1"/>
  <c r="GD9" i="4" a="1"/>
  <c r="GA6" i="4" a="1"/>
  <c r="FL7" i="4" a="1"/>
  <c r="FO11" i="4" a="1"/>
  <c r="FL13" i="4" a="1"/>
  <c r="HG11" i="4" a="1"/>
  <c r="HC13" i="4" a="1"/>
  <c r="FK12" i="4" a="1"/>
  <c r="HF14" i="4" a="1"/>
  <c r="GX15" i="4" a="1"/>
  <c r="GY14" i="4" a="1"/>
  <c r="GI12" i="4" a="1"/>
  <c r="HF6" i="4" a="1"/>
  <c r="GV13" i="4" a="1"/>
  <c r="GB15" i="4" a="1"/>
  <c r="HC15" i="4" a="1"/>
  <c r="FY16" i="4" a="1"/>
  <c r="GN13" i="4" a="1"/>
  <c r="BC63" i="3"/>
  <c r="BC86" i="3"/>
  <c r="BD91" i="3"/>
  <c r="BP56" i="3"/>
  <c r="BP73" i="3"/>
  <c r="BG65" i="3"/>
  <c r="BB78" i="3"/>
  <c r="BI73" i="3"/>
  <c r="BH58" i="3"/>
  <c r="BE88" i="3"/>
  <c r="BU76" i="3"/>
  <c r="BO59" i="3"/>
  <c r="BS47" i="3"/>
  <c r="BU89" i="3"/>
  <c r="BR69" i="3"/>
  <c r="BV96" i="3"/>
  <c r="BT81" i="3"/>
  <c r="BN80" i="3"/>
  <c r="BN69" i="3"/>
  <c r="BF69" i="3"/>
  <c r="BO83" i="3"/>
  <c r="BS58" i="3"/>
  <c r="BL73" i="3"/>
  <c r="BI71" i="3"/>
  <c r="BM63" i="3"/>
  <c r="BJ47" i="3"/>
  <c r="BJ91" i="3"/>
  <c r="BJ71" i="3"/>
  <c r="BK59" i="3"/>
  <c r="BK56" i="3"/>
  <c r="GT14" i="4" a="1"/>
  <c r="FN6" i="4" a="1"/>
  <c r="FG9" i="4" a="1"/>
  <c r="HE8" i="4" a="1"/>
  <c r="FY9" i="4" a="1"/>
  <c r="GQ6" i="4" a="1"/>
  <c r="GR7" i="4" a="1"/>
  <c r="GO12" i="4" a="1"/>
  <c r="FX5" i="4" a="1"/>
  <c r="GC8" i="4" a="1"/>
  <c r="FJ9" i="4" a="1"/>
  <c r="GY13" i="4" a="1"/>
  <c r="FP6" i="4" a="1"/>
  <c r="GP5" i="4" a="1"/>
  <c r="HF9" i="4" a="1"/>
  <c r="GV14" i="4" a="1"/>
  <c r="HC7" i="4" a="1"/>
  <c r="GL7" i="4" a="1"/>
  <c r="GN9" i="4" a="1"/>
  <c r="FW5" i="4" a="1"/>
  <c r="FJ8" i="4" a="1"/>
  <c r="HG8" i="4" a="1"/>
  <c r="GL13" i="4" a="1"/>
  <c r="FW11" i="4" a="1"/>
  <c r="FW12" i="4" a="1"/>
  <c r="FT13" i="4" a="1"/>
  <c r="FM8" i="4" a="1"/>
  <c r="FM12" i="4" a="1"/>
  <c r="FJ13" i="4" a="1"/>
  <c r="FI14" i="4" a="1"/>
  <c r="HH14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FO14" i="4" a="1"/>
  <c r="BH96" i="3"/>
  <c r="BE62" i="3"/>
  <c r="BG94" i="3"/>
  <c r="BI74" i="3"/>
  <c r="BH80" i="3"/>
  <c r="BI47" i="3"/>
  <c r="BR50" i="3"/>
  <c r="BO84" i="3"/>
  <c r="BS77" i="3"/>
  <c r="BU90" i="3"/>
  <c r="BR96" i="3"/>
  <c r="BV63" i="3"/>
  <c r="BT83" i="3"/>
  <c r="BN93" i="3"/>
  <c r="BN83" i="3"/>
  <c r="BF75" i="3"/>
  <c r="BO78" i="3"/>
  <c r="BP55" i="3"/>
  <c r="BL50" i="3"/>
  <c r="BI56" i="3"/>
  <c r="BM89" i="3"/>
  <c r="BJ58" i="3"/>
  <c r="BJ54" i="3"/>
  <c r="BJ75" i="3"/>
  <c r="BK67" i="3"/>
  <c r="BK95" i="3"/>
  <c r="GE15" i="4" a="1"/>
  <c r="GL6" i="4" a="1"/>
  <c r="GH6" i="4" a="1"/>
  <c r="GI9" i="4" a="1"/>
  <c r="HA9" i="4" a="1"/>
  <c r="HG6" i="4" a="1"/>
  <c r="FT8" i="4" a="1"/>
  <c r="FK13" i="4" a="1"/>
  <c r="FH6" i="4" a="1"/>
  <c r="GM8" i="4" a="1"/>
  <c r="GK9" i="4" a="1"/>
  <c r="FU14" i="4" a="1"/>
  <c r="GV6" i="4" a="1"/>
  <c r="FL6" i="4" a="1"/>
  <c r="FP11" i="4" a="1"/>
  <c r="FZ15" i="4" a="1"/>
  <c r="GZ5" i="4" a="1"/>
  <c r="FO9" i="4" a="1"/>
  <c r="HC11" i="4" a="1"/>
  <c r="FR5" i="4" a="1"/>
  <c r="GA8" i="4" a="1"/>
  <c r="GC9" i="4" a="1"/>
  <c r="FM14" i="4" a="1"/>
  <c r="GA11" i="4" a="1"/>
  <c r="FZ12" i="4" a="1"/>
  <c r="FY13" i="4" a="1"/>
  <c r="FK9" i="4" a="1"/>
  <c r="FP12" i="4" a="1"/>
  <c r="FO13" i="4" a="1"/>
  <c r="FL14" i="4" a="1"/>
  <c r="FY7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GH13" i="4" a="1"/>
  <c r="HE7" i="4" a="1"/>
  <c r="FO16" i="4" a="1"/>
  <c r="BC77" i="3"/>
  <c r="BD79" i="3"/>
  <c r="GM13" i="4" a="1"/>
  <c r="GL16" i="4" a="1"/>
  <c r="BD97" i="3"/>
  <c r="BL87" i="3"/>
  <c r="BV90" i="3"/>
  <c r="BP82" i="3"/>
  <c r="BG90" i="3"/>
  <c r="BM69" i="3"/>
  <c r="BJ80" i="3"/>
  <c r="BK69" i="3"/>
  <c r="HG5" i="4" a="1"/>
  <c r="GX8" i="4" a="1"/>
  <c r="FI5" i="4" a="1"/>
  <c r="FH7" i="4" a="1"/>
  <c r="GJ5" i="4" a="1"/>
  <c r="GI8" i="4" a="1"/>
  <c r="FJ15" i="4" a="1"/>
  <c r="HB7" i="4" a="1"/>
  <c r="HA11" i="4" a="1"/>
  <c r="GT11" i="4" a="1"/>
  <c r="GO14" i="4" a="1"/>
  <c r="GP15" i="4" a="1"/>
  <c r="FN16" i="4" a="1"/>
  <c r="GQ14" i="4" a="1"/>
  <c r="FS16" i="4" a="1"/>
  <c r="BC92" i="3"/>
  <c r="BB87" i="3"/>
  <c r="BN70" i="3"/>
  <c r="BK61" i="3"/>
  <c r="GT5" i="4" a="1"/>
  <c r="FR12" i="4" a="1"/>
  <c r="FV15" i="4" a="1"/>
  <c r="BD48" i="3"/>
  <c r="FG13" i="4" a="1"/>
  <c r="HE14" i="4" a="1"/>
  <c r="BJ82" i="3"/>
  <c r="GJ8" i="4" a="1"/>
  <c r="FS14" i="4" a="1"/>
  <c r="BT55" i="3"/>
  <c r="FS11" i="4" a="1"/>
  <c r="BI69" i="3"/>
  <c r="BF73" i="3"/>
  <c r="HF7" i="4" a="1"/>
  <c r="GS8" i="4" a="1"/>
  <c r="FQ13" i="4" a="1"/>
  <c r="GT12" i="4" a="1"/>
  <c r="BD57" i="3"/>
  <c r="FM15" i="4" a="1"/>
  <c r="BL85" i="3"/>
  <c r="FZ7" i="4" a="1"/>
  <c r="FV12" i="4" a="1"/>
  <c r="BR80" i="3"/>
  <c r="BJ69" i="3"/>
  <c r="GN8" i="4" a="1"/>
  <c r="FS13" i="4" a="1"/>
  <c r="BH71" i="3"/>
  <c r="BO64" i="3"/>
  <c r="GQ7" i="4" a="1"/>
  <c r="GT9" i="4" a="1"/>
  <c r="GT7" i="4" a="1"/>
  <c r="BD81" i="3"/>
  <c r="BU75" i="3"/>
  <c r="GA16" i="4" a="1"/>
  <c r="FP15" i="4" a="1"/>
  <c r="GV7" i="4" a="1"/>
  <c r="BC64" i="3"/>
  <c r="BN67" i="3"/>
  <c r="BE70" i="3"/>
  <c r="BS54" i="3"/>
  <c r="FZ6" i="4" a="1"/>
  <c r="FX14" i="4" a="1"/>
  <c r="FH12" i="4" a="1"/>
  <c r="GD8" i="4" a="1"/>
  <c r="GH8" i="4" a="1"/>
  <c r="HD13" i="4" a="1"/>
  <c r="GY7" i="4" a="1"/>
  <c r="FQ12" i="4" a="1"/>
  <c r="BJ97" i="3"/>
  <c r="FN13" i="4" a="1"/>
  <c r="GX16" i="4" a="1"/>
  <c r="FK5" i="4" a="1"/>
  <c r="FP7" i="4" a="1"/>
  <c r="BV92" i="3"/>
  <c r="BK83" i="3"/>
  <c r="BK92" i="3"/>
  <c r="BC79" i="3"/>
  <c r="BO55" i="3"/>
  <c r="BI63" i="3"/>
  <c r="FS6" i="4" a="1"/>
  <c r="GR6" i="4" a="1"/>
  <c r="HF13" i="4" a="1"/>
  <c r="GG15" i="4" a="1"/>
  <c r="BS55" i="3"/>
  <c r="BM83" i="3"/>
  <c r="GJ9" i="4" a="1"/>
  <c r="HE15" i="4" a="1"/>
  <c r="BU77" i="3"/>
  <c r="GG5" i="4" a="1"/>
  <c r="GY16" i="4" a="1"/>
  <c r="GZ15" i="4" a="1"/>
  <c r="FX16" i="4" a="1"/>
  <c r="CL136" i="1" l="1"/>
  <c r="CH156" i="1"/>
  <c r="CI156" i="1" s="1"/>
  <c r="AA218" i="1"/>
  <c r="CO36" i="1"/>
  <c r="CS36" i="1" s="1"/>
  <c r="JO16" i="4" s="1"/>
  <c r="JO9" i="4" s="1"/>
  <c r="JN9" i="4" s="1"/>
  <c r="JN16" i="4" s="1"/>
  <c r="Z210" i="1"/>
  <c r="Y210" i="1"/>
  <c r="JP9" i="4" s="1"/>
  <c r="JP16" i="4" s="1"/>
  <c r="CL114" i="1"/>
  <c r="CL115" i="1" s="1"/>
  <c r="CL32" i="1"/>
  <c r="X164" i="1"/>
  <c r="CL177" i="1"/>
  <c r="CL108" i="1"/>
  <c r="CL164" i="1"/>
  <c r="CL154" i="1"/>
  <c r="CL172" i="1"/>
  <c r="CL201" i="1" s="1"/>
  <c r="CL200" i="1" s="1"/>
  <c r="CL144" i="1"/>
  <c r="CK32" i="1"/>
  <c r="JV16" i="4" s="1"/>
  <c r="KE16" i="4" s="1"/>
  <c r="JZ9" i="4" s="1"/>
  <c r="JW16" i="4" s="1"/>
  <c r="CJ160" i="1"/>
  <c r="CJ195" i="1" s="1"/>
  <c r="CK195" i="1" s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JZ8" i="4" s="1"/>
  <c r="CJ159" i="1"/>
  <c r="JS16" i="4" s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KF16" i="4" s="1"/>
  <c r="JS9" i="4" s="1"/>
  <c r="CJ180" i="1"/>
  <c r="CK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J135" i="1"/>
  <c r="CJ162" i="1"/>
  <c r="KG7" i="4" s="1"/>
  <c r="CJ170" i="1"/>
  <c r="JX9" i="4" s="1"/>
  <c r="JR9" i="4" s="1"/>
  <c r="CJ165" i="1"/>
  <c r="KF15" i="4" s="1"/>
  <c r="KA9" i="4" s="1"/>
  <c r="JV9" i="4" s="1"/>
  <c r="CJ150" i="1"/>
  <c r="CK49" i="1" s="1"/>
  <c r="KD16" i="4" s="1"/>
  <c r="CJ175" i="1"/>
  <c r="CJ166" i="1"/>
  <c r="KC16" i="4" s="1"/>
  <c r="JU16" i="4" s="1"/>
  <c r="KG9" i="4" s="1"/>
  <c r="KC9" i="4" s="1"/>
  <c r="KH9" i="4" s="1"/>
  <c r="CJ89" i="1"/>
  <c r="CG90" i="1"/>
  <c r="CJ133" i="1"/>
  <c r="JR16" i="4" s="1"/>
  <c r="JT9" i="4" s="1"/>
  <c r="JU9" i="4" s="1"/>
  <c r="CJ156" i="1"/>
  <c r="CJ218" i="1" s="1"/>
  <c r="CJ149" i="1"/>
  <c r="CK149" i="1" s="1"/>
  <c r="CJ167" i="1"/>
  <c r="KF9" i="4" s="1"/>
  <c r="JY9" i="4" s="1"/>
  <c r="CJ168" i="1"/>
  <c r="CJ153" i="1"/>
  <c r="CK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JW9" i="4" s="1"/>
  <c r="JQ15" i="4" s="1"/>
  <c r="JQ9" i="4" s="1"/>
  <c r="KB9" i="4" s="1"/>
  <c r="X89" i="1"/>
  <c r="CI89" i="1"/>
  <c r="JZ14" i="4" s="1"/>
  <c r="KE9" i="4" s="1"/>
  <c r="KE21" i="4" s="1"/>
  <c r="KA16" i="4" s="1"/>
  <c r="JZ16" i="4" s="1"/>
  <c r="JZ21" i="4" s="1"/>
  <c r="KH16" i="4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J141" i="1"/>
  <c r="CK141" i="1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KG16" i="4" s="1"/>
  <c r="JY16" i="4" s="1"/>
  <c r="JQ16" i="4" s="1"/>
  <c r="Z90" i="1"/>
  <c r="CK89" i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J161" i="1"/>
  <c r="CJ196" i="1" s="1"/>
  <c r="CK196" i="1" s="1"/>
  <c r="CH90" i="1"/>
  <c r="CJ169" i="1"/>
  <c r="CJ199" i="1" s="1"/>
  <c r="CK199" i="1" s="1"/>
  <c r="KB16" i="4" s="1"/>
  <c r="JT16" i="4" s="1"/>
  <c r="CJ163" i="1"/>
  <c r="Y90" i="1"/>
  <c r="CI90" i="1"/>
  <c r="Z89" i="1"/>
  <c r="CJ176" i="1"/>
  <c r="CK90" i="1"/>
  <c r="CJ158" i="1"/>
  <c r="CH89" i="1"/>
  <c r="CJ90" i="1"/>
  <c r="CJ171" i="1"/>
  <c r="CJ140" i="1"/>
  <c r="CK140" i="1" s="1"/>
  <c r="CG89" i="1"/>
  <c r="CI11" i="1"/>
  <c r="Z170" i="1"/>
  <c r="CH170" i="1" s="1"/>
  <c r="Z164" i="1"/>
  <c r="Y177" i="1"/>
  <c r="Z225" i="1" s="1"/>
  <c r="CH175" i="1"/>
  <c r="CH177" i="1" s="1"/>
  <c r="CI225" i="1" s="1"/>
  <c r="Z177" i="1"/>
  <c r="AA225" i="1" s="1"/>
  <c r="CH11" i="1"/>
  <c r="CK114" i="1"/>
  <c r="CK115" i="1" s="1"/>
  <c r="Y164" i="1"/>
  <c r="CG247" i="1"/>
  <c r="CG11" i="1"/>
  <c r="X195" i="1"/>
  <c r="X247" i="1"/>
  <c r="X199" i="1"/>
  <c r="X269" i="1"/>
  <c r="Y42" i="1"/>
  <c r="Y150" i="1"/>
  <c r="Y189" i="1"/>
  <c r="X196" i="1"/>
  <c r="X268" i="1"/>
  <c r="X26" i="1"/>
  <c r="Y195" i="1"/>
  <c r="X189" i="1"/>
  <c r="Y268" i="1"/>
  <c r="Y26" i="1"/>
  <c r="Y247" i="1"/>
  <c r="Y269" i="1"/>
  <c r="Y199" i="1"/>
  <c r="CH133" i="1"/>
  <c r="Z136" i="1"/>
  <c r="AA223" i="1" s="1"/>
  <c r="CH160" i="1"/>
  <c r="Z195" i="1"/>
  <c r="Z247" i="1"/>
  <c r="Z268" i="1"/>
  <c r="Z196" i="1"/>
  <c r="Z269" i="1"/>
  <c r="Z199" i="1"/>
  <c r="CH151" i="1"/>
  <c r="CI151" i="1" s="1"/>
  <c r="Z147" i="1"/>
  <c r="CG210" i="1"/>
  <c r="CG269" i="1"/>
  <c r="Y172" i="1"/>
  <c r="CH269" i="1"/>
  <c r="CG268" i="1"/>
  <c r="X150" i="1"/>
  <c r="CI247" i="1"/>
  <c r="CI26" i="1"/>
  <c r="CJ114" i="1"/>
  <c r="Y218" i="1"/>
  <c r="Y196" i="1"/>
  <c r="CG26" i="1"/>
  <c r="CK27" i="1" s="1"/>
  <c r="Z189" i="1"/>
  <c r="Z26" i="1"/>
  <c r="X172" i="1"/>
  <c r="Y136" i="1"/>
  <c r="X144" i="1"/>
  <c r="X177" i="1"/>
  <c r="X136" i="1"/>
  <c r="X191" i="1" s="1"/>
  <c r="Y144" i="1"/>
  <c r="Z42" i="1"/>
  <c r="X42" i="1"/>
  <c r="CI148" i="1"/>
  <c r="CJ148" i="1" s="1"/>
  <c r="CH268" i="1"/>
  <c r="CJ42" i="1"/>
  <c r="CI144" i="1"/>
  <c r="CG42" i="1"/>
  <c r="CH26" i="1"/>
  <c r="CH42" i="1"/>
  <c r="CI268" i="1"/>
  <c r="CJ269" i="1"/>
  <c r="CH247" i="1"/>
  <c r="CJ247" i="1"/>
  <c r="CI269" i="1"/>
  <c r="CH196" i="1"/>
  <c r="CI196" i="1" s="1"/>
  <c r="CH199" i="1"/>
  <c r="CI199" i="1" s="1"/>
  <c r="CJ268" i="1"/>
  <c r="CJ26" i="1"/>
  <c r="Y89" i="1"/>
  <c r="X90" i="1"/>
  <c r="Z218" i="1"/>
  <c r="CI42" i="1"/>
  <c r="CI81" i="1"/>
  <c r="CJ210" i="1"/>
  <c r="Z144" i="1"/>
  <c r="CH81" i="1"/>
  <c r="CG81" i="1"/>
  <c r="CI218" i="1"/>
  <c r="CJ81" i="1"/>
  <c r="CH144" i="1"/>
  <c r="JP15" i="4"/>
  <c r="JP14" i="4"/>
  <c r="JP8" i="4"/>
  <c r="JP7" i="4"/>
  <c r="CM140" i="1"/>
  <c r="CW36" i="1"/>
  <c r="DA36" i="1" s="1"/>
  <c r="JO21" i="4"/>
  <c r="CI93" i="1" s="1"/>
  <c r="JO7" i="4"/>
  <c r="JO15" i="4"/>
  <c r="JO14" i="4"/>
  <c r="JO8" i="4"/>
  <c r="JN21" i="4"/>
  <c r="CH93" i="1" s="1"/>
  <c r="JN15" i="4"/>
  <c r="JN14" i="4"/>
  <c r="JN7" i="4"/>
  <c r="JN8" i="4"/>
  <c r="CB29" i="1"/>
  <c r="X198" i="1" l="1"/>
  <c r="JP21" i="4"/>
  <c r="CJ93" i="1" s="1"/>
  <c r="Z198" i="1"/>
  <c r="AA212" i="1"/>
  <c r="AA27" i="1"/>
  <c r="AA204" i="1"/>
  <c r="AA222" i="1"/>
  <c r="AA221" i="1" s="1"/>
  <c r="AA265" i="1"/>
  <c r="JQ21" i="4"/>
  <c r="CK93" i="1" s="1"/>
  <c r="JX16" i="4" s="1"/>
  <c r="KA14" i="4" s="1"/>
  <c r="KD9" i="4" s="1"/>
  <c r="JT21" i="4"/>
  <c r="JT14" i="4" s="1"/>
  <c r="JU7" i="4" s="1"/>
  <c r="CH172" i="1"/>
  <c r="CH201" i="1" s="1"/>
  <c r="Z172" i="1"/>
  <c r="AA213" i="1" s="1"/>
  <c r="AA214" i="1" s="1"/>
  <c r="AA215" i="1" s="1"/>
  <c r="JV21" i="4"/>
  <c r="JW21" i="4"/>
  <c r="JS21" i="4"/>
  <c r="JZ7" i="4"/>
  <c r="CJ177" i="1"/>
  <c r="CK225" i="1" s="1"/>
  <c r="JW8" i="4"/>
  <c r="KH8" i="4"/>
  <c r="KA21" i="4"/>
  <c r="KA7" i="4"/>
  <c r="KE7" i="4"/>
  <c r="JZ15" i="4"/>
  <c r="KE15" i="4"/>
  <c r="JQ14" i="4"/>
  <c r="JR8" i="4"/>
  <c r="KH21" i="4"/>
  <c r="KG21" i="4"/>
  <c r="JY21" i="4"/>
  <c r="KA15" i="4"/>
  <c r="JX21" i="4"/>
  <c r="JS8" i="4"/>
  <c r="JR7" i="4"/>
  <c r="CL44" i="1"/>
  <c r="CL33" i="1"/>
  <c r="CL262" i="1"/>
  <c r="CL264" i="1"/>
  <c r="CL173" i="1"/>
  <c r="CL181" i="1" s="1"/>
  <c r="CL198" i="1"/>
  <c r="CL145" i="1"/>
  <c r="CL184" i="1"/>
  <c r="CL125" i="1" s="1"/>
  <c r="KD7" i="4"/>
  <c r="KC7" i="4"/>
  <c r="JW7" i="4"/>
  <c r="JS15" i="4"/>
  <c r="JS20" i="4" s="1"/>
  <c r="JV15" i="4"/>
  <c r="JR15" i="4"/>
  <c r="JR20" i="4" s="1"/>
  <c r="CL95" i="1" s="1"/>
  <c r="KF21" i="4"/>
  <c r="JS14" i="4"/>
  <c r="JS19" i="4" s="1"/>
  <c r="JR21" i="4"/>
  <c r="CL93" i="1" s="1"/>
  <c r="JW15" i="4"/>
  <c r="JW20" i="4" s="1"/>
  <c r="KE14" i="4"/>
  <c r="KE19" i="4" s="1"/>
  <c r="KG8" i="4"/>
  <c r="KC14" i="4"/>
  <c r="KC19" i="4" s="1"/>
  <c r="KE8" i="4"/>
  <c r="KE20" i="4" s="1"/>
  <c r="KB15" i="4"/>
  <c r="JW14" i="4"/>
  <c r="JW19" i="4" s="1"/>
  <c r="KC21" i="4"/>
  <c r="KH7" i="4"/>
  <c r="KH15" i="4"/>
  <c r="KH20" i="4" s="1"/>
  <c r="JV8" i="4"/>
  <c r="JX14" i="4"/>
  <c r="X173" i="1"/>
  <c r="KG15" i="4"/>
  <c r="JX15" i="4"/>
  <c r="JY15" i="4"/>
  <c r="JU15" i="4"/>
  <c r="KD14" i="4"/>
  <c r="KH14" i="4"/>
  <c r="JY8" i="4"/>
  <c r="KF14" i="4"/>
  <c r="JU21" i="4"/>
  <c r="JY7" i="4"/>
  <c r="KB21" i="4"/>
  <c r="JR14" i="4"/>
  <c r="JV14" i="4"/>
  <c r="CK33" i="1"/>
  <c r="CK44" i="1"/>
  <c r="CL35" i="1"/>
  <c r="CI32" i="1"/>
  <c r="CL241" i="1"/>
  <c r="CL204" i="1"/>
  <c r="CL27" i="1"/>
  <c r="CK28" i="1"/>
  <c r="CL260" i="1"/>
  <c r="CJ172" i="1"/>
  <c r="CJ201" i="1" s="1"/>
  <c r="CJ200" i="1" s="1"/>
  <c r="CK200" i="1" s="1"/>
  <c r="JS7" i="4"/>
  <c r="JY14" i="4"/>
  <c r="KC15" i="4"/>
  <c r="KG14" i="4"/>
  <c r="KG19" i="4" s="1"/>
  <c r="KF7" i="4"/>
  <c r="KD8" i="4"/>
  <c r="KB14" i="4"/>
  <c r="JX8" i="4"/>
  <c r="JT7" i="4"/>
  <c r="JX7" i="4"/>
  <c r="JV7" i="4"/>
  <c r="KA8" i="4"/>
  <c r="CJ136" i="1"/>
  <c r="KB7" i="4"/>
  <c r="CJ164" i="1"/>
  <c r="JT8" i="4"/>
  <c r="JQ8" i="4"/>
  <c r="JQ20" i="4" s="1"/>
  <c r="CK95" i="1" s="1"/>
  <c r="JQ7" i="4"/>
  <c r="JU14" i="4"/>
  <c r="KF8" i="4"/>
  <c r="KF20" i="4" s="1"/>
  <c r="KB8" i="4"/>
  <c r="KC8" i="4"/>
  <c r="JU8" i="4"/>
  <c r="KD15" i="4"/>
  <c r="JT15" i="4"/>
  <c r="CK156" i="1"/>
  <c r="CJ154" i="1"/>
  <c r="CK133" i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M149" i="1"/>
  <c r="CN149" i="1" s="1"/>
  <c r="CO149" i="1" s="1"/>
  <c r="CP149" i="1" s="1"/>
  <c r="AB149" i="1" s="1"/>
  <c r="CJ144" i="1"/>
  <c r="CJ265" i="1" s="1"/>
  <c r="CJ147" i="1"/>
  <c r="CK147" i="1" s="1"/>
  <c r="X43" i="1"/>
  <c r="Z212" i="1"/>
  <c r="Y212" i="1"/>
  <c r="Y198" i="1"/>
  <c r="Y197" i="1" s="1"/>
  <c r="Y154" i="1"/>
  <c r="Y49" i="1"/>
  <c r="X114" i="1"/>
  <c r="X32" i="1"/>
  <c r="CH195" i="1"/>
  <c r="CI195" i="1" s="1"/>
  <c r="CH164" i="1"/>
  <c r="Z43" i="1"/>
  <c r="Z197" i="1"/>
  <c r="Y43" i="1"/>
  <c r="Y27" i="1"/>
  <c r="Y114" i="1"/>
  <c r="Y204" i="1"/>
  <c r="Y32" i="1"/>
  <c r="CI133" i="1"/>
  <c r="CH136" i="1"/>
  <c r="CH108" i="1" s="1"/>
  <c r="CH110" i="1" s="1"/>
  <c r="Z191" i="1"/>
  <c r="Z264" i="1"/>
  <c r="Z150" i="1"/>
  <c r="CH147" i="1"/>
  <c r="CG43" i="1"/>
  <c r="CG32" i="1"/>
  <c r="CK34" i="1" s="1"/>
  <c r="X145" i="1"/>
  <c r="CI43" i="1"/>
  <c r="Y201" i="1"/>
  <c r="Y173" i="1"/>
  <c r="X154" i="1"/>
  <c r="X49" i="1"/>
  <c r="X264" i="1"/>
  <c r="Y225" i="1"/>
  <c r="Z204" i="1"/>
  <c r="Z27" i="1"/>
  <c r="Z32" i="1"/>
  <c r="AA34" i="1" s="1"/>
  <c r="Z114" i="1"/>
  <c r="Y191" i="1"/>
  <c r="Y264" i="1"/>
  <c r="X53" i="1"/>
  <c r="X184" i="1"/>
  <c r="X125" i="1" s="1"/>
  <c r="CI222" i="1"/>
  <c r="X201" i="1"/>
  <c r="Y213" i="1"/>
  <c r="Y265" i="1"/>
  <c r="Y222" i="1"/>
  <c r="Y184" i="1"/>
  <c r="Y125" i="1" s="1"/>
  <c r="CK144" i="1"/>
  <c r="Y53" i="1"/>
  <c r="Y145" i="1"/>
  <c r="Z184" i="1"/>
  <c r="Z125" i="1" s="1"/>
  <c r="Z222" i="1"/>
  <c r="CI28" i="1"/>
  <c r="CJ32" i="1"/>
  <c r="CK35" i="1" s="1"/>
  <c r="CJ115" i="1"/>
  <c r="CJ118" i="1" s="1"/>
  <c r="CH43" i="1"/>
  <c r="CJ241" i="1"/>
  <c r="CJ28" i="1"/>
  <c r="CJ43" i="1"/>
  <c r="CH32" i="1"/>
  <c r="CL34" i="1" s="1"/>
  <c r="CH28" i="1"/>
  <c r="Z145" i="1"/>
  <c r="Z53" i="1"/>
  <c r="Z265" i="1"/>
  <c r="CH184" i="1"/>
  <c r="CI265" i="1"/>
  <c r="X197" i="1"/>
  <c r="CM195" i="1"/>
  <c r="CN140" i="1"/>
  <c r="CM196" i="1"/>
  <c r="CM199" i="1"/>
  <c r="CX179" i="1"/>
  <c r="JP20" i="4"/>
  <c r="CJ95" i="1" s="1"/>
  <c r="JP19" i="4"/>
  <c r="CJ94" i="1" s="1"/>
  <c r="JO19" i="4"/>
  <c r="CI94" i="1" s="1"/>
  <c r="JO20" i="4"/>
  <c r="CI95" i="1" s="1"/>
  <c r="JN20" i="4"/>
  <c r="CH95" i="1" s="1"/>
  <c r="JN19" i="4"/>
  <c r="CH94" i="1" s="1"/>
  <c r="CL182" i="1" l="1"/>
  <c r="KG20" i="4"/>
  <c r="JX20" i="4"/>
  <c r="KD19" i="4"/>
  <c r="KH19" i="4"/>
  <c r="KF19" i="4"/>
  <c r="CM43" i="1"/>
  <c r="JR19" i="4"/>
  <c r="CL94" i="1" s="1"/>
  <c r="JT19" i="4"/>
  <c r="KA20" i="4"/>
  <c r="JQ19" i="4"/>
  <c r="CK94" i="1" s="1"/>
  <c r="JU19" i="4"/>
  <c r="Z173" i="1"/>
  <c r="KC20" i="4"/>
  <c r="CK118" i="1"/>
  <c r="CH200" i="1"/>
  <c r="CI200" i="1" s="1"/>
  <c r="JZ19" i="4"/>
  <c r="JZ20" i="4"/>
  <c r="Z213" i="1"/>
  <c r="KD21" i="4"/>
  <c r="Z201" i="1"/>
  <c r="KA19" i="4"/>
  <c r="CL218" i="1"/>
  <c r="CK218" i="1"/>
  <c r="JV20" i="4"/>
  <c r="KB20" i="4"/>
  <c r="JY20" i="4"/>
  <c r="JY19" i="4"/>
  <c r="KD20" i="4"/>
  <c r="JX19" i="4"/>
  <c r="JV19" i="4"/>
  <c r="JT20" i="4"/>
  <c r="JU20" i="4"/>
  <c r="CI33" i="1"/>
  <c r="CI44" i="1"/>
  <c r="CH198" i="1"/>
  <c r="CH202" i="1" s="1"/>
  <c r="CH173" i="1"/>
  <c r="CL265" i="1"/>
  <c r="CL222" i="1"/>
  <c r="CL45" i="1"/>
  <c r="CL266" i="1"/>
  <c r="CL248" i="1"/>
  <c r="CL249" i="1" s="1"/>
  <c r="CL50" i="1"/>
  <c r="CL54" i="1" s="1"/>
  <c r="CL197" i="1"/>
  <c r="CL202" i="1"/>
  <c r="CL118" i="1"/>
  <c r="CL110" i="1"/>
  <c r="KB19" i="4"/>
  <c r="CL112" i="1"/>
  <c r="CL120" i="1"/>
  <c r="CL124" i="1"/>
  <c r="CL127" i="1" s="1"/>
  <c r="CL111" i="1"/>
  <c r="CL47" i="1"/>
  <c r="CK45" i="1"/>
  <c r="CK50" i="1"/>
  <c r="CK54" i="1" s="1"/>
  <c r="CJ145" i="1"/>
  <c r="CJ264" i="1"/>
  <c r="CJ108" i="1"/>
  <c r="CJ173" i="1"/>
  <c r="CJ260" i="1"/>
  <c r="CJ198" i="1"/>
  <c r="CJ262" i="1"/>
  <c r="CQ149" i="1"/>
  <c r="CR149" i="1" s="1"/>
  <c r="CS149" i="1" s="1"/>
  <c r="CT149" i="1" s="1"/>
  <c r="CJ222" i="1"/>
  <c r="Y34" i="1"/>
  <c r="Y181" i="1"/>
  <c r="Y182" i="1" s="1"/>
  <c r="Y214" i="1"/>
  <c r="Y262" i="1"/>
  <c r="Y260" i="1"/>
  <c r="X44" i="1"/>
  <c r="X33" i="1"/>
  <c r="CK120" i="1"/>
  <c r="CK124" i="1"/>
  <c r="CK119" i="1"/>
  <c r="CK123" i="1"/>
  <c r="X260" i="1"/>
  <c r="X262" i="1"/>
  <c r="X181" i="1"/>
  <c r="X182" i="1" s="1"/>
  <c r="Y219" i="1"/>
  <c r="Y217" i="1" s="1"/>
  <c r="Y44" i="1"/>
  <c r="Y33" i="1"/>
  <c r="CH264" i="1"/>
  <c r="CH145" i="1"/>
  <c r="Z154" i="1"/>
  <c r="AA219" i="1" s="1"/>
  <c r="AA217" i="1" s="1"/>
  <c r="Z49" i="1"/>
  <c r="CI147" i="1"/>
  <c r="CI150" i="1" s="1"/>
  <c r="CH150" i="1"/>
  <c r="Z34" i="1"/>
  <c r="Z33" i="1"/>
  <c r="Z44" i="1"/>
  <c r="CH112" i="1"/>
  <c r="CG44" i="1"/>
  <c r="CK46" i="1" s="1"/>
  <c r="CG33" i="1"/>
  <c r="CK201" i="1"/>
  <c r="Y200" i="1"/>
  <c r="Y202" i="1"/>
  <c r="CM156" i="1"/>
  <c r="CH111" i="1"/>
  <c r="CI35" i="1"/>
  <c r="CH33" i="1"/>
  <c r="X200" i="1"/>
  <c r="X202" i="1"/>
  <c r="CM141" i="1"/>
  <c r="CJ35" i="1"/>
  <c r="CJ44" i="1"/>
  <c r="CJ33" i="1"/>
  <c r="CK222" i="1"/>
  <c r="CK265" i="1"/>
  <c r="CH44" i="1"/>
  <c r="CL46" i="1" s="1"/>
  <c r="CH35" i="1"/>
  <c r="CI53" i="1"/>
  <c r="CH125" i="1"/>
  <c r="Z202" i="1"/>
  <c r="AA205" i="1" s="1"/>
  <c r="AA206" i="1" s="1"/>
  <c r="Z200" i="1"/>
  <c r="CJ124" i="1"/>
  <c r="CJ120" i="1"/>
  <c r="CH124" i="1"/>
  <c r="CI123" i="1"/>
  <c r="CH123" i="1"/>
  <c r="CI124" i="1"/>
  <c r="CJ123" i="1"/>
  <c r="CJ119" i="1"/>
  <c r="CN196" i="1"/>
  <c r="CO140" i="1"/>
  <c r="CN199" i="1"/>
  <c r="CN195" i="1"/>
  <c r="CY133" i="1"/>
  <c r="CY179" i="1"/>
  <c r="CN43" i="1" l="1"/>
  <c r="CO43" i="1" s="1"/>
  <c r="CL119" i="1"/>
  <c r="CL123" i="1"/>
  <c r="CL126" i="1" s="1"/>
  <c r="CH197" i="1"/>
  <c r="CI197" i="1" s="1"/>
  <c r="Z214" i="1"/>
  <c r="CJ181" i="1"/>
  <c r="CP43" i="1"/>
  <c r="CI201" i="1"/>
  <c r="CI168" i="1"/>
  <c r="AA229" i="1"/>
  <c r="AA226" i="1"/>
  <c r="AA227" i="1" s="1"/>
  <c r="AA266" i="1"/>
  <c r="AA267" i="1" s="1"/>
  <c r="AA46" i="1"/>
  <c r="CL267" i="1"/>
  <c r="CQ43" i="1"/>
  <c r="CL205" i="1"/>
  <c r="CJ182" i="1"/>
  <c r="CI50" i="1"/>
  <c r="CI45" i="1"/>
  <c r="CI248" i="1"/>
  <c r="CI249" i="1" s="1"/>
  <c r="X128" i="1"/>
  <c r="X248" i="1"/>
  <c r="X249" i="1" s="1"/>
  <c r="X50" i="1"/>
  <c r="CL56" i="1"/>
  <c r="CL57" i="1"/>
  <c r="CK56" i="1"/>
  <c r="CK57" i="1"/>
  <c r="CL60" i="1" s="1"/>
  <c r="CJ110" i="1"/>
  <c r="CJ112" i="1"/>
  <c r="CJ111" i="1"/>
  <c r="CJ202" i="1"/>
  <c r="CJ197" i="1"/>
  <c r="CK197" i="1" s="1"/>
  <c r="CI198" i="1"/>
  <c r="CI162" i="1"/>
  <c r="CK47" i="1"/>
  <c r="CL242" i="1"/>
  <c r="CL128" i="1"/>
  <c r="AC149" i="1"/>
  <c r="CU149" i="1"/>
  <c r="CV149" i="1" s="1"/>
  <c r="CW149" i="1" s="1"/>
  <c r="CX149" i="1" s="1"/>
  <c r="Y205" i="1"/>
  <c r="Y206" i="1" s="1"/>
  <c r="X45" i="1"/>
  <c r="CI266" i="1"/>
  <c r="CI267" i="1" s="1"/>
  <c r="CK128" i="1"/>
  <c r="Y46" i="1"/>
  <c r="Y128" i="1"/>
  <c r="Y50" i="1"/>
  <c r="Y45" i="1"/>
  <c r="Y266" i="1"/>
  <c r="Y267" i="1" s="1"/>
  <c r="Y248" i="1"/>
  <c r="Y249" i="1" s="1"/>
  <c r="Z46" i="1"/>
  <c r="CJ49" i="1"/>
  <c r="CI154" i="1"/>
  <c r="CJ219" i="1" s="1"/>
  <c r="CJ217" i="1" s="1"/>
  <c r="CI49" i="1"/>
  <c r="CH154" i="1"/>
  <c r="CI219" i="1" s="1"/>
  <c r="CI217" i="1" s="1"/>
  <c r="Z266" i="1"/>
  <c r="Z267" i="1" s="1"/>
  <c r="Z50" i="1"/>
  <c r="Z45" i="1"/>
  <c r="Z248" i="1"/>
  <c r="Z249" i="1" s="1"/>
  <c r="Z128" i="1"/>
  <c r="Z205" i="1"/>
  <c r="Z206" i="1" s="1"/>
  <c r="Z219" i="1"/>
  <c r="Z217" i="1" s="1"/>
  <c r="Z181" i="1"/>
  <c r="Z182" i="1" s="1"/>
  <c r="Z262" i="1"/>
  <c r="Z260" i="1"/>
  <c r="CG45" i="1"/>
  <c r="CG50" i="1"/>
  <c r="CG54" i="1" s="1"/>
  <c r="CG248" i="1"/>
  <c r="CG249" i="1" s="1"/>
  <c r="CM218" i="1"/>
  <c r="CN156" i="1"/>
  <c r="CM200" i="1"/>
  <c r="CJ47" i="1"/>
  <c r="CJ266" i="1"/>
  <c r="CJ267" i="1" s="1"/>
  <c r="CJ248" i="1"/>
  <c r="CJ249" i="1" s="1"/>
  <c r="CH45" i="1"/>
  <c r="CH50" i="1"/>
  <c r="CH54" i="1" s="1"/>
  <c r="CH47" i="1"/>
  <c r="CH266" i="1"/>
  <c r="CI47" i="1"/>
  <c r="CH248" i="1"/>
  <c r="CH249" i="1" s="1"/>
  <c r="CJ242" i="1"/>
  <c r="CJ128" i="1"/>
  <c r="CJ45" i="1"/>
  <c r="CJ50" i="1"/>
  <c r="CJ54" i="1" s="1"/>
  <c r="CN141" i="1"/>
  <c r="CM144" i="1"/>
  <c r="CM265" i="1" s="1"/>
  <c r="CH126" i="1"/>
  <c r="CH127" i="1"/>
  <c r="CP140" i="1"/>
  <c r="CO195" i="1"/>
  <c r="CO196" i="1"/>
  <c r="CO199" i="1"/>
  <c r="CZ179" i="1"/>
  <c r="CZ133" i="1"/>
  <c r="CM61" i="1"/>
  <c r="CN61" i="1" s="1"/>
  <c r="CO61" i="1" s="1"/>
  <c r="CP61" i="1" s="1"/>
  <c r="CQ61" i="1" s="1"/>
  <c r="CR61" i="1" s="1"/>
  <c r="CS61" i="1" s="1"/>
  <c r="CT61" i="1" s="1"/>
  <c r="CU61" i="1" s="1"/>
  <c r="CM62" i="1"/>
  <c r="CR43" i="1" l="1"/>
  <c r="CY149" i="1"/>
  <c r="CZ149" i="1" s="1"/>
  <c r="DA149" i="1" s="1"/>
  <c r="DB149" i="1" s="1"/>
  <c r="AE149" i="1" s="1"/>
  <c r="AD149" i="1"/>
  <c r="CK64" i="1"/>
  <c r="CK58" i="1"/>
  <c r="CK198" i="1"/>
  <c r="CK202" i="1" s="1"/>
  <c r="CI54" i="1"/>
  <c r="CL71" i="1"/>
  <c r="X54" i="1"/>
  <c r="X71" i="1"/>
  <c r="CL58" i="1"/>
  <c r="CL261" i="1" s="1"/>
  <c r="CL64" i="1"/>
  <c r="CL250" i="1"/>
  <c r="CL129" i="1"/>
  <c r="CL130" i="1"/>
  <c r="Y71" i="1"/>
  <c r="Y54" i="1"/>
  <c r="CN218" i="1"/>
  <c r="CO156" i="1"/>
  <c r="CM33" i="1"/>
  <c r="CN33" i="1" s="1"/>
  <c r="CH262" i="1"/>
  <c r="CH181" i="1"/>
  <c r="CH182" i="1" s="1"/>
  <c r="Z54" i="1"/>
  <c r="Z71" i="1"/>
  <c r="CG57" i="1"/>
  <c r="CG56" i="1"/>
  <c r="CJ57" i="1"/>
  <c r="CJ56" i="1"/>
  <c r="CN200" i="1"/>
  <c r="CM201" i="1"/>
  <c r="CH56" i="1"/>
  <c r="CH57" i="1"/>
  <c r="CL59" i="1" s="1"/>
  <c r="CM197" i="1"/>
  <c r="CO141" i="1"/>
  <c r="CN144" i="1"/>
  <c r="CN265" i="1" s="1"/>
  <c r="CM222" i="1"/>
  <c r="CP199" i="1"/>
  <c r="CP196" i="1"/>
  <c r="CP195" i="1"/>
  <c r="CQ140" i="1"/>
  <c r="DA133" i="1"/>
  <c r="DA179" i="1"/>
  <c r="CE81" i="1"/>
  <c r="AB61" i="1"/>
  <c r="AC61" i="1"/>
  <c r="CV61" i="1"/>
  <c r="CW61" i="1" s="1"/>
  <c r="CX61" i="1" s="1"/>
  <c r="CY61" i="1" s="1"/>
  <c r="AB51" i="1"/>
  <c r="CN62" i="1"/>
  <c r="CO62" i="1" s="1"/>
  <c r="CP62" i="1" s="1"/>
  <c r="CQ62" i="1" s="1"/>
  <c r="CS43" i="1" l="1"/>
  <c r="CT43" i="1"/>
  <c r="CK68" i="1"/>
  <c r="CK82" i="1"/>
  <c r="X57" i="1"/>
  <c r="X56" i="1"/>
  <c r="CI57" i="1"/>
  <c r="CI56" i="1"/>
  <c r="CL68" i="1"/>
  <c r="CL209" i="1"/>
  <c r="CL211" i="1" s="1"/>
  <c r="CL82" i="1"/>
  <c r="Y56" i="1"/>
  <c r="Y57" i="1"/>
  <c r="CO218" i="1"/>
  <c r="CP156" i="1"/>
  <c r="Z57" i="1"/>
  <c r="Z56" i="1"/>
  <c r="CK59" i="1"/>
  <c r="CG58" i="1"/>
  <c r="CG261" i="1" s="1"/>
  <c r="CG64" i="1"/>
  <c r="CG209" i="1" s="1"/>
  <c r="CG211" i="1" s="1"/>
  <c r="CG250" i="1"/>
  <c r="CH60" i="1"/>
  <c r="CJ60" i="1"/>
  <c r="CJ58" i="1"/>
  <c r="CJ261" i="1" s="1"/>
  <c r="CJ64" i="1"/>
  <c r="CJ250" i="1"/>
  <c r="CK60" i="1"/>
  <c r="CO33" i="1"/>
  <c r="CJ243" i="1"/>
  <c r="CK210" i="1"/>
  <c r="CK148" i="1"/>
  <c r="CO200" i="1"/>
  <c r="CN201" i="1"/>
  <c r="CH64" i="1"/>
  <c r="CI60" i="1"/>
  <c r="CH58" i="1"/>
  <c r="CH261" i="1" s="1"/>
  <c r="CH250" i="1"/>
  <c r="CM198" i="1"/>
  <c r="CM202" i="1" s="1"/>
  <c r="CN197" i="1"/>
  <c r="CP141" i="1"/>
  <c r="CO144" i="1"/>
  <c r="CO265" i="1" s="1"/>
  <c r="CN222" i="1"/>
  <c r="X250" i="1"/>
  <c r="X58" i="1"/>
  <c r="X261" i="1" s="1"/>
  <c r="Y59" i="1"/>
  <c r="X64" i="1"/>
  <c r="Y250" i="1"/>
  <c r="Y58" i="1"/>
  <c r="Y261" i="1" s="1"/>
  <c r="Y64" i="1"/>
  <c r="Z250" i="1"/>
  <c r="CM56" i="1"/>
  <c r="CN56" i="1" s="1"/>
  <c r="CB81" i="1"/>
  <c r="BL81" i="1"/>
  <c r="CR140" i="1"/>
  <c r="CQ195" i="1"/>
  <c r="CQ199" i="1"/>
  <c r="CC81" i="1"/>
  <c r="CQ196" i="1"/>
  <c r="DB133" i="1"/>
  <c r="DB179" i="1"/>
  <c r="AL81" i="1"/>
  <c r="CF81" i="1"/>
  <c r="CD81" i="1"/>
  <c r="BY81" i="1"/>
  <c r="BZ81" i="1"/>
  <c r="CA81" i="1"/>
  <c r="CJ82" i="1"/>
  <c r="CJ209" i="1"/>
  <c r="CJ211" i="1" s="1"/>
  <c r="AD61" i="1"/>
  <c r="AB62" i="1"/>
  <c r="CZ61" i="1"/>
  <c r="DA61" i="1" s="1"/>
  <c r="DB61" i="1" s="1"/>
  <c r="AE61" i="1" s="1"/>
  <c r="AC51" i="1"/>
  <c r="CR62" i="1"/>
  <c r="CS62" i="1" s="1"/>
  <c r="CT62" i="1" s="1"/>
  <c r="CU62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W13" i="4" a="1"/>
  <c r="EN15" i="4" a="1"/>
  <c r="ET7" i="4" a="1"/>
  <c r="EL15" i="4" a="1"/>
  <c r="AT42" i="3"/>
  <c r="AZ6" i="3"/>
  <c r="AF35" i="3"/>
  <c r="AZ36" i="3"/>
  <c r="AX16" i="3"/>
  <c r="AT21" i="3"/>
  <c r="AR6" i="3"/>
  <c r="AS20" i="3"/>
  <c r="AX40" i="3"/>
  <c r="AU39" i="3"/>
  <c r="AY31" i="3"/>
  <c r="AU21" i="3"/>
  <c r="AN6" i="6" a="1"/>
  <c r="AW34" i="3"/>
  <c r="AV5" i="3"/>
  <c r="AZ45" i="3"/>
  <c r="AK6" i="6" a="1"/>
  <c r="AJ6" i="6" a="1"/>
  <c r="AT36" i="3"/>
  <c r="EQ15" i="4" a="1"/>
  <c r="ER8" i="4" a="1"/>
  <c r="EL14" i="4" a="1"/>
  <c r="AS7" i="3"/>
  <c r="AU36" i="3"/>
  <c r="AP6" i="6" a="1"/>
  <c r="AZ10" i="3"/>
  <c r="AZ20" i="3"/>
  <c r="E6" i="6" a="1"/>
  <c r="AY19" i="3"/>
  <c r="W5" i="6" a="1"/>
  <c r="AX11" i="3"/>
  <c r="EQ5" i="4" a="1"/>
  <c r="AV6" i="3"/>
  <c r="AX19" i="3"/>
  <c r="AV28" i="3"/>
  <c r="AP6" i="3"/>
  <c r="AS5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AX12" i="3"/>
  <c r="AU18" i="3"/>
  <c r="AZ18" i="3"/>
  <c r="AU9" i="3"/>
  <c r="AY26" i="3"/>
  <c r="AG6" i="6" a="1"/>
  <c r="V5" i="6" a="1"/>
  <c r="AS37" i="3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EP13" i="4" a="1"/>
  <c r="EW15" i="4" a="1"/>
  <c r="ER5" i="4" a="1"/>
  <c r="EL9" i="4" a="1"/>
  <c r="EM12" i="4" a="1"/>
  <c r="EN11" i="4" a="1"/>
  <c r="EV8" i="4" a="1"/>
  <c r="EV12" i="4" a="1"/>
  <c r="ER9" i="4" a="1"/>
  <c r="EV15" i="4" a="1"/>
  <c r="AU41" i="3"/>
  <c r="I6" i="6" a="1"/>
  <c r="AX24" i="3"/>
  <c r="AW17" i="3"/>
  <c r="AY12" i="3"/>
  <c r="AY21" i="3"/>
  <c r="AX39" i="3"/>
  <c r="AT32" i="3"/>
  <c r="L5" i="6" a="1"/>
  <c r="ER16" i="4" a="1"/>
  <c r="EM13" i="4" a="1"/>
  <c r="EV9" i="4" a="1"/>
  <c r="AA5" i="6" a="1"/>
  <c r="AU13" i="3"/>
  <c r="AY11" i="3"/>
  <c r="AF36" i="3"/>
  <c r="AF28" i="3"/>
  <c r="AF33" i="3"/>
  <c r="AV15" i="3"/>
  <c r="EP5" i="4" a="1"/>
  <c r="EV5" i="4" a="1"/>
  <c r="AY45" i="3"/>
  <c r="S5" i="6" a="1"/>
  <c r="AF12" i="3"/>
  <c r="EQ16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J5" i="6" a="1"/>
  <c r="AF38" i="3"/>
  <c r="AV35" i="3"/>
  <c r="AS16" i="3"/>
  <c r="AF15" i="3"/>
  <c r="D5" i="6" a="1"/>
  <c r="ER14" i="4" a="1"/>
  <c r="EW8" i="4" a="1"/>
  <c r="EQ6" i="4" a="1"/>
  <c r="EQ7" i="4" a="1"/>
  <c r="EW6" i="4" a="1"/>
  <c r="AF45" i="3"/>
  <c r="AT17" i="3"/>
  <c r="AX34" i="3"/>
  <c r="AM6" i="6" a="1"/>
  <c r="AW29" i="3"/>
  <c r="AS28" i="3"/>
  <c r="AZ25" i="3"/>
  <c r="AW15" i="3"/>
  <c r="AT33" i="3"/>
  <c r="EO12" i="4" a="1"/>
  <c r="AW28" i="3"/>
  <c r="C5" i="3"/>
  <c r="AZ24" i="3"/>
  <c r="AT35" i="3"/>
  <c r="AX9" i="3"/>
  <c r="AX42" i="3"/>
  <c r="AZ46" i="3"/>
  <c r="AU7" i="3"/>
  <c r="EV13" i="4" a="1"/>
  <c r="EQ8" i="4" a="1"/>
  <c r="AZ23" i="3"/>
  <c r="AZ33" i="3"/>
  <c r="AZ19" i="3"/>
  <c r="ET11" i="4" a="1"/>
  <c r="EW5" i="4" a="1"/>
  <c r="EP16" i="4" a="1"/>
  <c r="O5" i="6" a="1"/>
  <c r="AZ12" i="3"/>
  <c r="AA6" i="6" a="1"/>
  <c r="AR5" i="3"/>
  <c r="Q5" i="6" a="1"/>
  <c r="AW38" i="3"/>
  <c r="AT6" i="3"/>
  <c r="AT16" i="3"/>
  <c r="EW12" i="4" a="1"/>
  <c r="EO13" i="4" a="1"/>
  <c r="AW5" i="3"/>
  <c r="AP5" i="3"/>
  <c r="AW33" i="3"/>
  <c r="AV22" i="3"/>
  <c r="EQ9" i="4" a="1"/>
  <c r="EL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I6" i="6" a="1"/>
  <c r="I5" i="6" a="1"/>
  <c r="AT7" i="3"/>
  <c r="AR6" i="6" a="1"/>
  <c r="AZ8" i="3"/>
  <c r="AZ5" i="3"/>
  <c r="AN5" i="6" a="1"/>
  <c r="AS23" i="3"/>
  <c r="AX18" i="3"/>
  <c r="AS31" i="3"/>
  <c r="AY39" i="3"/>
  <c r="EN5" i="4" a="1"/>
  <c r="ET6" i="4" a="1"/>
  <c r="EN6" i="4" a="1"/>
  <c r="EO8" i="4" a="1"/>
  <c r="EO15" i="4" a="1"/>
  <c r="AV11" i="3"/>
  <c r="AV18" i="3"/>
  <c r="AF42" i="3"/>
  <c r="AX5" i="6" a="1"/>
  <c r="ES5" i="4" a="1"/>
  <c r="EU7" i="4" a="1"/>
  <c r="ER6" i="4" a="1"/>
  <c r="EL12" i="4" a="1"/>
  <c r="EM6" i="4" a="1"/>
  <c r="AT24" i="3"/>
  <c r="AJ5" i="6" a="1"/>
  <c r="AV40" i="3"/>
  <c r="AU16" i="3"/>
  <c r="AU5" i="3"/>
  <c r="AX46" i="3"/>
  <c r="AY37" i="3"/>
  <c r="ET12" i="4" a="1"/>
  <c r="EM5" i="4" a="1"/>
  <c r="EN7" i="4" a="1"/>
  <c r="EL13" i="4" a="1"/>
  <c r="ES13" i="4" a="1"/>
  <c r="AY35" i="3"/>
  <c r="AV23" i="3"/>
  <c r="AF31" i="3"/>
  <c r="AF39" i="3"/>
  <c r="AU37" i="3"/>
  <c r="ES8" i="4" a="1"/>
  <c r="AT28" i="3"/>
  <c r="AS24" i="3"/>
  <c r="AS18" i="3"/>
  <c r="AU46" i="3"/>
  <c r="AY6" i="3"/>
  <c r="AF27" i="3"/>
  <c r="AZ9" i="3"/>
  <c r="AZ26" i="3"/>
  <c r="X5" i="6" a="1"/>
  <c r="EQ12" i="4" a="1"/>
  <c r="EP12" i="4" a="1"/>
  <c r="EM14" i="4" a="1"/>
  <c r="AY46" i="3"/>
  <c r="AY14" i="3"/>
  <c r="H5" i="6" a="1"/>
  <c r="AF20" i="3"/>
  <c r="AT9" i="3"/>
  <c r="AT18" i="3"/>
  <c r="G6" i="6" a="1"/>
  <c r="EW14" i="4" a="1"/>
  <c r="AU25" i="3"/>
  <c r="AY24" i="3"/>
  <c r="AY40" i="3"/>
  <c r="O6" i="6" a="1"/>
  <c r="AV42" i="3"/>
  <c r="AS45" i="3"/>
  <c r="AW21" i="3"/>
  <c r="Z6" i="6" a="1"/>
  <c r="AU17" i="3"/>
  <c r="AZ42" i="3"/>
  <c r="C5" i="6" a="1"/>
  <c r="AL5" i="6" a="1"/>
  <c r="AX23" i="3"/>
  <c r="AW20" i="3"/>
  <c r="AS9" i="3"/>
  <c r="AW31" i="3"/>
  <c r="AV46" i="3"/>
  <c r="AV7" i="3"/>
  <c r="AV34" i="3"/>
  <c r="G5" i="6" a="1"/>
  <c r="AT19" i="3"/>
  <c r="AC6" i="6" a="1"/>
  <c r="ES9" i="4" a="1"/>
  <c r="M6" i="6" a="1"/>
  <c r="AX32" i="3"/>
  <c r="AY5" i="6" a="1"/>
  <c r="AU20" i="3"/>
  <c r="AS11" i="3"/>
  <c r="AU45" i="3"/>
  <c r="F46" i="3"/>
  <c r="AX13" i="3"/>
  <c r="EL6" i="4" a="1"/>
  <c r="EP11" i="4" a="1"/>
  <c r="ER7" i="4" a="1"/>
  <c r="ES12" i="4" a="1"/>
  <c r="EV11" i="4" a="1"/>
  <c r="AX6" i="3"/>
  <c r="AV26" i="3"/>
  <c r="AW23" i="3"/>
  <c r="AQ6" i="6" a="1"/>
  <c r="AU12" i="3"/>
  <c r="AY15" i="3"/>
  <c r="AY42" i="3"/>
  <c r="ER11" i="4" a="1"/>
  <c r="EO6" i="4" a="1"/>
  <c r="EW9" i="4" a="1"/>
  <c r="AY13" i="3"/>
  <c r="AV45" i="3"/>
  <c r="AS25" i="3"/>
  <c r="AF16" i="3"/>
  <c r="AX27" i="3"/>
  <c r="EM9" i="4" a="1"/>
  <c r="EM7" i="4" a="1"/>
  <c r="ET9" i="4" a="1"/>
  <c r="AS29" i="3"/>
  <c r="AZ39" i="3"/>
  <c r="AF29" i="3"/>
  <c r="AF6" i="6" a="1"/>
  <c r="Z5" i="6" a="1"/>
  <c r="AF5" i="3"/>
  <c r="AF46" i="3"/>
  <c r="AZ32" i="3"/>
  <c r="AU30" i="3"/>
  <c r="EM11" i="4" a="1"/>
  <c r="AS46" i="3"/>
  <c r="AW16" i="3"/>
  <c r="AF32" i="3"/>
  <c r="AX6" i="6" a="1"/>
  <c r="AT23" i="3"/>
  <c r="AY16" i="3"/>
  <c r="AS42" i="3"/>
  <c r="EN14" i="4" a="1"/>
  <c r="EU15" i="4" a="1"/>
  <c r="EL7" i="4" a="1"/>
  <c r="ES11" i="4" a="1"/>
  <c r="AT22" i="3"/>
  <c r="AY41" i="3"/>
  <c r="C5" i="4" a="1"/>
  <c r="ES15" i="4" a="1"/>
  <c r="EO11" i="4" a="1"/>
  <c r="ET13" i="4" a="1"/>
  <c r="AT8" i="3"/>
  <c r="AZ17" i="3"/>
  <c r="AB6" i="6" a="1"/>
  <c r="Y5" i="6" a="1"/>
  <c r="AF19" i="3"/>
  <c r="AX20" i="3"/>
  <c r="AU28" i="3"/>
  <c r="AX26" i="3"/>
  <c r="AX41" i="3"/>
  <c r="AZ22" i="3"/>
  <c r="AX31" i="3"/>
  <c r="AW40" i="3"/>
  <c r="AZ21" i="3"/>
  <c r="AF24" i="3"/>
  <c r="AF37" i="3"/>
  <c r="AZ15" i="3"/>
  <c r="AT26" i="3"/>
  <c r="AS5" i="6" a="1"/>
  <c r="AU15" i="3"/>
  <c r="AU19" i="3"/>
  <c r="AS8" i="3"/>
  <c r="AY25" i="3"/>
  <c r="AZ11" i="3"/>
  <c r="J6" i="6" a="1"/>
  <c r="ET15" i="4" a="1"/>
  <c r="AV20" i="3"/>
  <c r="AY8" i="3"/>
  <c r="ER12" i="4" a="1"/>
  <c r="ET14" i="4" a="1"/>
  <c r="AV8" i="3"/>
  <c r="AT30" i="3"/>
  <c r="AF23" i="3"/>
  <c r="ES16" i="4" a="1"/>
  <c r="EV16" i="4" a="1"/>
  <c r="AU5" i="6" a="1"/>
  <c r="AF41" i="3"/>
  <c r="AY27" i="3"/>
  <c r="AV33" i="3"/>
  <c r="AU29" i="3"/>
  <c r="ER13" i="4" a="1"/>
  <c r="P5" i="6" a="1"/>
  <c r="AU38" i="3"/>
  <c r="AO5" i="6" a="1"/>
  <c r="AY34" i="3"/>
  <c r="AP5" i="6" a="1"/>
  <c r="W6" i="6" a="1"/>
  <c r="AZ38" i="3"/>
  <c r="AW12" i="3"/>
  <c r="AW5" i="6" a="1"/>
  <c r="AT10" i="3"/>
  <c r="AF10" i="3"/>
  <c r="L6" i="6" a="1"/>
  <c r="R6" i="6" a="1"/>
  <c r="T5" i="6" a="1"/>
  <c r="AU42" i="3"/>
  <c r="AZ41" i="3"/>
  <c r="AU27" i="3"/>
  <c r="AU10" i="3"/>
  <c r="AY22" i="3"/>
  <c r="AZ30" i="3"/>
  <c r="AW14" i="3"/>
  <c r="AU35" i="3"/>
  <c r="AF14" i="3"/>
  <c r="Y6" i="6" a="1"/>
  <c r="EU12" i="4" a="1"/>
  <c r="EQ14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S34" i="3"/>
  <c r="AX45" i="3"/>
  <c r="D6" i="6" a="1"/>
  <c r="EO16" i="4" a="1"/>
  <c r="AT38" i="3"/>
  <c r="AO6" i="6" a="1"/>
  <c r="AZ27" i="3"/>
  <c r="AM5" i="6" a="1"/>
  <c r="AF17" i="3"/>
  <c r="ET8" i="4" a="1"/>
  <c r="AS12" i="3"/>
  <c r="AY18" i="3"/>
  <c r="AY28" i="3"/>
  <c r="AH5" i="6" a="1"/>
  <c r="S6" i="6" a="1"/>
  <c r="AT34" i="3"/>
  <c r="X6" i="6" a="1"/>
  <c r="EU16" i="4" a="1"/>
  <c r="AW11" i="3"/>
  <c r="H6" i="6" a="1"/>
  <c r="AY10" i="3"/>
  <c r="AV32" i="3"/>
  <c r="EO14" i="4" a="1"/>
  <c r="ES7" i="4" a="1"/>
  <c r="Z64" i="1" l="1"/>
  <c r="AA59" i="1"/>
  <c r="CI64" i="1"/>
  <c r="CI250" i="1"/>
  <c r="CI58" i="1"/>
  <c r="CI261" i="1" s="1"/>
  <c r="CL243" i="1"/>
  <c r="CJ68" i="1"/>
  <c r="CL70" i="1"/>
  <c r="CK150" i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L148" i="1"/>
  <c r="CL147" i="1" s="1"/>
  <c r="Z59" i="1"/>
  <c r="Z58" i="1"/>
  <c r="Z261" i="1" s="1"/>
  <c r="CG82" i="1"/>
  <c r="CG68" i="1"/>
  <c r="CP218" i="1"/>
  <c r="CQ156" i="1"/>
  <c r="CP33" i="1"/>
  <c r="CP200" i="1"/>
  <c r="CO201" i="1"/>
  <c r="CJ70" i="1"/>
  <c r="CH209" i="1"/>
  <c r="CH211" i="1" s="1"/>
  <c r="CH82" i="1"/>
  <c r="CH68" i="1"/>
  <c r="CK154" i="1"/>
  <c r="CN198" i="1"/>
  <c r="CN202" i="1" s="1"/>
  <c r="CO197" i="1"/>
  <c r="CQ141" i="1"/>
  <c r="CP144" i="1"/>
  <c r="CP265" i="1" s="1"/>
  <c r="CO222" i="1"/>
  <c r="BY38" i="1"/>
  <c r="CA25" i="1"/>
  <c r="CE38" i="1"/>
  <c r="CA38" i="1"/>
  <c r="CF38" i="1"/>
  <c r="CD38" i="1"/>
  <c r="BZ38" i="1"/>
  <c r="BL38" i="1"/>
  <c r="CC38" i="1"/>
  <c r="CB38" i="1"/>
  <c r="CF25" i="1"/>
  <c r="CD25" i="1"/>
  <c r="BY25" i="1"/>
  <c r="CE25" i="1"/>
  <c r="BZ25" i="1"/>
  <c r="CC25" i="1"/>
  <c r="CB25" i="1"/>
  <c r="BL25" i="1"/>
  <c r="Y209" i="1"/>
  <c r="Y211" i="1" s="1"/>
  <c r="Y215" i="1" s="1"/>
  <c r="Y229" i="1" s="1"/>
  <c r="Y223" i="1"/>
  <c r="Y221" i="1" s="1"/>
  <c r="Y70" i="1"/>
  <c r="Y68" i="1"/>
  <c r="X209" i="1"/>
  <c r="X211" i="1" s="1"/>
  <c r="X68" i="1"/>
  <c r="X70" i="1"/>
  <c r="Z209" i="1"/>
  <c r="Z211" i="1" s="1"/>
  <c r="Z215" i="1" s="1"/>
  <c r="Z229" i="1" s="1"/>
  <c r="Z223" i="1"/>
  <c r="Z221" i="1" s="1"/>
  <c r="Z70" i="1"/>
  <c r="Z68" i="1"/>
  <c r="CD41" i="1"/>
  <c r="CC61" i="1"/>
  <c r="CA24" i="1"/>
  <c r="CD55" i="1"/>
  <c r="AH7" i="6" s="1"/>
  <c r="CD51" i="1"/>
  <c r="CF52" i="1"/>
  <c r="BY61" i="1"/>
  <c r="BL61" i="1"/>
  <c r="CD62" i="1"/>
  <c r="AV7" i="6" s="1"/>
  <c r="CB36" i="1"/>
  <c r="R7" i="6" s="1"/>
  <c r="X7" i="6" s="1"/>
  <c r="CD61" i="1"/>
  <c r="CD31" i="1"/>
  <c r="V7" i="6" s="1"/>
  <c r="BY31" i="1"/>
  <c r="CB24" i="1"/>
  <c r="BY67" i="1"/>
  <c r="BL24" i="1"/>
  <c r="BL11" i="1" s="1"/>
  <c r="AW7" i="6" s="1"/>
  <c r="BY37" i="1"/>
  <c r="CA29" i="1"/>
  <c r="CB39" i="1"/>
  <c r="BZ52" i="1"/>
  <c r="O7" i="6" s="1"/>
  <c r="BL63" i="1"/>
  <c r="AQ7" i="6" s="1"/>
  <c r="CF24" i="1"/>
  <c r="CF11" i="1" s="1"/>
  <c r="JJ9" i="4" s="1"/>
  <c r="BY62" i="1"/>
  <c r="AM7" i="6" s="1"/>
  <c r="JM16" i="4" s="1"/>
  <c r="CF63" i="1"/>
  <c r="CA40" i="1"/>
  <c r="BL39" i="1"/>
  <c r="BL62" i="1"/>
  <c r="CF51" i="1"/>
  <c r="BL52" i="1"/>
  <c r="BZ61" i="1"/>
  <c r="CC41" i="1"/>
  <c r="CC37" i="1"/>
  <c r="JM9" i="4" s="1"/>
  <c r="CA37" i="1"/>
  <c r="JL16" i="4" s="1"/>
  <c r="BZ40" i="1"/>
  <c r="CB37" i="1"/>
  <c r="CC29" i="1"/>
  <c r="JK16" i="4" s="1"/>
  <c r="CA67" i="1"/>
  <c r="BZ30" i="1"/>
  <c r="CE31" i="1"/>
  <c r="CC30" i="1"/>
  <c r="C7" i="6" s="1"/>
  <c r="T7" i="6" s="1"/>
  <c r="BY40" i="1"/>
  <c r="CC62" i="1"/>
  <c r="CC24" i="1"/>
  <c r="CB51" i="1"/>
  <c r="JL9" i="4" s="1"/>
  <c r="CF55" i="1"/>
  <c r="AL7" i="6" s="1"/>
  <c r="BZ48" i="1"/>
  <c r="BZ210" i="1" s="1"/>
  <c r="BZ51" i="1"/>
  <c r="J7" i="6" s="1"/>
  <c r="BY63" i="1"/>
  <c r="Z7" i="6" s="1"/>
  <c r="BL36" i="1"/>
  <c r="CF29" i="1"/>
  <c r="CF39" i="1"/>
  <c r="BZ29" i="1"/>
  <c r="CA31" i="1"/>
  <c r="CD30" i="1"/>
  <c r="BL37" i="1"/>
  <c r="BY30" i="1"/>
  <c r="CE48" i="1"/>
  <c r="CE210" i="1" s="1"/>
  <c r="AD7" i="6" s="1"/>
  <c r="CF41" i="1"/>
  <c r="CE36" i="1"/>
  <c r="CA63" i="1"/>
  <c r="CD52" i="1"/>
  <c r="CB40" i="1"/>
  <c r="CD63" i="1"/>
  <c r="AP7" i="6" s="1"/>
  <c r="Y7" i="6" s="1"/>
  <c r="CA41" i="1"/>
  <c r="AA7" i="6" s="1"/>
  <c r="AJ7" i="6" s="1"/>
  <c r="BY24" i="1"/>
  <c r="BY11" i="1" s="1"/>
  <c r="BY39" i="1"/>
  <c r="CB55" i="1"/>
  <c r="CE41" i="1"/>
  <c r="I7" i="6" s="1"/>
  <c r="AK7" i="6" s="1"/>
  <c r="CE30" i="1"/>
  <c r="K7" i="6" s="1"/>
  <c r="F7" i="6" s="1"/>
  <c r="CB61" i="1"/>
  <c r="CF40" i="1"/>
  <c r="AC7" i="6" s="1"/>
  <c r="AE7" i="6" s="1"/>
  <c r="M7" i="6" s="1"/>
  <c r="Q7" i="6" s="1"/>
  <c r="CA62" i="1"/>
  <c r="BZ62" i="1"/>
  <c r="CA52" i="1"/>
  <c r="CF62" i="1"/>
  <c r="AU7" i="6" s="1"/>
  <c r="BL31" i="1"/>
  <c r="CE40" i="1"/>
  <c r="CB48" i="1"/>
  <c r="CB210" i="1" s="1"/>
  <c r="CC63" i="1"/>
  <c r="CC67" i="1"/>
  <c r="AX7" i="6" s="1"/>
  <c r="BZ39" i="1"/>
  <c r="AT7" i="6" s="1"/>
  <c r="S7" i="6" s="1"/>
  <c r="BY29" i="1"/>
  <c r="CE51" i="1"/>
  <c r="CA61" i="1"/>
  <c r="CB63" i="1"/>
  <c r="CA51" i="1"/>
  <c r="CF67" i="1"/>
  <c r="CF37" i="1"/>
  <c r="CA36" i="1"/>
  <c r="AN7" i="6" s="1"/>
  <c r="CE62" i="1"/>
  <c r="CC31" i="1"/>
  <c r="CE67" i="1"/>
  <c r="CF31" i="1"/>
  <c r="G7" i="6" s="1"/>
  <c r="BL48" i="1"/>
  <c r="AF7" i="6" s="1"/>
  <c r="CC36" i="1"/>
  <c r="CD36" i="1"/>
  <c r="JJ16" i="4" s="1"/>
  <c r="BY41" i="1"/>
  <c r="CB62" i="1"/>
  <c r="CE24" i="1"/>
  <c r="CE11" i="1" s="1"/>
  <c r="AB7" i="6" s="1"/>
  <c r="BL30" i="1"/>
  <c r="CD67" i="1"/>
  <c r="BY36" i="1"/>
  <c r="BZ31" i="1"/>
  <c r="CD37" i="1"/>
  <c r="L7" i="6" s="1"/>
  <c r="BL55" i="1"/>
  <c r="BZ24" i="1"/>
  <c r="CA48" i="1"/>
  <c r="BZ55" i="1"/>
  <c r="BY48" i="1"/>
  <c r="BY210" i="1" s="1"/>
  <c r="AI7" i="6" s="1"/>
  <c r="CC55" i="1"/>
  <c r="D7" i="6" s="1"/>
  <c r="BZ37" i="1"/>
  <c r="AG7" i="6" s="1"/>
  <c r="BZ36" i="1"/>
  <c r="BL67" i="1"/>
  <c r="W7" i="6" s="1"/>
  <c r="CB67" i="1"/>
  <c r="CE63" i="1"/>
  <c r="CF36" i="1"/>
  <c r="CC39" i="1"/>
  <c r="CD39" i="1"/>
  <c r="CE29" i="1"/>
  <c r="BY51" i="1"/>
  <c r="CC51" i="1"/>
  <c r="BZ67" i="1"/>
  <c r="AS7" i="6" s="1"/>
  <c r="BZ63" i="1"/>
  <c r="CE52" i="1"/>
  <c r="CD29" i="1"/>
  <c r="BL51" i="1"/>
  <c r="CB30" i="1"/>
  <c r="CC48" i="1"/>
  <c r="CC210" i="1" s="1"/>
  <c r="BY55" i="1"/>
  <c r="H7" i="6" s="1"/>
  <c r="CA39" i="1"/>
  <c r="BZ41" i="1"/>
  <c r="CD24" i="1"/>
  <c r="AR7" i="6" s="1"/>
  <c r="CF30" i="1"/>
  <c r="BL29" i="1"/>
  <c r="BL40" i="1"/>
  <c r="JK9" i="4" s="1"/>
  <c r="AO7" i="6" s="1"/>
  <c r="CA55" i="1"/>
  <c r="BL41" i="1"/>
  <c r="CA30" i="1"/>
  <c r="CE61" i="1"/>
  <c r="CD40" i="1"/>
  <c r="P7" i="6" s="1"/>
  <c r="E7" i="6" s="1"/>
  <c r="U7" i="6" s="1"/>
  <c r="CC40" i="1"/>
  <c r="AY7" i="6" s="1"/>
  <c r="CD48" i="1"/>
  <c r="CB31" i="1"/>
  <c r="CC52" i="1"/>
  <c r="CB52" i="1"/>
  <c r="CE39" i="1"/>
  <c r="CE37" i="1"/>
  <c r="CF48" i="1"/>
  <c r="CF210" i="1" s="1"/>
  <c r="CB41" i="1"/>
  <c r="BY52" i="1"/>
  <c r="CF61" i="1"/>
  <c r="N7" i="6" s="1"/>
  <c r="CO56" i="1"/>
  <c r="CP56" i="1" s="1"/>
  <c r="CU43" i="1"/>
  <c r="CS140" i="1"/>
  <c r="CR196" i="1"/>
  <c r="CR199" i="1"/>
  <c r="CR195" i="1"/>
  <c r="CJ71" i="1"/>
  <c r="AC62" i="1"/>
  <c r="CV62" i="1"/>
  <c r="CW62" i="1" s="1"/>
  <c r="CX62" i="1" s="1"/>
  <c r="CY62" i="1" s="1"/>
  <c r="AD51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S94" i="3"/>
  <c r="C95" i="3"/>
  <c r="AF96" i="3"/>
  <c r="AX94" i="3"/>
  <c r="AW83" i="3"/>
  <c r="AF82" i="3"/>
  <c r="AF79" i="3"/>
  <c r="AS88" i="3"/>
  <c r="AV56" i="3"/>
  <c r="AT81" i="3"/>
  <c r="AS95" i="3"/>
  <c r="AV79" i="3"/>
  <c r="AT85" i="3"/>
  <c r="C63" i="3"/>
  <c r="AW66" i="3"/>
  <c r="C81" i="3"/>
  <c r="C96" i="3"/>
  <c r="AZ59" i="3"/>
  <c r="AT56" i="3"/>
  <c r="AT88" i="3"/>
  <c r="AS59" i="3"/>
  <c r="AV50" i="3"/>
  <c r="AU60" i="3"/>
  <c r="AF80" i="3"/>
  <c r="AS58" i="3"/>
  <c r="AX63" i="3"/>
  <c r="AX84" i="3"/>
  <c r="AW76" i="3"/>
  <c r="AT59" i="3"/>
  <c r="AF86" i="3"/>
  <c r="AY55" i="3"/>
  <c r="AY71" i="3"/>
  <c r="AX89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71" i="3"/>
  <c r="AF84" i="3"/>
  <c r="AU90" i="3"/>
  <c r="AT50" i="3"/>
  <c r="AS60" i="3"/>
  <c r="AS71" i="3"/>
  <c r="AU74" i="3"/>
  <c r="AW84" i="3"/>
  <c r="AX86" i="3"/>
  <c r="AF70" i="3"/>
  <c r="AY60" i="3"/>
  <c r="AX78" i="3"/>
  <c r="AU49" i="3"/>
  <c r="AW80" i="3"/>
  <c r="C64" i="3"/>
  <c r="AS80" i="3"/>
  <c r="AX83" i="3"/>
  <c r="C92" i="3"/>
  <c r="AV80" i="3"/>
  <c r="C65" i="3"/>
  <c r="AU87" i="3"/>
  <c r="AU86" i="3"/>
  <c r="AS91" i="3"/>
  <c r="AZ86" i="3"/>
  <c r="AT74" i="3"/>
  <c r="AT58" i="3"/>
  <c r="AX80" i="3"/>
  <c r="AY65" i="3"/>
  <c r="AS68" i="3"/>
  <c r="AV65" i="3"/>
  <c r="AU66" i="3"/>
  <c r="AW72" i="3"/>
  <c r="C86" i="3"/>
  <c r="AS74" i="3"/>
  <c r="AV47" i="3"/>
  <c r="C66" i="3"/>
  <c r="AV74" i="3"/>
  <c r="AX71" i="3"/>
  <c r="AY78" i="3"/>
  <c r="AU56" i="3"/>
  <c r="AX81" i="3"/>
  <c r="AU80" i="3"/>
  <c r="AT87" i="3"/>
  <c r="AS86" i="3"/>
  <c r="AW75" i="3"/>
  <c r="AY94" i="3"/>
  <c r="AX74" i="3"/>
  <c r="AX6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55" i="3"/>
  <c r="AT83" i="3"/>
  <c r="AF76" i="3"/>
  <c r="AX70" i="3"/>
  <c r="AT79" i="3"/>
  <c r="AW81" i="3"/>
  <c r="AU93" i="3"/>
  <c r="AU94" i="3"/>
  <c r="AF65" i="3"/>
  <c r="AY59" i="3"/>
  <c r="AX64" i="3"/>
  <c r="AY80" i="3"/>
  <c r="AZ56" i="3"/>
  <c r="AZ48" i="3"/>
  <c r="AX87" i="3"/>
  <c r="AY77" i="3"/>
  <c r="AY86" i="3"/>
  <c r="AW71" i="3"/>
  <c r="AF90" i="3"/>
  <c r="AV61" i="3"/>
  <c r="AF47" i="3"/>
  <c r="AV86" i="3"/>
  <c r="AX61" i="3"/>
  <c r="AY74" i="3"/>
  <c r="C78" i="3"/>
  <c r="AX65" i="3"/>
  <c r="AV54" i="3"/>
  <c r="AY70" i="3"/>
  <c r="C82" i="3"/>
  <c r="AV73" i="3"/>
  <c r="AS79" i="3"/>
  <c r="AU59" i="3"/>
  <c r="AS87" i="3"/>
  <c r="C62" i="3"/>
  <c r="AX93" i="3"/>
  <c r="AS84" i="3"/>
  <c r="AY88" i="3"/>
  <c r="AT76" i="3"/>
  <c r="AF91" i="3"/>
  <c r="C85" i="3"/>
  <c r="AV88" i="3"/>
  <c r="AW58" i="3"/>
  <c r="AY76" i="3"/>
  <c r="AS83" i="3"/>
  <c r="AW96" i="3"/>
  <c r="AZ84" i="3"/>
  <c r="AT71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Z55" i="3"/>
  <c r="AW73" i="3"/>
  <c r="AS96" i="3"/>
  <c r="AV94" i="3"/>
  <c r="AF75" i="3"/>
  <c r="AF71" i="3"/>
  <c r="AS62" i="3"/>
  <c r="AV63" i="3"/>
  <c r="AU61" i="3"/>
  <c r="AT93" i="3"/>
  <c r="AY91" i="3"/>
  <c r="AS69" i="3"/>
  <c r="AS82" i="3"/>
  <c r="AZ83" i="3"/>
  <c r="AT48" i="3"/>
  <c r="AY83" i="3"/>
  <c r="AX91" i="3"/>
  <c r="AY79" i="3"/>
  <c r="AW91" i="3"/>
  <c r="AV78" i="3"/>
  <c r="AY97" i="3"/>
  <c r="AT97" i="3"/>
  <c r="AF56" i="3"/>
  <c r="AY47" i="3"/>
  <c r="AY93" i="3"/>
  <c r="AF94" i="3"/>
  <c r="AS66" i="3"/>
  <c r="AU92" i="3"/>
  <c r="AT67" i="3"/>
  <c r="AV59" i="3"/>
  <c r="AZ70" i="3"/>
  <c r="AT89" i="3"/>
  <c r="AW70" i="3"/>
  <c r="AZ54" i="3"/>
  <c r="AY68" i="3"/>
  <c r="AS67" i="3"/>
  <c r="AU95" i="3"/>
  <c r="AT96" i="3"/>
  <c r="AW63" i="3"/>
  <c r="AU72" i="3"/>
  <c r="AF4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U71" i="3"/>
  <c r="AT91" i="3"/>
  <c r="C57" i="3"/>
  <c r="AT75" i="3"/>
  <c r="AX95" i="3"/>
  <c r="AY96" i="3"/>
  <c r="AW50" i="3"/>
  <c r="AX72" i="3"/>
  <c r="AU76" i="3"/>
  <c r="C76" i="3"/>
  <c r="AY90" i="3"/>
  <c r="AW79" i="3"/>
  <c r="AV62" i="3"/>
  <c r="AS81" i="3"/>
  <c r="AU64" i="3"/>
  <c r="C87" i="3"/>
  <c r="AS61" i="3"/>
  <c r="AX59" i="3"/>
  <c r="AT95" i="3"/>
  <c r="AU83" i="3"/>
  <c r="AS97" i="3"/>
  <c r="AY58" i="3"/>
  <c r="AY63" i="3"/>
  <c r="AZ87" i="3"/>
  <c r="AU62" i="3"/>
  <c r="AS64" i="3"/>
  <c r="AU65" i="3"/>
  <c r="AS57" i="3"/>
  <c r="AV60" i="3"/>
  <c r="AW56" i="3"/>
  <c r="AX90" i="3"/>
  <c r="AY64" i="3"/>
  <c r="AZ80" i="3"/>
  <c r="AF87" i="3"/>
  <c r="AX77" i="3"/>
  <c r="AU97" i="3"/>
  <c r="AS72" i="3"/>
  <c r="AW57" i="3"/>
  <c r="AW85" i="3"/>
  <c r="AU96" i="3"/>
  <c r="AX76" i="3"/>
  <c r="AV70" i="3"/>
  <c r="AZ65" i="3"/>
  <c r="AT82" i="3"/>
  <c r="AX92" i="3"/>
  <c r="AY89" i="3"/>
  <c r="AZ64" i="3"/>
  <c r="AW60" i="3"/>
  <c r="AW78" i="3"/>
  <c r="AY62" i="3"/>
  <c r="C93" i="3"/>
  <c r="AX49" i="3"/>
  <c r="AV77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F74" i="3"/>
  <c r="AS56" i="3"/>
  <c r="AZ50" i="3"/>
  <c r="C69" i="3"/>
  <c r="AX97" i="3"/>
  <c r="AT94" i="3"/>
  <c r="AZ57" i="3"/>
  <c r="AZ91" i="3"/>
  <c r="AY92" i="3"/>
  <c r="C59" i="3"/>
  <c r="AZ81" i="3"/>
  <c r="AV95" i="3"/>
  <c r="AU67" i="3"/>
  <c r="AZ95" i="3"/>
  <c r="C58" i="3"/>
  <c r="AX47" i="3"/>
  <c r="AU50" i="3"/>
  <c r="AT60" i="3"/>
  <c r="AU79" i="3"/>
  <c r="AY57" i="3"/>
  <c r="AV76" i="3"/>
  <c r="AY67" i="3"/>
  <c r="AT55" i="3"/>
  <c r="AS73" i="3"/>
  <c r="AW89" i="3"/>
  <c r="CI209" i="1" l="1"/>
  <c r="CI211" i="1" s="1"/>
  <c r="CI82" i="1"/>
  <c r="CL85" i="1" s="1"/>
  <c r="CI68" i="1"/>
  <c r="CI135" i="1"/>
  <c r="CI136" i="1" s="1"/>
  <c r="CL101" i="1"/>
  <c r="CL103" i="1"/>
  <c r="CL102" i="1"/>
  <c r="CM147" i="1"/>
  <c r="CN147" i="1" s="1"/>
  <c r="CO147" i="1" s="1"/>
  <c r="CP147" i="1" s="1"/>
  <c r="CK219" i="1"/>
  <c r="CK217" i="1" s="1"/>
  <c r="CL219" i="1"/>
  <c r="CL217" i="1" s="1"/>
  <c r="CQ218" i="1"/>
  <c r="CR156" i="1"/>
  <c r="CJ85" i="1"/>
  <c r="CK85" i="1"/>
  <c r="CA247" i="1"/>
  <c r="CA11" i="1"/>
  <c r="CB247" i="1"/>
  <c r="CB11" i="1"/>
  <c r="CC247" i="1"/>
  <c r="CC11" i="1"/>
  <c r="BZ247" i="1"/>
  <c r="BZ11" i="1"/>
  <c r="CD247" i="1"/>
  <c r="CD11" i="1"/>
  <c r="CQ33" i="1"/>
  <c r="CQ200" i="1"/>
  <c r="CP201" i="1"/>
  <c r="CO198" i="1"/>
  <c r="CO202" i="1" s="1"/>
  <c r="CP197" i="1"/>
  <c r="CR141" i="1"/>
  <c r="CQ144" i="1"/>
  <c r="CQ265" i="1" s="1"/>
  <c r="CP222" i="1"/>
  <c r="BZ141" i="1"/>
  <c r="CA141" i="1" s="1"/>
  <c r="BL89" i="1"/>
  <c r="CF90" i="1"/>
  <c r="CB162" i="1"/>
  <c r="CC162" i="1" s="1"/>
  <c r="CD169" i="1"/>
  <c r="CD199" i="1" s="1"/>
  <c r="CE199" i="1" s="1"/>
  <c r="CB180" i="1"/>
  <c r="CC180" i="1" s="1"/>
  <c r="BL140" i="1"/>
  <c r="BM140" i="1" s="1"/>
  <c r="CD149" i="1"/>
  <c r="CD140" i="1"/>
  <c r="CE140" i="1" s="1"/>
  <c r="CF143" i="1"/>
  <c r="CG143" i="1" s="1"/>
  <c r="CB143" i="1"/>
  <c r="CC143" i="1" s="1"/>
  <c r="CB168" i="1"/>
  <c r="CC168" i="1" s="1"/>
  <c r="CB160" i="1"/>
  <c r="CB195" i="1" s="1"/>
  <c r="CC195" i="1" s="1"/>
  <c r="BZ169" i="1"/>
  <c r="BZ199" i="1" s="1"/>
  <c r="CA199" i="1" s="1"/>
  <c r="BZ180" i="1"/>
  <c r="CA180" i="1" s="1"/>
  <c r="BZ170" i="1"/>
  <c r="CA170" i="1" s="1"/>
  <c r="BZ176" i="1"/>
  <c r="BZ166" i="1"/>
  <c r="CA166" i="1" s="1"/>
  <c r="BZ148" i="1"/>
  <c r="BL161" i="1"/>
  <c r="BL196" i="1" s="1"/>
  <c r="BM196" i="1" s="1"/>
  <c r="BL169" i="1"/>
  <c r="BL199" i="1" s="1"/>
  <c r="BM199" i="1" s="1"/>
  <c r="BL138" i="1"/>
  <c r="BM138" i="1" s="1"/>
  <c r="CA89" i="1"/>
  <c r="CF89" i="1"/>
  <c r="CF162" i="1"/>
  <c r="CG162" i="1" s="1"/>
  <c r="CF149" i="1"/>
  <c r="CB90" i="1"/>
  <c r="CF160" i="1"/>
  <c r="CF195" i="1" s="1"/>
  <c r="CG195" i="1" s="1"/>
  <c r="CG160" i="1" s="1"/>
  <c r="CF138" i="1"/>
  <c r="CG138" i="1" s="1"/>
  <c r="CB165" i="1"/>
  <c r="CC165" i="1" s="1"/>
  <c r="CF180" i="1"/>
  <c r="CG180" i="1" s="1"/>
  <c r="CB141" i="1"/>
  <c r="CC141" i="1" s="1"/>
  <c r="CB179" i="1"/>
  <c r="CC179" i="1" s="1"/>
  <c r="CD90" i="1"/>
  <c r="CB175" i="1"/>
  <c r="CD161" i="1"/>
  <c r="CD196" i="1" s="1"/>
  <c r="CE196" i="1" s="1"/>
  <c r="CD138" i="1"/>
  <c r="CE138" i="1" s="1"/>
  <c r="BL141" i="1"/>
  <c r="CD147" i="1"/>
  <c r="CD167" i="1"/>
  <c r="CE167" i="1" s="1"/>
  <c r="CD175" i="1"/>
  <c r="CD158" i="1"/>
  <c r="CE158" i="1" s="1"/>
  <c r="CF156" i="1"/>
  <c r="CF142" i="1"/>
  <c r="CG142" i="1" s="1"/>
  <c r="CB158" i="1"/>
  <c r="CC158" i="1" s="1"/>
  <c r="BL170" i="1"/>
  <c r="BM170" i="1" s="1"/>
  <c r="BL179" i="1"/>
  <c r="BM179" i="1" s="1"/>
  <c r="BL180" i="1"/>
  <c r="CB142" i="1"/>
  <c r="CC142" i="1" s="1"/>
  <c r="CE90" i="1"/>
  <c r="BZ175" i="1"/>
  <c r="BZ179" i="1"/>
  <c r="CA179" i="1" s="1"/>
  <c r="BZ135" i="1"/>
  <c r="BZ143" i="1"/>
  <c r="CA143" i="1" s="1"/>
  <c r="CF161" i="1"/>
  <c r="CF196" i="1" s="1"/>
  <c r="CG196" i="1" s="1"/>
  <c r="CG161" i="1" s="1"/>
  <c r="CF148" i="1"/>
  <c r="CF165" i="1"/>
  <c r="CB135" i="1"/>
  <c r="CB161" i="1"/>
  <c r="CB196" i="1" s="1"/>
  <c r="CC196" i="1" s="1"/>
  <c r="CD176" i="1"/>
  <c r="CD168" i="1"/>
  <c r="CE168" i="1" s="1"/>
  <c r="CB89" i="1"/>
  <c r="BZ171" i="1"/>
  <c r="CA171" i="1" s="1"/>
  <c r="BZ149" i="1"/>
  <c r="BZ133" i="1"/>
  <c r="BZ163" i="1"/>
  <c r="CA163" i="1" s="1"/>
  <c r="BZ90" i="1"/>
  <c r="BZ140" i="1"/>
  <c r="CA140" i="1" s="1"/>
  <c r="BZ142" i="1"/>
  <c r="CA142" i="1" s="1"/>
  <c r="BZ158" i="1"/>
  <c r="CA158" i="1" s="1"/>
  <c r="BZ147" i="1"/>
  <c r="BL149" i="1"/>
  <c r="BL165" i="1"/>
  <c r="BM165" i="1" s="1"/>
  <c r="CF140" i="1"/>
  <c r="CF169" i="1"/>
  <c r="CF199" i="1" s="1"/>
  <c r="CG199" i="1" s="1"/>
  <c r="CG169" i="1" s="1"/>
  <c r="CD170" i="1"/>
  <c r="CE170" i="1" s="1"/>
  <c r="CF170" i="1"/>
  <c r="CG170" i="1" s="1"/>
  <c r="CB147" i="1"/>
  <c r="CB170" i="1"/>
  <c r="CC170" i="1" s="1"/>
  <c r="BY90" i="1"/>
  <c r="CD179" i="1"/>
  <c r="CE179" i="1" s="1"/>
  <c r="CD151" i="1"/>
  <c r="CE151" i="1" s="1"/>
  <c r="BL176" i="1"/>
  <c r="CB169" i="1"/>
  <c r="CB199" i="1" s="1"/>
  <c r="CC199" i="1" s="1"/>
  <c r="CB134" i="1"/>
  <c r="CC134" i="1" s="1"/>
  <c r="BL166" i="1"/>
  <c r="BM166" i="1" s="1"/>
  <c r="CD143" i="1"/>
  <c r="CE143" i="1" s="1"/>
  <c r="CD163" i="1"/>
  <c r="CE163" i="1" s="1"/>
  <c r="CD135" i="1"/>
  <c r="CD162" i="1"/>
  <c r="CE162" i="1" s="1"/>
  <c r="CD171" i="1"/>
  <c r="CE171" i="1" s="1"/>
  <c r="CD156" i="1"/>
  <c r="CE156" i="1" s="1"/>
  <c r="CF133" i="1"/>
  <c r="CF134" i="1"/>
  <c r="CG134" i="1" s="1"/>
  <c r="CF167" i="1"/>
  <c r="CG167" i="1" s="1"/>
  <c r="CF179" i="1"/>
  <c r="CG179" i="1" s="1"/>
  <c r="CB176" i="1"/>
  <c r="CB156" i="1"/>
  <c r="AI90" i="1"/>
  <c r="BL163" i="1"/>
  <c r="BM163" i="1" s="1"/>
  <c r="BL151" i="1"/>
  <c r="BM151" i="1" s="1"/>
  <c r="BL142" i="1"/>
  <c r="BM142" i="1" s="1"/>
  <c r="CB140" i="1"/>
  <c r="CC140" i="1" s="1"/>
  <c r="BL162" i="1"/>
  <c r="BM162" i="1" s="1"/>
  <c r="BZ151" i="1"/>
  <c r="CA151" i="1" s="1"/>
  <c r="BZ89" i="1"/>
  <c r="BL168" i="1"/>
  <c r="BM168" i="1" s="1"/>
  <c r="CB148" i="1"/>
  <c r="CF163" i="1"/>
  <c r="CG163" i="1" s="1"/>
  <c r="CB163" i="1"/>
  <c r="CC163" i="1" s="1"/>
  <c r="CD89" i="1"/>
  <c r="CC90" i="1"/>
  <c r="CD134" i="1"/>
  <c r="CE134" i="1" s="1"/>
  <c r="BL135" i="1"/>
  <c r="CD141" i="1"/>
  <c r="CE141" i="1" s="1"/>
  <c r="CF175" i="1"/>
  <c r="CF168" i="1"/>
  <c r="CG168" i="1" s="1"/>
  <c r="CE89" i="1"/>
  <c r="BZ161" i="1"/>
  <c r="BZ196" i="1" s="1"/>
  <c r="CA196" i="1" s="1"/>
  <c r="BZ138" i="1"/>
  <c r="CA138" i="1" s="1"/>
  <c r="BZ160" i="1"/>
  <c r="BZ195" i="1" s="1"/>
  <c r="CA195" i="1" s="1"/>
  <c r="BZ134" i="1"/>
  <c r="CA134" i="1" s="1"/>
  <c r="BZ165" i="1"/>
  <c r="BZ167" i="1"/>
  <c r="CA167" i="1" s="1"/>
  <c r="BZ162" i="1"/>
  <c r="CA162" i="1" s="1"/>
  <c r="BZ156" i="1"/>
  <c r="CA156" i="1" s="1"/>
  <c r="BZ168" i="1"/>
  <c r="CA168" i="1" s="1"/>
  <c r="BL171" i="1"/>
  <c r="BM171" i="1" s="1"/>
  <c r="BL160" i="1"/>
  <c r="BL195" i="1" s="1"/>
  <c r="BM195" i="1" s="1"/>
  <c r="BL147" i="1"/>
  <c r="BL148" i="1"/>
  <c r="CA90" i="1"/>
  <c r="CF171" i="1"/>
  <c r="CG171" i="1" s="1"/>
  <c r="CF166" i="1"/>
  <c r="CG166" i="1" s="1"/>
  <c r="CF176" i="1"/>
  <c r="CB133" i="1"/>
  <c r="CC133" i="1" s="1"/>
  <c r="CF147" i="1"/>
  <c r="CF135" i="1"/>
  <c r="CG135" i="1" s="1"/>
  <c r="CF141" i="1"/>
  <c r="CG141" i="1" s="1"/>
  <c r="CD142" i="1"/>
  <c r="CE142" i="1" s="1"/>
  <c r="CB171" i="1"/>
  <c r="CC171" i="1" s="1"/>
  <c r="CB151" i="1"/>
  <c r="CC151" i="1" s="1"/>
  <c r="CB167" i="1"/>
  <c r="CC167" i="1" s="1"/>
  <c r="CD133" i="1"/>
  <c r="BL156" i="1"/>
  <c r="CB149" i="1"/>
  <c r="BL143" i="1"/>
  <c r="BM143" i="1" s="1"/>
  <c r="CD148" i="1"/>
  <c r="CD160" i="1"/>
  <c r="CD195" i="1" s="1"/>
  <c r="CE195" i="1" s="1"/>
  <c r="CD166" i="1"/>
  <c r="CE166" i="1" s="1"/>
  <c r="CD165" i="1"/>
  <c r="CE165" i="1" s="1"/>
  <c r="CD180" i="1"/>
  <c r="CE180" i="1" s="1"/>
  <c r="CF151" i="1"/>
  <c r="CG151" i="1" s="1"/>
  <c r="CF158" i="1"/>
  <c r="CG158" i="1" s="1"/>
  <c r="CC89" i="1"/>
  <c r="CB166" i="1"/>
  <c r="CC166" i="1" s="1"/>
  <c r="CB138" i="1"/>
  <c r="CC138" i="1" s="1"/>
  <c r="BL175" i="1"/>
  <c r="BL133" i="1"/>
  <c r="BM133" i="1" s="1"/>
  <c r="BL167" i="1"/>
  <c r="BM167" i="1" s="1"/>
  <c r="BL158" i="1"/>
  <c r="BM158" i="1" s="1"/>
  <c r="BL134" i="1"/>
  <c r="BM134" i="1" s="1"/>
  <c r="BL269" i="1"/>
  <c r="CH114" i="1"/>
  <c r="CH115" i="1" s="1"/>
  <c r="CB153" i="1"/>
  <c r="CC153" i="1" s="1"/>
  <c r="CF153" i="1"/>
  <c r="CG153" i="1" s="1"/>
  <c r="CD153" i="1"/>
  <c r="CE153" i="1" s="1"/>
  <c r="BL153" i="1"/>
  <c r="BM153" i="1" s="1"/>
  <c r="BZ153" i="1"/>
  <c r="CA153" i="1" s="1"/>
  <c r="BL159" i="1"/>
  <c r="CD159" i="1"/>
  <c r="CB159" i="1"/>
  <c r="CF159" i="1"/>
  <c r="BZ159" i="1"/>
  <c r="CA268" i="1"/>
  <c r="JJ21" i="4"/>
  <c r="CD93" i="1" s="1"/>
  <c r="CA26" i="1"/>
  <c r="CA32" i="1" s="1"/>
  <c r="CA33" i="1" s="1"/>
  <c r="JK14" i="4"/>
  <c r="BL26" i="1"/>
  <c r="BL32" i="1" s="1"/>
  <c r="BY26" i="1"/>
  <c r="BY32" i="1" s="1"/>
  <c r="BL210" i="1"/>
  <c r="CF26" i="1"/>
  <c r="AA74" i="1" s="1"/>
  <c r="CF268" i="1"/>
  <c r="JL21" i="4"/>
  <c r="CF93" i="1" s="1"/>
  <c r="Y226" i="1"/>
  <c r="Y227" i="1" s="1"/>
  <c r="CF114" i="1"/>
  <c r="CF115" i="1" s="1"/>
  <c r="CB42" i="1"/>
  <c r="CE247" i="1"/>
  <c r="CC269" i="1"/>
  <c r="CA42" i="1"/>
  <c r="CE268" i="1"/>
  <c r="CC268" i="1"/>
  <c r="JM7" i="4"/>
  <c r="CA269" i="1"/>
  <c r="JJ8" i="4"/>
  <c r="Z226" i="1"/>
  <c r="Z227" i="1" s="1"/>
  <c r="CF42" i="1"/>
  <c r="BZ268" i="1"/>
  <c r="BZ26" i="1"/>
  <c r="CA210" i="1"/>
  <c r="CD269" i="1"/>
  <c r="CB114" i="1"/>
  <c r="CB115" i="1" s="1"/>
  <c r="JK21" i="4"/>
  <c r="CE93" i="1" s="1"/>
  <c r="JK15" i="4"/>
  <c r="CD268" i="1"/>
  <c r="JL14" i="4"/>
  <c r="CC42" i="1"/>
  <c r="BY42" i="1"/>
  <c r="CI114" i="1"/>
  <c r="CI115" i="1" s="1"/>
  <c r="CI118" i="1" s="1"/>
  <c r="CF247" i="1"/>
  <c r="BY269" i="1"/>
  <c r="JL8" i="4"/>
  <c r="CE42" i="1"/>
  <c r="BL268" i="1"/>
  <c r="CE114" i="1"/>
  <c r="CE115" i="1" s="1"/>
  <c r="CD26" i="1"/>
  <c r="CD32" i="1" s="1"/>
  <c r="CH34" i="1" s="1"/>
  <c r="CC26" i="1"/>
  <c r="CD210" i="1"/>
  <c r="CE26" i="1"/>
  <c r="CG114" i="1"/>
  <c r="CG115" i="1" s="1"/>
  <c r="CD114" i="1"/>
  <c r="CD115" i="1" s="1"/>
  <c r="CB26" i="1"/>
  <c r="CB32" i="1" s="1"/>
  <c r="CB268" i="1"/>
  <c r="CC114" i="1"/>
  <c r="CC115" i="1" s="1"/>
  <c r="JJ15" i="4"/>
  <c r="CB269" i="1"/>
  <c r="BY268" i="1"/>
  <c r="CD42" i="1"/>
  <c r="JM8" i="4"/>
  <c r="JL7" i="4"/>
  <c r="CF269" i="1"/>
  <c r="JJ7" i="4"/>
  <c r="JK8" i="4"/>
  <c r="JM21" i="4"/>
  <c r="CG93" i="1" s="1"/>
  <c r="BZ269" i="1"/>
  <c r="CE269" i="1"/>
  <c r="JK7" i="4"/>
  <c r="BL42" i="1"/>
  <c r="JL15" i="4"/>
  <c r="BZ42" i="1"/>
  <c r="JM14" i="4"/>
  <c r="JM15" i="4"/>
  <c r="JJ14" i="4"/>
  <c r="CQ56" i="1"/>
  <c r="CR56" i="1" s="1"/>
  <c r="CV43" i="1"/>
  <c r="CS196" i="1"/>
  <c r="CS199" i="1"/>
  <c r="CS195" i="1"/>
  <c r="CT140" i="1"/>
  <c r="AD62" i="1"/>
  <c r="CZ62" i="1"/>
  <c r="DA62" i="1" s="1"/>
  <c r="DB62" i="1" s="1"/>
  <c r="AE51" i="1"/>
  <c r="U24" i="1"/>
  <c r="U11" i="1" s="1"/>
  <c r="V24" i="1"/>
  <c r="V11" i="1" s="1"/>
  <c r="W24" i="1"/>
  <c r="W11" i="1" s="1"/>
  <c r="CR33" i="1" l="1"/>
  <c r="CS33" i="1" s="1"/>
  <c r="CT33" i="1" s="1"/>
  <c r="CJ102" i="1"/>
  <c r="CJ103" i="1"/>
  <c r="CJ101" i="1"/>
  <c r="CI223" i="1"/>
  <c r="CI221" i="1" s="1"/>
  <c r="CJ223" i="1"/>
  <c r="CJ221" i="1" s="1"/>
  <c r="CI108" i="1"/>
  <c r="CI145" i="1"/>
  <c r="CQ147" i="1"/>
  <c r="CR147" i="1" s="1"/>
  <c r="CS147" i="1" s="1"/>
  <c r="CT147" i="1" s="1"/>
  <c r="AB147" i="1"/>
  <c r="CR218" i="1"/>
  <c r="CS156" i="1"/>
  <c r="CK101" i="1"/>
  <c r="CK103" i="1"/>
  <c r="CK102" i="1"/>
  <c r="CQ201" i="1"/>
  <c r="CR200" i="1"/>
  <c r="CP198" i="1"/>
  <c r="CP202" i="1" s="1"/>
  <c r="CQ197" i="1"/>
  <c r="CS141" i="1"/>
  <c r="CR144" i="1"/>
  <c r="CR265" i="1" s="1"/>
  <c r="CQ222" i="1"/>
  <c r="BZ177" i="1"/>
  <c r="BL177" i="1"/>
  <c r="CB218" i="1"/>
  <c r="CA133" i="1"/>
  <c r="BZ136" i="1"/>
  <c r="BZ108" i="1" s="1"/>
  <c r="BL136" i="1"/>
  <c r="BL108" i="1" s="1"/>
  <c r="CB177" i="1"/>
  <c r="CC225" i="1" s="1"/>
  <c r="CG140" i="1"/>
  <c r="CG144" i="1" s="1"/>
  <c r="CF144" i="1"/>
  <c r="CD150" i="1"/>
  <c r="CE49" i="1" s="1"/>
  <c r="CC156" i="1"/>
  <c r="CE133" i="1"/>
  <c r="CD136" i="1"/>
  <c r="CD108" i="1" s="1"/>
  <c r="CD110" i="1" s="1"/>
  <c r="BM156" i="1"/>
  <c r="BM218" i="1"/>
  <c r="CD177" i="1"/>
  <c r="CF218" i="1"/>
  <c r="CE144" i="1"/>
  <c r="BM141" i="1"/>
  <c r="BM144" i="1" s="1"/>
  <c r="BL144" i="1"/>
  <c r="CG156" i="1"/>
  <c r="CG165" i="1"/>
  <c r="CG172" i="1" s="1"/>
  <c r="CF172" i="1"/>
  <c r="CF201" i="1" s="1"/>
  <c r="CF200" i="1" s="1"/>
  <c r="CG133" i="1"/>
  <c r="CG136" i="1" s="1"/>
  <c r="CF136" i="1"/>
  <c r="CF108" i="1" s="1"/>
  <c r="CF110" i="1" s="1"/>
  <c r="CA165" i="1"/>
  <c r="BZ172" i="1"/>
  <c r="BZ201" i="1" s="1"/>
  <c r="BZ200" i="1" s="1"/>
  <c r="BZ150" i="1"/>
  <c r="BZ154" i="1" s="1"/>
  <c r="CA144" i="1"/>
  <c r="CB150" i="1"/>
  <c r="CF177" i="1"/>
  <c r="BL150" i="1"/>
  <c r="CF150" i="1"/>
  <c r="CF154" i="1" s="1"/>
  <c r="CC144" i="1"/>
  <c r="CB144" i="1"/>
  <c r="CE218" i="1"/>
  <c r="BZ144" i="1"/>
  <c r="CB172" i="1"/>
  <c r="CB201" i="1" s="1"/>
  <c r="CB200" i="1" s="1"/>
  <c r="BL172" i="1"/>
  <c r="BL201" i="1" s="1"/>
  <c r="BL200" i="1" s="1"/>
  <c r="CD172" i="1"/>
  <c r="CD201" i="1" s="1"/>
  <c r="CD200" i="1" s="1"/>
  <c r="CB136" i="1"/>
  <c r="CD144" i="1"/>
  <c r="CH118" i="1"/>
  <c r="CH119" i="1"/>
  <c r="CH120" i="1"/>
  <c r="BM159" i="1"/>
  <c r="BL164" i="1"/>
  <c r="CE159" i="1"/>
  <c r="CD164" i="1"/>
  <c r="CC159" i="1"/>
  <c r="CB164" i="1"/>
  <c r="CG159" i="1"/>
  <c r="CG164" i="1" s="1"/>
  <c r="CG198" i="1" s="1"/>
  <c r="CG197" i="1" s="1"/>
  <c r="CF164" i="1"/>
  <c r="CA159" i="1"/>
  <c r="BZ164" i="1"/>
  <c r="CD118" i="1"/>
  <c r="CA43" i="1"/>
  <c r="CA28" i="1"/>
  <c r="JK19" i="4"/>
  <c r="CE94" i="1" s="1"/>
  <c r="BL43" i="1"/>
  <c r="CC27" i="1"/>
  <c r="CC43" i="1"/>
  <c r="CI241" i="1"/>
  <c r="CF32" i="1"/>
  <c r="CG28" i="1"/>
  <c r="CJ27" i="1"/>
  <c r="BY43" i="1"/>
  <c r="JL20" i="4"/>
  <c r="CF95" i="1" s="1"/>
  <c r="CF120" i="1" s="1"/>
  <c r="BZ32" i="1"/>
  <c r="CD34" i="1" s="1"/>
  <c r="CF43" i="1"/>
  <c r="Y74" i="1"/>
  <c r="JJ19" i="4"/>
  <c r="CD94" i="1" s="1"/>
  <c r="CD123" i="1" s="1"/>
  <c r="JM20" i="4"/>
  <c r="CG95" i="1" s="1"/>
  <c r="CD43" i="1"/>
  <c r="JM19" i="4"/>
  <c r="CG94" i="1" s="1"/>
  <c r="CE169" i="1"/>
  <c r="CE172" i="1" s="1"/>
  <c r="CE201" i="1" s="1"/>
  <c r="CE200" i="1" s="1"/>
  <c r="CF118" i="1"/>
  <c r="JJ20" i="4"/>
  <c r="CD95" i="1" s="1"/>
  <c r="CD124" i="1" s="1"/>
  <c r="JL19" i="4"/>
  <c r="CF94" i="1" s="1"/>
  <c r="JK20" i="4"/>
  <c r="CE95" i="1" s="1"/>
  <c r="CE124" i="1" s="1"/>
  <c r="CA44" i="1"/>
  <c r="CA248" i="1" s="1"/>
  <c r="CA249" i="1" s="1"/>
  <c r="CD204" i="1"/>
  <c r="CD27" i="1"/>
  <c r="BZ28" i="1"/>
  <c r="CD241" i="1"/>
  <c r="BZ43" i="1"/>
  <c r="CE160" i="1"/>
  <c r="CE204" i="1"/>
  <c r="CG204" i="1"/>
  <c r="CF27" i="1"/>
  <c r="CH241" i="1"/>
  <c r="CJ204" i="1"/>
  <c r="CE43" i="1"/>
  <c r="CC32" i="1"/>
  <c r="CC35" i="1" s="1"/>
  <c r="CF241" i="1"/>
  <c r="CB28" i="1"/>
  <c r="CH260" i="1"/>
  <c r="Z74" i="1"/>
  <c r="CE27" i="1"/>
  <c r="CG118" i="1"/>
  <c r="CE118" i="1"/>
  <c r="CG241" i="1"/>
  <c r="CF28" i="1"/>
  <c r="CF204" i="1"/>
  <c r="CE241" i="1"/>
  <c r="CC28" i="1"/>
  <c r="CC241" i="1"/>
  <c r="CE161" i="1"/>
  <c r="CB43" i="1"/>
  <c r="CB33" i="1"/>
  <c r="CB44" i="1"/>
  <c r="CB35" i="1"/>
  <c r="CD44" i="1"/>
  <c r="CH46" i="1" s="1"/>
  <c r="CD28" i="1"/>
  <c r="CH27" i="1"/>
  <c r="CI204" i="1"/>
  <c r="CI119" i="1"/>
  <c r="CE32" i="1"/>
  <c r="CE35" i="1" s="1"/>
  <c r="CI27" i="1"/>
  <c r="CD33" i="1"/>
  <c r="CI120" i="1"/>
  <c r="CG27" i="1"/>
  <c r="CE28" i="1"/>
  <c r="CH204" i="1"/>
  <c r="CA218" i="1"/>
  <c r="BL33" i="1"/>
  <c r="BL44" i="1"/>
  <c r="BY33" i="1"/>
  <c r="BY44" i="1"/>
  <c r="CS56" i="1"/>
  <c r="CU33" i="1"/>
  <c r="CW43" i="1"/>
  <c r="CX43" i="1" s="1"/>
  <c r="CT195" i="1"/>
  <c r="CT199" i="1"/>
  <c r="CU140" i="1"/>
  <c r="CT196" i="1"/>
  <c r="AE62" i="1"/>
  <c r="V247" i="1"/>
  <c r="W247" i="1"/>
  <c r="U247" i="1"/>
  <c r="CF44" i="1" l="1"/>
  <c r="AA76" i="1" s="1"/>
  <c r="AA75" i="1"/>
  <c r="CI111" i="1"/>
  <c r="CI110" i="1"/>
  <c r="CI112" i="1"/>
  <c r="AC147" i="1"/>
  <c r="CU147" i="1"/>
  <c r="CV147" i="1" s="1"/>
  <c r="CW147" i="1" s="1"/>
  <c r="CX147" i="1" s="1"/>
  <c r="CD218" i="1"/>
  <c r="CC218" i="1"/>
  <c r="CS218" i="1"/>
  <c r="CT156" i="1"/>
  <c r="CS200" i="1"/>
  <c r="CR201" i="1"/>
  <c r="CG265" i="1"/>
  <c r="CQ198" i="1"/>
  <c r="CQ202" i="1" s="1"/>
  <c r="CR197" i="1"/>
  <c r="CH218" i="1"/>
  <c r="CG218" i="1"/>
  <c r="CA225" i="1"/>
  <c r="BZ264" i="1"/>
  <c r="CT141" i="1"/>
  <c r="CS144" i="1"/>
  <c r="CS265" i="1" s="1"/>
  <c r="CD222" i="1"/>
  <c r="CF265" i="1"/>
  <c r="BM225" i="1"/>
  <c r="BL264" i="1"/>
  <c r="CF222" i="1"/>
  <c r="CF145" i="1"/>
  <c r="CR222" i="1"/>
  <c r="BL145" i="1"/>
  <c r="BL184" i="1"/>
  <c r="BL125" i="1" s="1"/>
  <c r="CA49" i="1"/>
  <c r="CA150" i="1"/>
  <c r="CB154" i="1"/>
  <c r="CC49" i="1"/>
  <c r="CC150" i="1"/>
  <c r="BZ184" i="1"/>
  <c r="BZ145" i="1"/>
  <c r="CF111" i="1"/>
  <c r="CD154" i="1"/>
  <c r="CE150" i="1"/>
  <c r="CE225" i="1"/>
  <c r="CD264" i="1"/>
  <c r="CA265" i="1"/>
  <c r="CA222" i="1"/>
  <c r="BM222" i="1"/>
  <c r="BM265" i="1"/>
  <c r="CH223" i="1"/>
  <c r="CG108" i="1"/>
  <c r="CG111" i="1" s="1"/>
  <c r="CG223" i="1"/>
  <c r="CG225" i="1"/>
  <c r="CF184" i="1"/>
  <c r="CF264" i="1"/>
  <c r="BM150" i="1"/>
  <c r="BM154" i="1" s="1"/>
  <c r="BL154" i="1"/>
  <c r="BL262" i="1" s="1"/>
  <c r="CG49" i="1"/>
  <c r="CG150" i="1"/>
  <c r="CH265" i="1"/>
  <c r="CH267" i="1" s="1"/>
  <c r="CH222" i="1"/>
  <c r="CG145" i="1"/>
  <c r="CG222" i="1"/>
  <c r="CB265" i="1"/>
  <c r="CB145" i="1"/>
  <c r="CB184" i="1"/>
  <c r="CB222" i="1"/>
  <c r="CB108" i="1"/>
  <c r="CB264" i="1"/>
  <c r="CC265" i="1"/>
  <c r="CC222" i="1"/>
  <c r="CE222" i="1"/>
  <c r="CD265" i="1"/>
  <c r="CD145" i="1"/>
  <c r="CD184" i="1"/>
  <c r="CE265" i="1"/>
  <c r="BL198" i="1"/>
  <c r="BL173" i="1"/>
  <c r="CD198" i="1"/>
  <c r="CD173" i="1"/>
  <c r="CB198" i="1"/>
  <c r="CB173" i="1"/>
  <c r="CF198" i="1"/>
  <c r="CF173" i="1"/>
  <c r="CF181" i="1" s="1"/>
  <c r="BZ198" i="1"/>
  <c r="BZ173" i="1"/>
  <c r="BZ181" i="1" s="1"/>
  <c r="CE119" i="1"/>
  <c r="CE123" i="1"/>
  <c r="BZ35" i="1"/>
  <c r="BZ44" i="1"/>
  <c r="BZ33" i="1"/>
  <c r="CA35" i="1"/>
  <c r="CG201" i="1"/>
  <c r="CH213" i="1"/>
  <c r="CG213" i="1"/>
  <c r="CJ34" i="1"/>
  <c r="CF33" i="1"/>
  <c r="CG35" i="1"/>
  <c r="CF34" i="1"/>
  <c r="BZ262" i="1"/>
  <c r="CF262" i="1"/>
  <c r="CF260" i="1"/>
  <c r="CF124" i="1"/>
  <c r="CF112" i="1"/>
  <c r="CG124" i="1"/>
  <c r="CG120" i="1"/>
  <c r="CG123" i="1"/>
  <c r="CG119" i="1"/>
  <c r="CF123" i="1"/>
  <c r="CF119" i="1"/>
  <c r="CG47" i="1"/>
  <c r="CI128" i="1"/>
  <c r="CG34" i="1"/>
  <c r="CC33" i="1"/>
  <c r="Y75" i="1"/>
  <c r="CC44" i="1"/>
  <c r="CC50" i="1" s="1"/>
  <c r="CC54" i="1" s="1"/>
  <c r="CD35" i="1"/>
  <c r="CC34" i="1"/>
  <c r="CD112" i="1"/>
  <c r="CD119" i="1"/>
  <c r="CE164" i="1"/>
  <c r="CD111" i="1"/>
  <c r="CE213" i="1"/>
  <c r="CG212" i="1"/>
  <c r="CD120" i="1"/>
  <c r="CF213" i="1"/>
  <c r="CA50" i="1"/>
  <c r="CA54" i="1" s="1"/>
  <c r="CA57" i="1" s="1"/>
  <c r="CA64" i="1" s="1"/>
  <c r="CA209" i="1" s="1"/>
  <c r="CA211" i="1" s="1"/>
  <c r="CI242" i="1"/>
  <c r="CA45" i="1"/>
  <c r="CG266" i="1"/>
  <c r="CE120" i="1"/>
  <c r="CF45" i="1"/>
  <c r="CF248" i="1"/>
  <c r="CF249" i="1" s="1"/>
  <c r="CJ46" i="1"/>
  <c r="CF50" i="1"/>
  <c r="CG173" i="1"/>
  <c r="CH212" i="1"/>
  <c r="CD45" i="1"/>
  <c r="CB45" i="1"/>
  <c r="CB248" i="1"/>
  <c r="CB249" i="1" s="1"/>
  <c r="CB50" i="1"/>
  <c r="CB54" i="1" s="1"/>
  <c r="CB47" i="1"/>
  <c r="CB266" i="1"/>
  <c r="CF46" i="1"/>
  <c r="CD248" i="1"/>
  <c r="CD249" i="1" s="1"/>
  <c r="CD50" i="1"/>
  <c r="CD54" i="1" s="1"/>
  <c r="CD57" i="1" s="1"/>
  <c r="CD250" i="1" s="1"/>
  <c r="CF35" i="1"/>
  <c r="CE34" i="1"/>
  <c r="CI34" i="1"/>
  <c r="Z75" i="1"/>
  <c r="CE44" i="1"/>
  <c r="CG242" i="1" s="1"/>
  <c r="CE33" i="1"/>
  <c r="BY50" i="1"/>
  <c r="BY54" i="1" s="1"/>
  <c r="BY45" i="1"/>
  <c r="BL50" i="1"/>
  <c r="BL54" i="1" s="1"/>
  <c r="BL45" i="1"/>
  <c r="CT56" i="1"/>
  <c r="CV33" i="1"/>
  <c r="CY43" i="1"/>
  <c r="CZ43" i="1" s="1"/>
  <c r="CU195" i="1"/>
  <c r="CV140" i="1"/>
  <c r="CU196" i="1"/>
  <c r="CU199" i="1"/>
  <c r="AB166" i="1"/>
  <c r="A1" i="1"/>
  <c r="AD147" i="1" l="1"/>
  <c r="CY147" i="1"/>
  <c r="CZ147" i="1" s="1"/>
  <c r="DA147" i="1" s="1"/>
  <c r="DB147" i="1" s="1"/>
  <c r="AE147" i="1" s="1"/>
  <c r="CT218" i="1"/>
  <c r="CU156" i="1"/>
  <c r="CT200" i="1"/>
  <c r="CS201" i="1"/>
  <c r="CG267" i="1"/>
  <c r="CF182" i="1"/>
  <c r="CR198" i="1"/>
  <c r="CR202" i="1" s="1"/>
  <c r="CS197" i="1"/>
  <c r="CA154" i="1"/>
  <c r="CB49" i="1"/>
  <c r="CB181" i="1"/>
  <c r="CB182" i="1" s="1"/>
  <c r="CD181" i="1"/>
  <c r="CD182" i="1" s="1"/>
  <c r="CU141" i="1"/>
  <c r="CT144" i="1"/>
  <c r="CT265" i="1" s="1"/>
  <c r="CB262" i="1"/>
  <c r="CB260" i="1"/>
  <c r="CE154" i="1"/>
  <c r="CF49" i="1"/>
  <c r="CS222" i="1"/>
  <c r="CB267" i="1"/>
  <c r="CG221" i="1"/>
  <c r="BZ182" i="1"/>
  <c r="CD49" i="1"/>
  <c r="CC154" i="1"/>
  <c r="BZ125" i="1"/>
  <c r="CA53" i="1"/>
  <c r="CD260" i="1"/>
  <c r="CD262" i="1"/>
  <c r="CH221" i="1"/>
  <c r="CG110" i="1"/>
  <c r="CG112" i="1"/>
  <c r="CF125" i="1"/>
  <c r="CG53" i="1"/>
  <c r="CH49" i="1"/>
  <c r="CG154" i="1"/>
  <c r="CB125" i="1"/>
  <c r="CC53" i="1"/>
  <c r="CD125" i="1"/>
  <c r="CE53" i="1"/>
  <c r="CF197" i="1"/>
  <c r="CF202" i="1"/>
  <c r="CJ205" i="1" s="1"/>
  <c r="BL202" i="1"/>
  <c r="BL197" i="1"/>
  <c r="CD202" i="1"/>
  <c r="CD197" i="1"/>
  <c r="CB202" i="1"/>
  <c r="CB197" i="1"/>
  <c r="BZ197" i="1"/>
  <c r="BZ202" i="1"/>
  <c r="CG214" i="1"/>
  <c r="CG215" i="1" s="1"/>
  <c r="BZ45" i="1"/>
  <c r="BZ50" i="1"/>
  <c r="CA266" i="1"/>
  <c r="CA267" i="1" s="1"/>
  <c r="CA47" i="1"/>
  <c r="BZ248" i="1"/>
  <c r="BZ249" i="1" s="1"/>
  <c r="CD46" i="1"/>
  <c r="BZ47" i="1"/>
  <c r="BZ266" i="1"/>
  <c r="CB128" i="1"/>
  <c r="CH214" i="1"/>
  <c r="CH215" i="1" s="1"/>
  <c r="CD128" i="1"/>
  <c r="CC266" i="1"/>
  <c r="CC267" i="1" s="1"/>
  <c r="CE212" i="1"/>
  <c r="CE214" i="1" s="1"/>
  <c r="CE173" i="1"/>
  <c r="CG200" i="1"/>
  <c r="CG202" i="1"/>
  <c r="CC248" i="1"/>
  <c r="CC249" i="1" s="1"/>
  <c r="CG46" i="1"/>
  <c r="Y76" i="1"/>
  <c r="CC45" i="1"/>
  <c r="CC242" i="1"/>
  <c r="CD266" i="1"/>
  <c r="CD267" i="1" s="1"/>
  <c r="CC128" i="1"/>
  <c r="CD242" i="1"/>
  <c r="CC47" i="1"/>
  <c r="CD47" i="1"/>
  <c r="CC46" i="1"/>
  <c r="CC57" i="1"/>
  <c r="CC56" i="1"/>
  <c r="CF54" i="1"/>
  <c r="CI71" i="1"/>
  <c r="CE198" i="1"/>
  <c r="CF212" i="1"/>
  <c r="CF214" i="1" s="1"/>
  <c r="CA56" i="1"/>
  <c r="CA82" i="1"/>
  <c r="CA135" i="1"/>
  <c r="CA136" i="1" s="1"/>
  <c r="CA108" i="1" s="1"/>
  <c r="CH59" i="1"/>
  <c r="CD56" i="1"/>
  <c r="CA68" i="1"/>
  <c r="CA250" i="1"/>
  <c r="CA58" i="1"/>
  <c r="CA261" i="1" s="1"/>
  <c r="CD58" i="1"/>
  <c r="CD261" i="1" s="1"/>
  <c r="CF128" i="1"/>
  <c r="CD71" i="1"/>
  <c r="CD64" i="1"/>
  <c r="CD68" i="1" s="1"/>
  <c r="CE47" i="1"/>
  <c r="CE128" i="1"/>
  <c r="CE242" i="1"/>
  <c r="CB56" i="1"/>
  <c r="CB57" i="1"/>
  <c r="CE266" i="1"/>
  <c r="CE267" i="1" s="1"/>
  <c r="CF266" i="1"/>
  <c r="CF267" i="1" s="1"/>
  <c r="CE248" i="1"/>
  <c r="CE249" i="1" s="1"/>
  <c r="Z76" i="1"/>
  <c r="CE46" i="1"/>
  <c r="CH128" i="1"/>
  <c r="CE45" i="1"/>
  <c r="CG128" i="1"/>
  <c r="CE50" i="1"/>
  <c r="CH242" i="1"/>
  <c r="CF47" i="1"/>
  <c r="CI46" i="1"/>
  <c r="CF242" i="1"/>
  <c r="BL57" i="1"/>
  <c r="BL56" i="1"/>
  <c r="BY56" i="1"/>
  <c r="BY57" i="1"/>
  <c r="CU56" i="1"/>
  <c r="CV56" i="1" s="1"/>
  <c r="DA43" i="1"/>
  <c r="DB43" i="1" s="1"/>
  <c r="CW33" i="1"/>
  <c r="CX33" i="1" s="1"/>
  <c r="CW140" i="1"/>
  <c r="CV195" i="1"/>
  <c r="CV199" i="1"/>
  <c r="CV196" i="1"/>
  <c r="AC166" i="1"/>
  <c r="CV156" i="1" l="1"/>
  <c r="CU218" i="1"/>
  <c r="CU200" i="1"/>
  <c r="CT201" i="1"/>
  <c r="CD127" i="1"/>
  <c r="CD130" i="1" s="1"/>
  <c r="CD126" i="1"/>
  <c r="CD129" i="1" s="1"/>
  <c r="CS198" i="1"/>
  <c r="CS202" i="1" s="1"/>
  <c r="CT197" i="1"/>
  <c r="CA219" i="1"/>
  <c r="CA217" i="1" s="1"/>
  <c r="CB219" i="1"/>
  <c r="CB217" i="1" s="1"/>
  <c r="CE219" i="1"/>
  <c r="CE217" i="1" s="1"/>
  <c r="CF219" i="1"/>
  <c r="CF217" i="1" s="1"/>
  <c r="CH219" i="1"/>
  <c r="CH217" i="1" s="1"/>
  <c r="CH229" i="1" s="1"/>
  <c r="CG219" i="1"/>
  <c r="CG217" i="1" s="1"/>
  <c r="CG229" i="1" s="1"/>
  <c r="CV141" i="1"/>
  <c r="CU144" i="1"/>
  <c r="CU265" i="1" s="1"/>
  <c r="CT222" i="1"/>
  <c r="CD219" i="1"/>
  <c r="CD217" i="1" s="1"/>
  <c r="CC219" i="1"/>
  <c r="CC217" i="1" s="1"/>
  <c r="CF205" i="1"/>
  <c r="CF126" i="1"/>
  <c r="CF129" i="1" s="1"/>
  <c r="CF127" i="1"/>
  <c r="CF130" i="1" s="1"/>
  <c r="CD205" i="1"/>
  <c r="CH205" i="1"/>
  <c r="BZ54" i="1"/>
  <c r="CB71" i="1"/>
  <c r="CD243" i="1"/>
  <c r="CF57" i="1"/>
  <c r="CF56" i="1"/>
  <c r="CC59" i="1"/>
  <c r="CG59" i="1"/>
  <c r="CC250" i="1"/>
  <c r="CC64" i="1"/>
  <c r="CC58" i="1"/>
  <c r="CC261" i="1" s="1"/>
  <c r="CD60" i="1"/>
  <c r="CE197" i="1"/>
  <c r="CE202" i="1"/>
  <c r="CA223" i="1"/>
  <c r="CA221" i="1" s="1"/>
  <c r="CA145" i="1"/>
  <c r="CC60" i="1"/>
  <c r="CD209" i="1"/>
  <c r="CD211" i="1" s="1"/>
  <c r="Y77" i="1"/>
  <c r="CD82" i="1"/>
  <c r="CH129" i="1"/>
  <c r="CH130" i="1"/>
  <c r="CF71" i="1"/>
  <c r="CH71" i="1"/>
  <c r="CG71" i="1"/>
  <c r="CE54" i="1"/>
  <c r="CB64" i="1"/>
  <c r="CB60" i="1"/>
  <c r="CB250" i="1"/>
  <c r="CB58" i="1"/>
  <c r="CB261" i="1" s="1"/>
  <c r="BL64" i="1"/>
  <c r="BL58" i="1"/>
  <c r="BL261" i="1" s="1"/>
  <c r="CM80" i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CZ80" i="1" s="1"/>
  <c r="DA80" i="1" s="1"/>
  <c r="DB80" i="1" s="1"/>
  <c r="BY58" i="1"/>
  <c r="BY261" i="1" s="1"/>
  <c r="BY64" i="1"/>
  <c r="CW56" i="1"/>
  <c r="CX56" i="1" s="1"/>
  <c r="CY33" i="1"/>
  <c r="CZ33" i="1" s="1"/>
  <c r="CX140" i="1"/>
  <c r="CW196" i="1"/>
  <c r="CW195" i="1"/>
  <c r="CW199" i="1"/>
  <c r="AE166" i="1"/>
  <c r="AD166" i="1"/>
  <c r="CF250" i="1" l="1"/>
  <c r="AA77" i="1"/>
  <c r="CW156" i="1"/>
  <c r="CV218" i="1"/>
  <c r="CG226" i="1"/>
  <c r="CG176" i="1" s="1"/>
  <c r="CG177" i="1" s="1"/>
  <c r="CG227" i="1" s="1"/>
  <c r="CU201" i="1"/>
  <c r="CV200" i="1"/>
  <c r="CT198" i="1"/>
  <c r="CT202" i="1" s="1"/>
  <c r="CU197" i="1"/>
  <c r="CW141" i="1"/>
  <c r="CV144" i="1"/>
  <c r="CV265" i="1" s="1"/>
  <c r="CU222" i="1"/>
  <c r="CM24" i="1"/>
  <c r="CF59" i="1"/>
  <c r="CF58" i="1"/>
  <c r="CF261" i="1" s="1"/>
  <c r="BZ57" i="1"/>
  <c r="BZ56" i="1"/>
  <c r="CJ59" i="1"/>
  <c r="CG60" i="1"/>
  <c r="CI243" i="1"/>
  <c r="CF64" i="1"/>
  <c r="CD70" i="1"/>
  <c r="CC68" i="1"/>
  <c r="CC135" i="1"/>
  <c r="CC136" i="1" s="1"/>
  <c r="CC82" i="1"/>
  <c r="CC209" i="1"/>
  <c r="CC211" i="1" s="1"/>
  <c r="CB82" i="1"/>
  <c r="CB68" i="1"/>
  <c r="CB209" i="1"/>
  <c r="CB211" i="1" s="1"/>
  <c r="CB223" i="1"/>
  <c r="CB221" i="1" s="1"/>
  <c r="CE57" i="1"/>
  <c r="CE56" i="1"/>
  <c r="BY209" i="1"/>
  <c r="BY211" i="1" s="1"/>
  <c r="BY68" i="1"/>
  <c r="BY82" i="1"/>
  <c r="BL209" i="1"/>
  <c r="BL211" i="1" s="1"/>
  <c r="BL82" i="1"/>
  <c r="BL68" i="1"/>
  <c r="CY56" i="1"/>
  <c r="CZ56" i="1" s="1"/>
  <c r="DA33" i="1"/>
  <c r="DB33" i="1" s="1"/>
  <c r="CX199" i="1"/>
  <c r="CX196" i="1"/>
  <c r="CX195" i="1"/>
  <c r="CY140" i="1"/>
  <c r="AB142" i="1"/>
  <c r="AB152" i="1"/>
  <c r="AB151" i="1"/>
  <c r="AB143" i="1"/>
  <c r="AB138" i="1"/>
  <c r="AB167" i="1"/>
  <c r="AB159" i="1"/>
  <c r="AB134" i="1"/>
  <c r="CX156" i="1" l="1"/>
  <c r="CY156" i="1" s="1"/>
  <c r="CY218" i="1" s="1"/>
  <c r="CW218" i="1"/>
  <c r="CW200" i="1"/>
  <c r="CV201" i="1"/>
  <c r="CU198" i="1"/>
  <c r="CU202" i="1" s="1"/>
  <c r="CV197" i="1"/>
  <c r="CX141" i="1"/>
  <c r="CW144" i="1"/>
  <c r="CW265" i="1" s="1"/>
  <c r="CV222" i="1"/>
  <c r="CN24" i="1"/>
  <c r="CD85" i="1"/>
  <c r="CD102" i="1" s="1"/>
  <c r="BZ58" i="1"/>
  <c r="BZ261" i="1" s="1"/>
  <c r="BZ60" i="1"/>
  <c r="CC243" i="1"/>
  <c r="BZ64" i="1"/>
  <c r="CC70" i="1" s="1"/>
  <c r="BZ250" i="1"/>
  <c r="CD59" i="1"/>
  <c r="CA60" i="1"/>
  <c r="CG264" i="1"/>
  <c r="CH225" i="1"/>
  <c r="CH226" i="1" s="1"/>
  <c r="CH227" i="1" s="1"/>
  <c r="CG260" i="1"/>
  <c r="CG262" i="1"/>
  <c r="CG181" i="1"/>
  <c r="CG182" i="1" s="1"/>
  <c r="CG184" i="1"/>
  <c r="CF209" i="1"/>
  <c r="CF211" i="1" s="1"/>
  <c r="CF215" i="1" s="1"/>
  <c r="CF229" i="1" s="1"/>
  <c r="CF68" i="1"/>
  <c r="CF82" i="1"/>
  <c r="CI85" i="1" s="1"/>
  <c r="CI70" i="1"/>
  <c r="CC108" i="1"/>
  <c r="CC145" i="1"/>
  <c r="CC71" i="1" s="1"/>
  <c r="CC223" i="1"/>
  <c r="CC221" i="1" s="1"/>
  <c r="CD223" i="1"/>
  <c r="CD221" i="1" s="1"/>
  <c r="CG243" i="1"/>
  <c r="CI59" i="1"/>
  <c r="CH243" i="1"/>
  <c r="CE60" i="1"/>
  <c r="CE58" i="1"/>
  <c r="CE261" i="1" s="1"/>
  <c r="CE59" i="1"/>
  <c r="CF60" i="1"/>
  <c r="CE64" i="1"/>
  <c r="CF243" i="1"/>
  <c r="CE243" i="1"/>
  <c r="Z77" i="1"/>
  <c r="CE250" i="1"/>
  <c r="DA56" i="1"/>
  <c r="DB56" i="1" s="1"/>
  <c r="CY196" i="1"/>
  <c r="CZ140" i="1"/>
  <c r="CY195" i="1"/>
  <c r="CY199" i="1"/>
  <c r="AC152" i="1"/>
  <c r="AC142" i="1"/>
  <c r="AB180" i="1"/>
  <c r="AC138" i="1"/>
  <c r="AC167" i="1"/>
  <c r="AB163" i="1"/>
  <c r="AB170" i="1"/>
  <c r="AC159" i="1"/>
  <c r="AC143" i="1"/>
  <c r="AB171" i="1"/>
  <c r="AC134" i="1"/>
  <c r="AC151" i="1"/>
  <c r="CX218" i="1" l="1"/>
  <c r="CX200" i="1"/>
  <c r="CW201" i="1"/>
  <c r="CV198" i="1"/>
  <c r="CV202" i="1" s="1"/>
  <c r="CW197" i="1"/>
  <c r="CY141" i="1"/>
  <c r="CX144" i="1"/>
  <c r="CX265" i="1" s="1"/>
  <c r="CW222" i="1"/>
  <c r="CD101" i="1"/>
  <c r="CD103" i="1"/>
  <c r="CB70" i="1"/>
  <c r="BZ82" i="1"/>
  <c r="BZ68" i="1"/>
  <c r="BZ209" i="1"/>
  <c r="BZ211" i="1" s="1"/>
  <c r="CH53" i="1"/>
  <c r="CG125" i="1"/>
  <c r="CI103" i="1"/>
  <c r="CI101" i="1"/>
  <c r="CI102" i="1"/>
  <c r="CL106" i="1" s="1"/>
  <c r="CE68" i="1"/>
  <c r="CE135" i="1"/>
  <c r="CE136" i="1" s="1"/>
  <c r="CE70" i="1" s="1"/>
  <c r="CE209" i="1"/>
  <c r="CE211" i="1" s="1"/>
  <c r="CE215" i="1" s="1"/>
  <c r="CE229" i="1" s="1"/>
  <c r="CE82" i="1"/>
  <c r="CF70" i="1"/>
  <c r="CG70" i="1"/>
  <c r="CH70" i="1"/>
  <c r="DA140" i="1"/>
  <c r="CZ156" i="1"/>
  <c r="CZ218" i="1" s="1"/>
  <c r="CZ199" i="1"/>
  <c r="CZ196" i="1"/>
  <c r="CZ195" i="1"/>
  <c r="AE152" i="1"/>
  <c r="AD152" i="1"/>
  <c r="AE142" i="1"/>
  <c r="AD142" i="1"/>
  <c r="AC180" i="1"/>
  <c r="AE167" i="1"/>
  <c r="AD167" i="1"/>
  <c r="AE159" i="1"/>
  <c r="AD159" i="1"/>
  <c r="AD134" i="1"/>
  <c r="AE134" i="1"/>
  <c r="AC170" i="1"/>
  <c r="AE143" i="1"/>
  <c r="AD143" i="1"/>
  <c r="AE151" i="1"/>
  <c r="AD151" i="1"/>
  <c r="AC171" i="1"/>
  <c r="AC163" i="1"/>
  <c r="AE138" i="1"/>
  <c r="AD138" i="1"/>
  <c r="CX201" i="1" l="1"/>
  <c r="CY200" i="1"/>
  <c r="CW198" i="1"/>
  <c r="CW202" i="1" s="1"/>
  <c r="CX197" i="1"/>
  <c r="CZ141" i="1"/>
  <c r="CY144" i="1"/>
  <c r="CY265" i="1" s="1"/>
  <c r="CX222" i="1"/>
  <c r="CC85" i="1"/>
  <c r="CB85" i="1"/>
  <c r="CG127" i="1"/>
  <c r="CG130" i="1" s="1"/>
  <c r="CG126" i="1"/>
  <c r="CG129" i="1" s="1"/>
  <c r="CF85" i="1"/>
  <c r="CH85" i="1"/>
  <c r="CL86" i="1" s="1"/>
  <c r="CG85" i="1"/>
  <c r="CK86" i="1" s="1"/>
  <c r="CE85" i="1"/>
  <c r="CE108" i="1"/>
  <c r="CF223" i="1"/>
  <c r="CF221" i="1" s="1"/>
  <c r="CE145" i="1"/>
  <c r="CE71" i="1" s="1"/>
  <c r="CE223" i="1"/>
  <c r="CE221" i="1" s="1"/>
  <c r="CE226" i="1" s="1"/>
  <c r="CE176" i="1" s="1"/>
  <c r="CE177" i="1" s="1"/>
  <c r="CE181" i="1" s="1"/>
  <c r="DA195" i="1"/>
  <c r="DA196" i="1"/>
  <c r="DA156" i="1"/>
  <c r="DB156" i="1" s="1"/>
  <c r="DB218" i="1" s="1"/>
  <c r="DA199" i="1"/>
  <c r="DB140" i="1"/>
  <c r="AE180" i="1"/>
  <c r="AD180" i="1"/>
  <c r="AE170" i="1"/>
  <c r="AD170" i="1"/>
  <c r="AE171" i="1"/>
  <c r="AD171" i="1"/>
  <c r="AE163" i="1"/>
  <c r="AD163" i="1"/>
  <c r="BY247" i="1"/>
  <c r="CZ200" i="1" l="1"/>
  <c r="CY201" i="1"/>
  <c r="DA141" i="1"/>
  <c r="CZ144" i="1"/>
  <c r="CX198" i="1"/>
  <c r="CX202" i="1" s="1"/>
  <c r="CY197" i="1"/>
  <c r="CY222" i="1"/>
  <c r="CE110" i="1"/>
  <c r="CE111" i="1"/>
  <c r="CE112" i="1"/>
  <c r="CE260" i="1"/>
  <c r="CE101" i="1"/>
  <c r="CE102" i="1"/>
  <c r="CI86" i="1"/>
  <c r="CE103" i="1"/>
  <c r="CE264" i="1"/>
  <c r="CG86" i="1"/>
  <c r="CG101" i="1"/>
  <c r="CG103" i="1"/>
  <c r="CG102" i="1"/>
  <c r="CE184" i="1"/>
  <c r="CE125" i="1" s="1"/>
  <c r="CE127" i="1" s="1"/>
  <c r="CE130" i="1" s="1"/>
  <c r="CF225" i="1"/>
  <c r="CF226" i="1" s="1"/>
  <c r="CF227" i="1" s="1"/>
  <c r="CE262" i="1"/>
  <c r="CH86" i="1"/>
  <c r="CH102" i="1"/>
  <c r="CK106" i="1" s="1"/>
  <c r="CH101" i="1"/>
  <c r="CH103" i="1"/>
  <c r="CE227" i="1"/>
  <c r="CF86" i="1"/>
  <c r="CJ86" i="1"/>
  <c r="CF103" i="1"/>
  <c r="CF101" i="1"/>
  <c r="CF102" i="1"/>
  <c r="CU27" i="1"/>
  <c r="CV27" i="1" s="1"/>
  <c r="DA218" i="1"/>
  <c r="DB196" i="1"/>
  <c r="DB195" i="1"/>
  <c r="DB199" i="1"/>
  <c r="CE182" i="1"/>
  <c r="AB36" i="1"/>
  <c r="DA200" i="1" l="1"/>
  <c r="CZ201" i="1"/>
  <c r="CZ222" i="1"/>
  <c r="CZ265" i="1"/>
  <c r="DA144" i="1"/>
  <c r="DB141" i="1"/>
  <c r="DB144" i="1" s="1"/>
  <c r="CY198" i="1"/>
  <c r="CY202" i="1" s="1"/>
  <c r="CZ197" i="1"/>
  <c r="CJ106" i="1"/>
  <c r="CH106" i="1"/>
  <c r="CF53" i="1"/>
  <c r="CI106" i="1"/>
  <c r="CG106" i="1"/>
  <c r="CW27" i="1"/>
  <c r="CE126" i="1"/>
  <c r="CE129" i="1" s="1"/>
  <c r="AC36" i="1"/>
  <c r="BY248" i="1"/>
  <c r="BY249" i="1" s="1"/>
  <c r="DB200" i="1" l="1"/>
  <c r="DB201" i="1" s="1"/>
  <c r="DA201" i="1"/>
  <c r="DA222" i="1"/>
  <c r="DA265" i="1"/>
  <c r="DB222" i="1"/>
  <c r="DB265" i="1"/>
  <c r="CZ198" i="1"/>
  <c r="CZ202" i="1" s="1"/>
  <c r="DA197" i="1"/>
  <c r="CX27" i="1"/>
  <c r="CY27" i="1" s="1"/>
  <c r="CZ27" i="1" s="1"/>
  <c r="AD36" i="1"/>
  <c r="BY250" i="1"/>
  <c r="DA198" i="1" l="1"/>
  <c r="DA202" i="1" s="1"/>
  <c r="DB197" i="1"/>
  <c r="DB198" i="1" s="1"/>
  <c r="DB202" i="1" s="1"/>
  <c r="DA27" i="1"/>
  <c r="DB27" i="1" s="1"/>
  <c r="AE36" i="1"/>
  <c r="BI81" i="1" l="1"/>
  <c r="AT81" i="1"/>
  <c r="BT81" i="1"/>
  <c r="AV81" i="1"/>
  <c r="AX81" i="1"/>
  <c r="AR81" i="1"/>
  <c r="AO81" i="1" l="1"/>
  <c r="BK81" i="1"/>
  <c r="AN81" i="1"/>
  <c r="AW81" i="1"/>
  <c r="BB81" i="1"/>
  <c r="BM81" i="1"/>
  <c r="BQ81" i="1"/>
  <c r="AJ81" i="1"/>
  <c r="BS81" i="1"/>
  <c r="BR81" i="1"/>
  <c r="BO81" i="1"/>
  <c r="AM81" i="1"/>
  <c r="AI81" i="1"/>
  <c r="AP81" i="1"/>
  <c r="AZ81" i="1"/>
  <c r="AS81" i="1"/>
  <c r="BN81" i="1"/>
  <c r="BU81" i="1"/>
  <c r="BA81" i="1"/>
  <c r="BC81" i="1"/>
  <c r="AU81" i="1"/>
  <c r="BW81" i="1"/>
  <c r="BP81" i="1"/>
  <c r="BJ81" i="1"/>
  <c r="BH81" i="1"/>
  <c r="BX81" i="1"/>
  <c r="BG81" i="1"/>
  <c r="AQ81" i="1"/>
  <c r="AY81" i="1"/>
  <c r="AK81" i="1"/>
  <c r="BE81" i="1"/>
  <c r="BD81" i="1"/>
  <c r="BV81" i="1"/>
  <c r="BF81" i="1"/>
  <c r="BL247" i="1" l="1"/>
  <c r="AB156" i="1" l="1"/>
  <c r="CN93" i="1" l="1"/>
  <c r="AB218" i="1"/>
  <c r="CO93" i="1" l="1"/>
  <c r="CM79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Q18" i="2"/>
  <c r="G17" i="2"/>
  <c r="F75" i="2"/>
  <c r="S25" i="2"/>
  <c r="L20" i="2"/>
  <c r="W5" i="2"/>
  <c r="U11" i="2"/>
  <c r="O12" i="2"/>
  <c r="J15" i="2"/>
  <c r="C28" i="2"/>
  <c r="H23" i="2"/>
  <c r="S15" i="2"/>
  <c r="K16" i="2"/>
  <c r="X20" i="2"/>
  <c r="R14" i="2"/>
  <c r="G28" i="2"/>
  <c r="H11" i="2"/>
  <c r="H15" i="2"/>
  <c r="U26" i="2"/>
  <c r="R27" i="2"/>
  <c r="AS49" i="3"/>
  <c r="V20" i="2"/>
  <c r="R11" i="2"/>
  <c r="AR91" i="3"/>
  <c r="K27" i="2"/>
  <c r="E22" i="2"/>
  <c r="O14" i="2"/>
  <c r="J46" i="3"/>
  <c r="AR12" i="3"/>
  <c r="AA45" i="3"/>
  <c r="D29" i="3"/>
  <c r="D30" i="3"/>
  <c r="E42" i="3"/>
  <c r="G21" i="3"/>
  <c r="P46" i="3"/>
  <c r="G28" i="3"/>
  <c r="AR18" i="3"/>
  <c r="G29" i="3"/>
  <c r="D31" i="3"/>
  <c r="L45" i="3"/>
  <c r="ED16" i="4" a="1"/>
  <c r="AX8" i="4" a="1"/>
  <c r="BK8" i="4" a="1"/>
  <c r="AM11" i="4" a="1"/>
  <c r="AN7" i="4" a="1"/>
  <c r="AH13" i="4" a="1"/>
  <c r="BH5" i="4" a="1"/>
  <c r="W11" i="4" a="1"/>
  <c r="AF16" i="4" a="1"/>
  <c r="M14" i="2"/>
  <c r="V34" i="2"/>
  <c r="U29" i="2"/>
  <c r="Q46" i="2"/>
  <c r="Q56" i="2"/>
  <c r="D8" i="2"/>
  <c r="I8" i="2"/>
  <c r="P22" i="2"/>
  <c r="J22" i="2"/>
  <c r="W12" i="2"/>
  <c r="R21" i="2"/>
  <c r="H6" i="2"/>
  <c r="S19" i="2"/>
  <c r="R8" i="2"/>
  <c r="I24" i="2"/>
  <c r="L18" i="2"/>
  <c r="V22" i="2"/>
  <c r="O34" i="2"/>
  <c r="V9" i="2"/>
  <c r="E23" i="2"/>
  <c r="R17" i="2"/>
  <c r="AR49" i="3"/>
  <c r="U33" i="2"/>
  <c r="R22" i="2"/>
  <c r="AR95" i="3"/>
  <c r="I34" i="2"/>
  <c r="D25" i="2"/>
  <c r="N15" i="2"/>
  <c r="X46" i="3"/>
  <c r="AD10" i="3"/>
  <c r="AC46" i="3"/>
  <c r="F12" i="3"/>
  <c r="G45" i="3"/>
  <c r="U45" i="3"/>
  <c r="G18" i="3"/>
  <c r="E13" i="3"/>
  <c r="G24" i="3"/>
  <c r="E30" i="3"/>
  <c r="E45" i="3"/>
  <c r="D7" i="3"/>
  <c r="D5" i="3"/>
  <c r="DV16" i="4" a="1"/>
  <c r="BY8" i="4" a="1"/>
  <c r="BM8" i="4" a="1"/>
  <c r="CZ16" i="4" a="1"/>
  <c r="AI16" i="4" a="1"/>
  <c r="DM6" i="4" a="1"/>
  <c r="BD15" i="4" a="1"/>
  <c r="AI7" i="4" a="1"/>
  <c r="EC7" i="4" a="1"/>
  <c r="CM8" i="4" a="1"/>
  <c r="DR5" i="4" a="1"/>
  <c r="CW14" i="4" a="1"/>
  <c r="J5" i="4" a="1"/>
  <c r="P7" i="4" a="1"/>
  <c r="DC12" i="4" a="1"/>
  <c r="CO13" i="4" a="1"/>
  <c r="AI13" i="4" a="1"/>
  <c r="CB9" i="4" a="1"/>
  <c r="DL13" i="4" a="1"/>
  <c r="DW6" i="4" a="1"/>
  <c r="EA13" i="4" a="1"/>
  <c r="BE6" i="4" a="1"/>
  <c r="Q5" i="4" a="1"/>
  <c r="CG8" i="4" a="1"/>
  <c r="BK15" i="4" a="1"/>
  <c r="P8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F13" i="2"/>
  <c r="T5" i="2"/>
  <c r="Q6" i="2"/>
  <c r="G16" i="2"/>
  <c r="C6" i="2"/>
  <c r="K87" i="2"/>
  <c r="T12" i="2"/>
  <c r="V24" i="2"/>
  <c r="K23" i="2"/>
  <c r="V23" i="2"/>
  <c r="C34" i="2"/>
  <c r="O22" i="2"/>
  <c r="N19" i="2"/>
  <c r="P6" i="2"/>
  <c r="G35" i="2"/>
  <c r="F9" i="2"/>
  <c r="D33" i="2"/>
  <c r="X21" i="2"/>
  <c r="C18" i="2"/>
  <c r="P5" i="2"/>
  <c r="T21" i="2"/>
  <c r="AR55" i="3"/>
  <c r="W70" i="2"/>
  <c r="C23" i="2"/>
  <c r="F22" i="2"/>
  <c r="H33" i="2"/>
  <c r="U9" i="2"/>
  <c r="E45" i="2"/>
  <c r="W45" i="3"/>
  <c r="D24" i="3"/>
  <c r="D26" i="3"/>
  <c r="AN45" i="3"/>
  <c r="E23" i="3"/>
  <c r="AD14" i="3"/>
  <c r="AD46" i="3"/>
  <c r="AC45" i="3"/>
  <c r="F9" i="3"/>
  <c r="E12" i="3"/>
  <c r="D25" i="3"/>
  <c r="AR23" i="3"/>
  <c r="F38" i="3"/>
  <c r="DO5" i="4" a="1"/>
  <c r="BF11" i="4" a="1"/>
  <c r="AK11" i="4" a="1"/>
  <c r="X28" i="2"/>
  <c r="U27" i="2"/>
  <c r="W46" i="2"/>
  <c r="D32" i="2"/>
  <c r="O17" i="2"/>
  <c r="I16" i="2"/>
  <c r="K13" i="2"/>
  <c r="T15" i="2"/>
  <c r="K17" i="2"/>
  <c r="D7" i="2"/>
  <c r="L32" i="2"/>
  <c r="H36" i="2"/>
  <c r="R20" i="2"/>
  <c r="X63" i="2"/>
  <c r="G27" i="2"/>
  <c r="K9" i="2"/>
  <c r="Q31" i="2"/>
  <c r="M36" i="2"/>
  <c r="G11" i="2"/>
  <c r="U5" i="2"/>
  <c r="N21" i="2"/>
  <c r="C10" i="2"/>
  <c r="X36" i="2"/>
  <c r="C65" i="2"/>
  <c r="V19" i="2"/>
  <c r="N20" i="2"/>
  <c r="C30" i="2"/>
  <c r="I26" i="2"/>
  <c r="H45" i="3"/>
  <c r="AR36" i="3"/>
  <c r="E20" i="3"/>
  <c r="W46" i="3"/>
  <c r="G14" i="3"/>
  <c r="O45" i="3"/>
  <c r="O46" i="3"/>
  <c r="G10" i="3"/>
  <c r="AJ45" i="3"/>
  <c r="E29" i="3"/>
  <c r="AD16" i="3"/>
  <c r="D35" i="3"/>
  <c r="AR16" i="3"/>
  <c r="AZ15" i="4" a="1"/>
  <c r="BF9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M5" i="4" a="1"/>
  <c r="CO9" i="4" a="1"/>
  <c r="BT9" i="4" a="1"/>
  <c r="CA8" i="4" a="1"/>
  <c r="BI5" i="4" a="1"/>
  <c r="DP16" i="4" a="1"/>
  <c r="BH14" i="4" a="1"/>
  <c r="BK12" i="4" a="1"/>
  <c r="V5" i="4" a="1"/>
  <c r="DP12" i="4" a="1"/>
  <c r="AY6" i="4" a="1"/>
  <c r="AY12" i="4" a="1"/>
  <c r="EJ16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T35" i="2"/>
  <c r="K26" i="2"/>
  <c r="Q58" i="2"/>
  <c r="L23" i="2"/>
  <c r="N36" i="2"/>
  <c r="F6" i="2"/>
  <c r="V28" i="2"/>
  <c r="G33" i="2"/>
  <c r="S17" i="2"/>
  <c r="N33" i="2"/>
  <c r="N14" i="2"/>
  <c r="J19" i="2"/>
  <c r="P28" i="2"/>
  <c r="I35" i="2"/>
  <c r="P13" i="2"/>
  <c r="H27" i="2"/>
  <c r="K59" i="2"/>
  <c r="N6" i="2"/>
  <c r="V31" i="2"/>
  <c r="T20" i="2"/>
  <c r="R36" i="2"/>
  <c r="T8" i="2"/>
  <c r="D11" i="2"/>
  <c r="M31" i="2"/>
  <c r="V8" i="2"/>
  <c r="X29" i="2"/>
  <c r="E21" i="2"/>
  <c r="AR37" i="3"/>
  <c r="D37" i="3"/>
  <c r="AD17" i="3"/>
  <c r="E18" i="3"/>
  <c r="E6" i="3"/>
  <c r="AH46" i="3"/>
  <c r="E35" i="3"/>
  <c r="AR46" i="3"/>
  <c r="D22" i="3"/>
  <c r="D38" i="3"/>
  <c r="G19" i="3"/>
  <c r="AR29" i="3"/>
  <c r="E19" i="3"/>
  <c r="AD11" i="3"/>
  <c r="BB8" i="4" a="1"/>
  <c r="CI7" i="4" a="1"/>
  <c r="AJ12" i="4" a="1"/>
  <c r="BX9" i="4" a="1"/>
  <c r="AX11" i="4" a="1"/>
  <c r="CR8" i="4" a="1"/>
  <c r="BU7" i="4" a="1"/>
  <c r="BL9" i="4" a="1"/>
  <c r="AM7" i="4" a="1"/>
  <c r="AZ7" i="4" a="1"/>
  <c r="BN11" i="4" a="1"/>
  <c r="AB11" i="4" a="1"/>
  <c r="DH8" i="4" a="1"/>
  <c r="CV9" i="4" a="1"/>
  <c r="V14" i="4" a="1"/>
  <c r="CJ9" i="4" a="1"/>
  <c r="DQ8" i="4" a="1"/>
  <c r="C8" i="4" a="1"/>
  <c r="AD7" i="4" a="1"/>
  <c r="CF14" i="4" a="1"/>
  <c r="DB16" i="4" a="1"/>
  <c r="DF11" i="4" a="1"/>
  <c r="CF12" i="4" a="1"/>
  <c r="DI13" i="4" a="1"/>
  <c r="BV15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H9" i="2"/>
  <c r="K11" i="2"/>
  <c r="N11" i="2"/>
  <c r="L17" i="2"/>
  <c r="W21" i="2"/>
  <c r="U30" i="2"/>
  <c r="J26" i="2"/>
  <c r="U34" i="2"/>
  <c r="I20" i="2"/>
  <c r="T30" i="2"/>
  <c r="L19" i="2"/>
  <c r="G14" i="2"/>
  <c r="V10" i="2"/>
  <c r="V36" i="2"/>
  <c r="O11" i="2"/>
  <c r="L31" i="2"/>
  <c r="E28" i="2"/>
  <c r="P32" i="2"/>
  <c r="J20" i="2"/>
  <c r="T6" i="2"/>
  <c r="V11" i="2"/>
  <c r="E7" i="2"/>
  <c r="R26" i="2"/>
  <c r="M30" i="2"/>
  <c r="N8" i="2"/>
  <c r="D14" i="2"/>
  <c r="U31" i="2"/>
  <c r="AG45" i="3"/>
  <c r="S46" i="3"/>
  <c r="E41" i="3"/>
  <c r="E32" i="3"/>
  <c r="G46" i="3"/>
  <c r="AR32" i="3"/>
  <c r="E37" i="3"/>
  <c r="G15" i="3"/>
  <c r="AD5" i="3"/>
  <c r="Z46" i="3"/>
  <c r="F23" i="3"/>
  <c r="AR10" i="3"/>
  <c r="AM45" i="3"/>
  <c r="AR35" i="3"/>
  <c r="E16" i="4" a="1"/>
  <c r="CY6" i="4" a="1"/>
  <c r="BJ11" i="4" a="1"/>
  <c r="EI16" i="4" a="1"/>
  <c r="CR13" i="4" a="1"/>
  <c r="BV5" i="4" a="1"/>
  <c r="BS6" i="4" a="1"/>
  <c r="CN11" i="4" a="1"/>
  <c r="CQ6" i="4" a="1"/>
  <c r="DH12" i="4" a="1"/>
  <c r="DE14" i="4" a="1"/>
  <c r="AR11" i="4" a="1"/>
  <c r="DG13" i="4" a="1"/>
  <c r="AE16" i="4" a="1"/>
  <c r="I11" i="4" a="1"/>
  <c r="CD8" i="4" a="1"/>
  <c r="BE8" i="4" a="1"/>
  <c r="BO12" i="4" a="1"/>
  <c r="BI16" i="4" a="1"/>
  <c r="O6" i="4" a="1"/>
  <c r="AU11" i="4" a="1"/>
  <c r="DK13" i="4" a="1"/>
  <c r="CR5" i="4" a="1"/>
  <c r="CA9" i="4" a="1"/>
  <c r="CR9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Q69" i="2"/>
  <c r="O8" i="2"/>
  <c r="O32" i="2"/>
  <c r="R10" i="2"/>
  <c r="K33" i="2"/>
  <c r="O15" i="2"/>
  <c r="X8" i="2"/>
  <c r="D29" i="2"/>
  <c r="S16" i="2"/>
  <c r="D28" i="2"/>
  <c r="R23" i="2"/>
  <c r="S20" i="2"/>
  <c r="G10" i="2"/>
  <c r="R9" i="2"/>
  <c r="G24" i="2"/>
  <c r="T19" i="2"/>
  <c r="T14" i="2"/>
  <c r="F29" i="2"/>
  <c r="G9" i="2"/>
  <c r="C14" i="2"/>
  <c r="Q59" i="2"/>
  <c r="J5" i="2"/>
  <c r="R19" i="2"/>
  <c r="S24" i="2"/>
  <c r="X26" i="2"/>
  <c r="H35" i="2"/>
  <c r="L27" i="2"/>
  <c r="G7" i="3"/>
  <c r="F22" i="3"/>
  <c r="F19" i="3"/>
  <c r="AR33" i="3"/>
  <c r="R46" i="3"/>
  <c r="D23" i="3"/>
  <c r="F6" i="3"/>
  <c r="D8" i="3"/>
  <c r="F27" i="3"/>
  <c r="AR14" i="3"/>
  <c r="F30" i="3"/>
  <c r="G20" i="3"/>
  <c r="D41" i="3"/>
  <c r="F28" i="3"/>
  <c r="BV7" i="4" a="1"/>
  <c r="DM5" i="4" a="1"/>
  <c r="F12" i="4" a="1"/>
  <c r="CF7" i="4" a="1"/>
  <c r="BU12" i="4" a="1"/>
  <c r="DT12" i="4" a="1"/>
  <c r="DB14" i="4" a="1"/>
  <c r="DP14" i="4" a="1"/>
  <c r="CO6" i="4" a="1"/>
  <c r="CB13" i="4" a="1"/>
  <c r="CT8" i="4" a="1"/>
  <c r="EA5" i="4" a="1"/>
  <c r="BU8" i="4" a="1"/>
  <c r="BS7" i="4" a="1"/>
  <c r="D13" i="4" a="1"/>
  <c r="CH7" i="4" a="1"/>
  <c r="P9" i="4" a="1"/>
  <c r="CW7" i="4" a="1"/>
  <c r="DD13" i="4" a="1"/>
  <c r="BE7" i="4" a="1"/>
  <c r="EB8" i="4" a="1"/>
  <c r="DG5" i="4" a="1"/>
  <c r="CL9" i="4" a="1"/>
  <c r="BS16" i="4" a="1"/>
  <c r="CC16" i="4" a="1"/>
  <c r="BG12" i="4" a="1"/>
  <c r="D7" i="4" a="1"/>
  <c r="CP8" i="4" a="1"/>
  <c r="AW14" i="4" a="1"/>
  <c r="DL5" i="4" a="1"/>
  <c r="BP5" i="4" a="1"/>
  <c r="U19" i="2"/>
  <c r="D19" i="2"/>
  <c r="I14" i="2"/>
  <c r="M18" i="2"/>
  <c r="S12" i="2"/>
  <c r="O19" i="2"/>
  <c r="U25" i="2"/>
  <c r="K10" i="2"/>
  <c r="F35" i="2"/>
  <c r="P36" i="2"/>
  <c r="T29" i="2"/>
  <c r="J7" i="2"/>
  <c r="N31" i="2"/>
  <c r="T24" i="2"/>
  <c r="F20" i="2"/>
  <c r="E8" i="2"/>
  <c r="F19" i="2"/>
  <c r="S8" i="2"/>
  <c r="H10" i="2"/>
  <c r="O23" i="2"/>
  <c r="E17" i="2"/>
  <c r="M24" i="2"/>
  <c r="E5" i="2"/>
  <c r="R7" i="2"/>
  <c r="K14" i="2"/>
  <c r="Q54" i="2"/>
  <c r="X12" i="2"/>
  <c r="AR34" i="3"/>
  <c r="D13" i="3"/>
  <c r="F25" i="3"/>
  <c r="F33" i="3"/>
  <c r="V45" i="3"/>
  <c r="D11" i="3"/>
  <c r="AR38" i="3"/>
  <c r="D27" i="3"/>
  <c r="E31" i="3"/>
  <c r="AO46" i="3"/>
  <c r="D20" i="3"/>
  <c r="F7" i="3"/>
  <c r="I45" i="3"/>
  <c r="F35" i="3"/>
  <c r="AF7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C8" i="2"/>
  <c r="Q16" i="2"/>
  <c r="L33" i="2"/>
  <c r="W31" i="2"/>
  <c r="V5" i="2"/>
  <c r="N7" i="2"/>
  <c r="L6" i="2"/>
  <c r="J11" i="2"/>
  <c r="I11" i="2"/>
  <c r="AA46" i="3"/>
  <c r="AD18" i="3"/>
  <c r="G9" i="3"/>
  <c r="G16" i="3"/>
  <c r="J45" i="3"/>
  <c r="CK15" i="4" a="1"/>
  <c r="CB7" i="4" a="1"/>
  <c r="BQ7" i="4" a="1"/>
  <c r="EI14" i="4" a="1"/>
  <c r="BZ5" i="4" a="1"/>
  <c r="BK6" i="4" a="1"/>
  <c r="BP11" i="4" a="1"/>
  <c r="CC8" i="4" a="1"/>
  <c r="CI13" i="4" a="1"/>
  <c r="ED9" i="4" a="1"/>
  <c r="EE11" i="4" a="1"/>
  <c r="AR12" i="4" a="1"/>
  <c r="CA12" i="4" a="1"/>
  <c r="DF16" i="4" a="1"/>
  <c r="BC8" i="4" a="1"/>
  <c r="AK12" i="4" a="1"/>
  <c r="Z5" i="4" a="1"/>
  <c r="AV15" i="4" a="1"/>
  <c r="DX8" i="4" a="1"/>
  <c r="AA9" i="4" a="1"/>
  <c r="AZ12" i="4" a="1"/>
  <c r="DT6" i="4" a="1"/>
  <c r="AS15" i="4" a="1"/>
  <c r="BF14" i="4" a="1"/>
  <c r="BM9" i="4" a="1"/>
  <c r="CJ12" i="4" a="1"/>
  <c r="P6" i="4" a="1"/>
  <c r="CE7" i="4" a="1"/>
  <c r="U6" i="4" a="1"/>
  <c r="O8" i="4" a="1"/>
  <c r="DX11" i="4" a="1"/>
  <c r="DL16" i="4" a="1"/>
  <c r="DP6" i="4" a="1"/>
  <c r="I12" i="4" a="1"/>
  <c r="AF13" i="4" a="1"/>
  <c r="BY11" i="4" a="1"/>
  <c r="X14" i="4" a="1"/>
  <c r="AS11" i="4" a="1"/>
  <c r="CC6" i="4" a="1"/>
  <c r="DF9" i="4" a="1"/>
  <c r="EH9" i="4" a="1"/>
  <c r="DK9" i="4" a="1"/>
  <c r="DS16" i="4" a="1"/>
  <c r="BD16" i="4" a="1"/>
  <c r="BH9" i="4" a="1"/>
  <c r="CE8" i="4" a="1"/>
  <c r="EA11" i="4" a="1"/>
  <c r="BV6" i="4" a="1"/>
  <c r="BZ16" i="4" a="1"/>
  <c r="AQ8" i="4" a="1"/>
  <c r="CP6" i="4" a="1"/>
  <c r="EK9" i="4" a="1"/>
  <c r="DH9" i="4" a="1"/>
  <c r="EB12" i="4" a="1"/>
  <c r="AD13" i="4" a="1"/>
  <c r="AG8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Z13" i="4" a="1"/>
  <c r="DM9" i="4" a="1"/>
  <c r="DD7" i="4" a="1"/>
  <c r="AM14" i="4" a="1"/>
  <c r="J11" i="4" a="1"/>
  <c r="EH11" i="4" a="1"/>
  <c r="BA12" i="4" a="1"/>
  <c r="AM16" i="4" a="1"/>
  <c r="CW8" i="4" a="1"/>
  <c r="AV13" i="4" a="1"/>
  <c r="AH14" i="4" a="1"/>
  <c r="DM13" i="4" a="1"/>
  <c r="DW14" i="4" a="1"/>
  <c r="X19" i="2"/>
  <c r="X11" i="2"/>
  <c r="D20" i="2"/>
  <c r="W30" i="2"/>
  <c r="P8" i="2"/>
  <c r="L21" i="2"/>
  <c r="E12" i="2"/>
  <c r="F26" i="2"/>
  <c r="W19" i="2"/>
  <c r="AJ46" i="3"/>
  <c r="L46" i="3"/>
  <c r="D32" i="3"/>
  <c r="AR20" i="3"/>
  <c r="E8" i="3"/>
  <c r="CI15" i="4" a="1"/>
  <c r="AI14" i="4" a="1"/>
  <c r="BD6" i="4" a="1"/>
  <c r="CN16" i="4" a="1"/>
  <c r="BA5" i="4" a="1"/>
  <c r="CN8" i="4" a="1"/>
  <c r="P14" i="4" a="1"/>
  <c r="BI6" i="4" a="1"/>
  <c r="AD5" i="4" a="1"/>
  <c r="CN7" i="4" a="1"/>
  <c r="EJ7" i="4" a="1"/>
  <c r="DS6" i="4" a="1"/>
  <c r="CS12" i="4" a="1"/>
  <c r="BO13" i="4" a="1"/>
  <c r="AY11" i="4" a="1"/>
  <c r="DB8" i="4" a="1"/>
  <c r="BJ16" i="4" a="1"/>
  <c r="BG7" i="4" a="1"/>
  <c r="BM16" i="4" a="1"/>
  <c r="CG7" i="4" a="1"/>
  <c r="DE8" i="4" a="1"/>
  <c r="BO16" i="4" a="1"/>
  <c r="CB14" i="4" a="1"/>
  <c r="J14" i="4" a="1"/>
  <c r="BP12" i="4" a="1"/>
  <c r="AP7" i="4" a="1"/>
  <c r="DM11" i="4" a="1"/>
  <c r="AR16" i="4" a="1"/>
  <c r="BA15" i="4" a="1"/>
  <c r="CV5" i="4" a="1"/>
  <c r="AI15" i="4" a="1"/>
  <c r="CF8" i="4" a="1"/>
  <c r="T15" i="4" a="1"/>
  <c r="AP13" i="4" a="1"/>
  <c r="BM6" i="4" a="1"/>
  <c r="DS8" i="4" a="1"/>
  <c r="CT9" i="4" a="1"/>
  <c r="CM9" i="4" a="1"/>
  <c r="BR15" i="4" a="1"/>
  <c r="F6" i="4" a="1"/>
  <c r="CV7" i="4" a="1"/>
  <c r="CI5" i="4" a="1"/>
  <c r="EE8" i="4" a="1"/>
  <c r="EB11" i="4" a="1"/>
  <c r="O12" i="4" a="1"/>
  <c r="BE13" i="4" a="1"/>
  <c r="AW15" i="4" a="1"/>
  <c r="CV11" i="4" a="1"/>
  <c r="EF9" i="4" a="1"/>
  <c r="F14" i="4" a="1"/>
  <c r="N15" i="4" a="1"/>
  <c r="DJ11" i="4" a="1"/>
  <c r="CK8" i="4" a="1"/>
  <c r="BM12" i="4" a="1"/>
  <c r="AU8" i="4" a="1"/>
  <c r="ED15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AL7" i="4" a="1"/>
  <c r="ED5" i="4" a="1"/>
  <c r="AF11" i="4" a="1"/>
  <c r="CO14" i="4" a="1"/>
  <c r="CO7" i="4" a="1"/>
  <c r="DZ7" i="4" a="1"/>
  <c r="AA7" i="4" a="1"/>
  <c r="E13" i="4" a="1"/>
  <c r="DK6" i="4" a="1"/>
  <c r="CW5" i="4" a="1"/>
  <c r="EJ6" i="4" a="1"/>
  <c r="X16" i="4" a="1"/>
  <c r="BD9" i="4" a="1"/>
  <c r="CJ6" i="4" a="1"/>
  <c r="DU9" i="4" a="1"/>
  <c r="CL5" i="4" a="1"/>
  <c r="CE14" i="4" a="1"/>
  <c r="DJ5" i="4" a="1"/>
  <c r="AZ16" i="4" a="1"/>
  <c r="L12" i="4" a="1"/>
  <c r="CE12" i="4" a="1"/>
  <c r="AF6" i="4" a="1"/>
  <c r="K13" i="4" a="1"/>
  <c r="CH9" i="4" a="1"/>
  <c r="BE5" i="4" a="1"/>
  <c r="AA6" i="4" a="1"/>
  <c r="AB15" i="4" a="1"/>
  <c r="E9" i="4" a="1"/>
  <c r="DN15" i="4" a="1"/>
  <c r="F10" i="2"/>
  <c r="P7" i="2"/>
  <c r="N27" i="2"/>
  <c r="J25" i="2"/>
  <c r="D10" i="2"/>
  <c r="M13" i="2"/>
  <c r="I25" i="2"/>
  <c r="K18" i="2"/>
  <c r="P21" i="2"/>
  <c r="AR19" i="3"/>
  <c r="D40" i="3"/>
  <c r="Z45" i="3"/>
  <c r="AR31" i="3"/>
  <c r="G22" i="3"/>
  <c r="Y16" i="4" a="1"/>
  <c r="DL15" i="4" a="1"/>
  <c r="C15" i="4" a="1"/>
  <c r="DC9" i="4" a="1"/>
  <c r="BY13" i="4" a="1"/>
  <c r="BL12" i="4" a="1"/>
  <c r="AE7" i="4" a="1"/>
  <c r="BY5" i="4" a="1"/>
  <c r="AL5" i="4" a="1"/>
  <c r="CM13" i="4" a="1"/>
  <c r="G12" i="4" a="1"/>
  <c r="D15" i="4" a="1"/>
  <c r="AM6" i="4" a="1"/>
  <c r="AP11" i="4" a="1"/>
  <c r="BM14" i="4" a="1"/>
  <c r="BM13" i="4" a="1"/>
  <c r="BB14" i="4" a="1"/>
  <c r="DS5" i="4" a="1"/>
  <c r="Z16" i="4" a="1"/>
  <c r="BS14" i="4" a="1"/>
  <c r="AO14" i="4" a="1"/>
  <c r="BD11" i="4" a="1"/>
  <c r="AL8" i="4" a="1"/>
  <c r="AL6" i="4" a="1"/>
  <c r="BI14" i="4" a="1"/>
  <c r="CQ11" i="4" a="1"/>
  <c r="DD12" i="4" a="1"/>
  <c r="EE6" i="4" a="1"/>
  <c r="CA6" i="4" a="1"/>
  <c r="CC14" i="4" a="1"/>
  <c r="CN9" i="4" a="1"/>
  <c r="AU15" i="4" a="1"/>
  <c r="CF15" i="4" a="1"/>
  <c r="AT16" i="4" a="1"/>
  <c r="BN12" i="4" a="1"/>
  <c r="BG13" i="4" a="1"/>
  <c r="CW16" i="4" a="1"/>
  <c r="AE14" i="4" a="1"/>
  <c r="AN5" i="4" a="1"/>
  <c r="BU11" i="4" a="1"/>
  <c r="S16" i="4" a="1"/>
  <c r="R15" i="4" a="1"/>
  <c r="AF15" i="4" a="1"/>
  <c r="EK11" i="4" a="1"/>
  <c r="BO6" i="4" a="1"/>
  <c r="AC7" i="4" a="1"/>
  <c r="AI12" i="4" a="1"/>
  <c r="AJ6" i="4" a="1"/>
  <c r="D5" i="4" a="1"/>
  <c r="T26" i="2"/>
  <c r="V35" i="2"/>
  <c r="I9" i="2"/>
  <c r="N35" i="2"/>
  <c r="Q27" i="2"/>
  <c r="M32" i="2"/>
  <c r="M7" i="2"/>
  <c r="U28" i="2"/>
  <c r="M9" i="2"/>
  <c r="F39" i="3"/>
  <c r="AD13" i="3"/>
  <c r="AQ45" i="3"/>
  <c r="F5" i="3"/>
  <c r="F26" i="3"/>
  <c r="Z8" i="4" a="1"/>
  <c r="DE11" i="4" a="1"/>
  <c r="L9" i="4" a="1"/>
  <c r="DH15" i="4" a="1"/>
  <c r="R13" i="4" a="1"/>
  <c r="BT13" i="4" a="1"/>
  <c r="CV6" i="4" a="1"/>
  <c r="Y8" i="4" a="1"/>
  <c r="BQ9" i="4" a="1"/>
  <c r="EK8" i="4" a="1"/>
  <c r="DG16" i="4" a="1"/>
  <c r="F8" i="4" a="1"/>
  <c r="BS15" i="4" a="1"/>
  <c r="BZ11" i="4" a="1"/>
  <c r="DW15" i="4" a="1"/>
  <c r="CJ13" i="4" a="1"/>
  <c r="DO9" i="4" a="1"/>
  <c r="H8" i="2"/>
  <c r="K32" i="2"/>
  <c r="O25" i="2"/>
  <c r="S9" i="2"/>
  <c r="U13" i="2"/>
  <c r="E24" i="2"/>
  <c r="J32" i="2"/>
  <c r="Q57" i="2"/>
  <c r="H5" i="2"/>
  <c r="G11" i="3"/>
  <c r="N45" i="3"/>
  <c r="F11" i="3"/>
  <c r="E34" i="3"/>
  <c r="G25" i="3"/>
  <c r="AK9" i="4" a="1"/>
  <c r="EG12" i="4" a="1"/>
  <c r="BP7" i="4" a="1"/>
  <c r="T16" i="4" a="1"/>
  <c r="AQ12" i="4" a="1"/>
  <c r="DO12" i="4" a="1"/>
  <c r="DA7" i="4" a="1"/>
  <c r="AM5" i="4" a="1"/>
  <c r="BR13" i="4" a="1"/>
  <c r="CM6" i="4" a="1"/>
  <c r="CS15" i="4" a="1"/>
  <c r="CH8" i="4" a="1"/>
  <c r="DZ6" i="4" a="1"/>
  <c r="K16" i="4" a="1"/>
  <c r="BV16" i="4" a="1"/>
  <c r="EI9" i="4" a="1"/>
  <c r="CB5" i="4" a="1"/>
  <c r="EH13" i="4" a="1"/>
  <c r="CT5" i="4" a="1"/>
  <c r="F15" i="4" a="1"/>
  <c r="EF14" i="4" a="1"/>
  <c r="EG7" i="4" a="1"/>
  <c r="CZ9" i="4" a="1"/>
  <c r="L16" i="4" a="1"/>
  <c r="AG11" i="4" a="1"/>
  <c r="BD12" i="4" a="1"/>
  <c r="DC14" i="4" a="1"/>
  <c r="BC13" i="4" a="1"/>
  <c r="CB15" i="4" a="1"/>
  <c r="DC13" i="4" a="1"/>
  <c r="AY5" i="4" a="1"/>
  <c r="K12" i="4" a="1"/>
  <c r="AQ16" i="4" a="1"/>
  <c r="ED11" i="4" a="1"/>
  <c r="AP14" i="4" a="1"/>
  <c r="DJ9" i="4" a="1"/>
  <c r="AQ9" i="4" a="1"/>
  <c r="DJ7" i="4" a="1"/>
  <c r="BK5" i="4" a="1"/>
  <c r="AV14" i="4" a="1"/>
  <c r="K8" i="4" a="1"/>
  <c r="CL15" i="4" a="1"/>
  <c r="X11" i="4" a="1"/>
  <c r="AY13" i="4" a="1"/>
  <c r="S7" i="4" a="1"/>
  <c r="CX5" i="4" a="1"/>
  <c r="DC5" i="4" a="1"/>
  <c r="DH5" i="4" a="1"/>
  <c r="BN15" i="4" a="1"/>
  <c r="CB8" i="4" a="1"/>
  <c r="E15" i="4" a="1"/>
  <c r="CJ7" i="4" a="1"/>
  <c r="DO13" i="4" a="1"/>
  <c r="AM8" i="4" a="1"/>
  <c r="CS16" i="4" a="1"/>
  <c r="BX7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G23" i="2"/>
  <c r="W17" i="2"/>
  <c r="G31" i="2"/>
  <c r="C22" i="2"/>
  <c r="I17" i="2"/>
  <c r="P35" i="2"/>
  <c r="M11" i="2"/>
  <c r="J23" i="2"/>
  <c r="I21" i="2"/>
  <c r="E25" i="3"/>
  <c r="AR40" i="3"/>
  <c r="P45" i="3"/>
  <c r="G30" i="3"/>
  <c r="AD9" i="4" a="1"/>
  <c r="CM12" i="4" a="1"/>
  <c r="AS6" i="4" a="1"/>
  <c r="D6" i="4" a="1"/>
  <c r="EH16" i="4" a="1"/>
  <c r="BA9" i="4" a="1"/>
  <c r="DU8" i="4" a="1"/>
  <c r="BH6" i="4" a="1"/>
  <c r="AY7" i="4" a="1"/>
  <c r="DD9" i="4" a="1"/>
  <c r="BI7" i="4" a="1"/>
  <c r="EE12" i="4" a="1"/>
  <c r="CF6" i="4" a="1"/>
  <c r="DP15" i="4" a="1"/>
  <c r="CH14" i="4" a="1"/>
  <c r="EJ13" i="4" a="1"/>
  <c r="CH6" i="4" a="1"/>
  <c r="AA11" i="4" a="1"/>
  <c r="CJ8" i="4" a="1"/>
  <c r="U14" i="4" a="1"/>
  <c r="DT16" i="4" a="1"/>
  <c r="CK5" i="4" a="1"/>
  <c r="AJ13" i="4" a="1"/>
  <c r="AK15" i="4" a="1"/>
  <c r="AN9" i="4" a="1"/>
  <c r="AQ5" i="4" a="1"/>
  <c r="E6" i="4" a="1"/>
  <c r="AS8" i="4" a="1"/>
  <c r="L7" i="4" a="1"/>
  <c r="Y11" i="4" a="1"/>
  <c r="CL11" i="4" a="1"/>
  <c r="BM5" i="4" a="1"/>
  <c r="CT13" i="4" a="1"/>
  <c r="BJ14" i="4" a="1"/>
  <c r="EC12" i="4" a="1"/>
  <c r="AE13" i="4" a="1"/>
  <c r="DN14" i="4" a="1"/>
  <c r="AY16" i="4" a="1"/>
  <c r="BB9" i="4" a="1"/>
  <c r="DI5" i="4" a="1"/>
  <c r="EA14" i="4" a="1"/>
  <c r="Z9" i="4" a="1"/>
  <c r="BG6" i="4" a="1"/>
  <c r="BB12" i="4" a="1"/>
  <c r="AW13" i="4" a="1"/>
  <c r="W9" i="4" a="1"/>
  <c r="BL14" i="4" a="1"/>
  <c r="M13" i="4" a="1"/>
  <c r="AR7" i="4" a="1"/>
  <c r="CA16" i="4" a="1"/>
  <c r="AO13" i="4" a="1"/>
  <c r="AW11" i="4" a="1"/>
  <c r="AX12" i="4" a="1"/>
  <c r="G13" i="4" a="1"/>
  <c r="CA7" i="4" a="1"/>
  <c r="DY7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O7" i="2"/>
  <c r="L12" i="2"/>
  <c r="P23" i="2"/>
  <c r="K7" i="2"/>
  <c r="V18" i="2"/>
  <c r="H26" i="2"/>
  <c r="J17" i="2"/>
  <c r="C26" i="2"/>
  <c r="H25" i="2"/>
  <c r="AI46" i="3"/>
  <c r="D15" i="3"/>
  <c r="E38" i="3"/>
  <c r="F15" i="3"/>
  <c r="F11" i="4" a="1"/>
  <c r="BC9" i="4" a="1"/>
  <c r="BX8" i="4" a="1"/>
  <c r="K7" i="4" a="1"/>
  <c r="AC16" i="4" a="1"/>
  <c r="BM15" i="4" a="1"/>
  <c r="CJ5" i="4" a="1"/>
  <c r="AQ15" i="4" a="1"/>
  <c r="X5" i="4" a="1"/>
  <c r="CU9" i="4" a="1"/>
  <c r="BO5" i="4" a="1"/>
  <c r="AI8" i="4" a="1"/>
  <c r="DR12" i="4" a="1"/>
  <c r="L5" i="4" a="1"/>
  <c r="BA7" i="4" a="1"/>
  <c r="DQ15" i="4" a="1"/>
  <c r="AL15" i="4" a="1"/>
  <c r="D9" i="4" a="1"/>
  <c r="I16" i="4" a="1"/>
  <c r="BH16" i="4" a="1"/>
  <c r="DX7" i="4" a="1"/>
  <c r="BV11" i="4" a="1"/>
  <c r="G14" i="4" a="1"/>
  <c r="CS5" i="4" a="1"/>
  <c r="AR5" i="4" a="1"/>
  <c r="EB16" i="4" a="1"/>
  <c r="DF6" i="4" a="1"/>
  <c r="F13" i="4" a="1"/>
  <c r="AS13" i="4" a="1"/>
  <c r="AB6" i="4" a="1"/>
  <c r="DR6" i="4" a="1"/>
  <c r="R5" i="4" a="1"/>
  <c r="BS11" i="4" a="1"/>
  <c r="CE11" i="4" a="1"/>
  <c r="L13" i="4" a="1"/>
  <c r="BR7" i="4" a="1"/>
  <c r="V11" i="4" a="1"/>
  <c r="K6" i="4" a="1"/>
  <c r="CT6" i="4" a="1"/>
  <c r="H15" i="4" a="1"/>
  <c r="O9" i="4" a="1"/>
  <c r="DX14" i="4" a="1"/>
  <c r="CW11" i="4" a="1"/>
  <c r="DL12" i="4" a="1"/>
  <c r="M12" i="4" a="1"/>
  <c r="EC13" i="4" a="1"/>
  <c r="DD8" i="4" a="1"/>
  <c r="Y9" i="4" a="1"/>
  <c r="CH12" i="4" a="1"/>
  <c r="CX8" i="4" a="1"/>
  <c r="EF8" i="4" a="1"/>
  <c r="CU16" i="4" a="1"/>
  <c r="BN13" i="4" a="1"/>
  <c r="CK9" i="4" a="1"/>
  <c r="BH15" i="4" a="1"/>
  <c r="CL13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BI12" i="4" a="1"/>
  <c r="AQ11" i="4" a="1"/>
  <c r="CP11" i="4" a="1"/>
  <c r="AE8" i="4" a="1"/>
  <c r="AL16" i="4" a="1"/>
  <c r="BF6" i="4" a="1"/>
  <c r="AG6" i="4" a="1"/>
  <c r="EJ8" i="4" a="1"/>
  <c r="Q9" i="4" a="1"/>
  <c r="BL6" i="4" a="1"/>
  <c r="DV14" i="4" a="1"/>
  <c r="O6" i="2"/>
  <c r="I19" i="2"/>
  <c r="R34" i="2"/>
  <c r="J34" i="2"/>
  <c r="G5" i="3"/>
  <c r="AD12" i="3"/>
  <c r="Y45" i="3"/>
  <c r="CX7" i="4" a="1"/>
  <c r="CF16" i="4" a="1"/>
  <c r="BT7" i="4" a="1"/>
  <c r="CD5" i="4" a="1"/>
  <c r="DI14" i="4" a="1"/>
  <c r="AK13" i="4" a="1"/>
  <c r="V12" i="4" a="1"/>
  <c r="BR5" i="4" a="1"/>
  <c r="DX6" i="4" a="1"/>
  <c r="BF12" i="4" a="1"/>
  <c r="DN12" i="4" a="1"/>
  <c r="CN15" i="4" a="1"/>
  <c r="BJ9" i="4" a="1"/>
  <c r="AU7" i="4" a="1"/>
  <c r="DJ6" i="4" a="1"/>
  <c r="CL16" i="4" a="1"/>
  <c r="AT8" i="4" a="1"/>
  <c r="DK16" i="4" a="1"/>
  <c r="BT16" i="4" a="1"/>
  <c r="Q13" i="4" a="1"/>
  <c r="EA16" i="4" a="1"/>
  <c r="AO9" i="4" a="1"/>
  <c r="BC16" i="4" a="1"/>
  <c r="AV11" i="4" a="1"/>
  <c r="R8" i="4" a="1"/>
  <c r="D16" i="2"/>
  <c r="R33" i="2"/>
  <c r="Q14" i="2"/>
  <c r="G32" i="2"/>
  <c r="J31" i="2"/>
  <c r="I22" i="2"/>
  <c r="P25" i="2"/>
  <c r="F32" i="2"/>
  <c r="K15" i="2"/>
  <c r="F20" i="3"/>
  <c r="E22" i="3"/>
  <c r="F24" i="3"/>
  <c r="AR28" i="3"/>
  <c r="CI14" i="4" a="1"/>
  <c r="AI9" i="4" a="1"/>
  <c r="DL14" i="4" a="1"/>
  <c r="BV13" i="4" a="1"/>
  <c r="BG8" i="4" a="1"/>
  <c r="ED14" i="4" a="1"/>
  <c r="BH12" i="4" a="1"/>
  <c r="CN14" i="4" a="1"/>
  <c r="CX15" i="4" a="1"/>
  <c r="C7" i="4" a="1"/>
  <c r="DQ11" i="4" a="1"/>
  <c r="EA8" i="4" a="1"/>
  <c r="DP5" i="4" a="1"/>
  <c r="W8" i="4" a="1"/>
  <c r="BA6" i="4" a="1"/>
  <c r="CK11" i="4" a="1"/>
  <c r="AU16" i="4" a="1"/>
  <c r="U12" i="4" a="1"/>
  <c r="AR8" i="4" a="1"/>
  <c r="DH6" i="4" a="1"/>
  <c r="DW5" i="4" a="1"/>
  <c r="BW12" i="4" a="1"/>
  <c r="AS9" i="4" a="1"/>
  <c r="Y12" i="4" a="1"/>
  <c r="BW7" i="4" a="1"/>
  <c r="D12" i="4" a="1"/>
  <c r="F7" i="4" a="1"/>
  <c r="CL6" i="4" a="1"/>
  <c r="CR6" i="4" a="1"/>
  <c r="DX12" i="4" a="1"/>
  <c r="N7" i="4" a="1"/>
  <c r="AX9" i="4" a="1"/>
  <c r="AC5" i="4" a="1"/>
  <c r="AC9" i="4" a="1"/>
  <c r="DZ9" i="4" a="1"/>
  <c r="CI11" i="4" a="1"/>
  <c r="CG6" i="4" a="1"/>
  <c r="CP7" i="4" a="1"/>
  <c r="BL11" i="4" a="1"/>
  <c r="AH7" i="4" a="1"/>
  <c r="AS14" i="4" a="1"/>
  <c r="BT8" i="4" a="1"/>
  <c r="DA9" i="4" a="1"/>
  <c r="N6" i="4" a="1"/>
  <c r="DD5" i="4" a="1"/>
  <c r="DL7" i="4" a="1"/>
  <c r="DV8" i="4" a="1"/>
  <c r="S5" i="4" a="1"/>
  <c r="BZ12" i="4" a="1"/>
  <c r="CG9" i="4" a="1"/>
  <c r="L14" i="4" a="1"/>
  <c r="AD15" i="4" a="1"/>
  <c r="DY6" i="4" a="1"/>
  <c r="DI9" i="4" a="1"/>
  <c r="EC16" i="4" a="1"/>
  <c r="AB7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W14" i="4" a="1"/>
  <c r="Q11" i="4" a="1"/>
  <c r="DT15" i="4" a="1"/>
  <c r="DV13" i="4" a="1"/>
  <c r="Q30" i="2"/>
  <c r="E10" i="2"/>
  <c r="D31" i="2"/>
  <c r="Q36" i="2"/>
  <c r="E20" i="2"/>
  <c r="AR27" i="3"/>
  <c r="CQ8" i="4" a="1"/>
  <c r="EA7" i="4" a="1"/>
  <c r="BQ15" i="4" a="1"/>
  <c r="EC8" i="4" a="1"/>
  <c r="DQ7" i="4" a="1"/>
  <c r="AJ7" i="4" a="1"/>
  <c r="CF13" i="4" a="1"/>
  <c r="U12" i="2"/>
  <c r="I31" i="2"/>
  <c r="W35" i="2"/>
  <c r="C59" i="2"/>
  <c r="T9" i="2"/>
  <c r="W15" i="2"/>
  <c r="T11" i="2"/>
  <c r="AR75" i="3"/>
  <c r="AR86" i="3"/>
  <c r="E26" i="3"/>
  <c r="K46" i="3"/>
  <c r="G23" i="3"/>
  <c r="AD6" i="3"/>
  <c r="AB12" i="4" a="1"/>
  <c r="AT14" i="4" a="1"/>
  <c r="BE11" i="4" a="1"/>
  <c r="Q12" i="4" a="1"/>
  <c r="CG12" i="4" a="1"/>
  <c r="U16" i="4" a="1"/>
  <c r="AQ13" i="4" a="1"/>
  <c r="DE15" i="4" a="1"/>
  <c r="AK7" i="4" a="1"/>
  <c r="AY9" i="4" a="1"/>
  <c r="DR11" i="4" a="1"/>
  <c r="EA15" i="4" a="1"/>
  <c r="BB6" i="4" a="1"/>
  <c r="N13" i="4" a="1"/>
  <c r="DU11" i="4" a="1"/>
  <c r="V16" i="4" a="1"/>
  <c r="BL16" i="4" a="1"/>
  <c r="CT15" i="4" a="1"/>
  <c r="M6" i="4" a="1"/>
  <c r="DI7" i="4" a="1"/>
  <c r="BV9" i="4" a="1"/>
  <c r="DK14" i="4" a="1"/>
  <c r="BS13" i="4" a="1"/>
  <c r="W6" i="4" a="1"/>
  <c r="DT11" i="4" a="1"/>
  <c r="BJ8" i="4" a="1"/>
  <c r="DX5" i="4" a="1"/>
  <c r="AG16" i="4" a="1"/>
  <c r="G7" i="4" a="1"/>
  <c r="CD16" i="4" a="1"/>
  <c r="EH8" i="4" a="1"/>
  <c r="DS13" i="4" a="1"/>
  <c r="AW12" i="4" a="1"/>
  <c r="AT5" i="4" a="1"/>
  <c r="N11" i="4" a="1"/>
  <c r="E8" i="4" a="1"/>
  <c r="S12" i="4" a="1"/>
  <c r="CN13" i="4" a="1"/>
  <c r="DW13" i="4" a="1"/>
  <c r="DA13" i="4" a="1"/>
  <c r="AK16" i="4" a="1"/>
  <c r="EE13" i="4" a="1"/>
  <c r="EK14" i="4" a="1"/>
  <c r="C11" i="4" a="1"/>
  <c r="DX15" i="4" a="1"/>
  <c r="CC5" i="4" a="1"/>
  <c r="G8" i="4" a="1"/>
  <c r="C14" i="4" a="1"/>
  <c r="R7" i="4" a="1"/>
  <c r="Y14" i="4" a="1"/>
  <c r="CC7" i="4" a="1"/>
  <c r="CZ11" i="4" a="1"/>
  <c r="AF12" i="4" a="1"/>
  <c r="CN6" i="4" a="1"/>
  <c r="CH11" i="4" a="1"/>
  <c r="Q78" i="2"/>
  <c r="R29" i="2"/>
  <c r="R13" i="2"/>
  <c r="Q8" i="2"/>
  <c r="G25" i="2"/>
  <c r="X30" i="2"/>
  <c r="AR69" i="3"/>
  <c r="AR80" i="3"/>
  <c r="V15" i="2"/>
  <c r="AD15" i="3"/>
  <c r="C46" i="3"/>
  <c r="D6" i="3"/>
  <c r="U46" i="3"/>
  <c r="AL12" i="4" a="1"/>
  <c r="Z15" i="4" a="1"/>
  <c r="AD8" i="4" a="1"/>
  <c r="CS14" i="4" a="1"/>
  <c r="K15" i="4" a="1"/>
  <c r="W5" i="4" a="1"/>
  <c r="R11" i="4" a="1"/>
  <c r="DG11" i="4" a="1"/>
  <c r="BZ9" i="4" a="1"/>
  <c r="EC11" i="4" a="1"/>
  <c r="BS12" i="4" a="1"/>
  <c r="CM7" i="4" a="1"/>
  <c r="BK11" i="4" a="1"/>
  <c r="T12" i="4" a="1"/>
  <c r="BJ5" i="4" a="1"/>
  <c r="DT9" i="4" a="1"/>
  <c r="L6" i="4" a="1"/>
  <c r="CK6" i="4" a="1"/>
  <c r="BY14" i="4" a="1"/>
  <c r="DP8" i="4" a="1"/>
  <c r="AN13" i="4" a="1"/>
  <c r="U11" i="4" a="1"/>
  <c r="EB6" i="4" a="1"/>
  <c r="EC9" i="4" a="1"/>
  <c r="AX15" i="4" a="1"/>
  <c r="AS5" i="4" a="1"/>
  <c r="DG7" i="4" a="1"/>
  <c r="EH7" i="4" a="1"/>
  <c r="BJ7" i="4" a="1"/>
  <c r="AZ9" i="4" a="1"/>
  <c r="BT5" i="4" a="1"/>
  <c r="EK16" i="4" a="1"/>
  <c r="AE11" i="4" a="1"/>
  <c r="I8" i="4" a="1"/>
  <c r="W15" i="4" a="1"/>
  <c r="BW13" i="4" a="1"/>
  <c r="CM11" i="4" a="1"/>
  <c r="BQ16" i="4" a="1"/>
  <c r="CY9" i="4" a="1"/>
  <c r="CD14" i="4" a="1"/>
  <c r="N9" i="2"/>
  <c r="E27" i="3"/>
  <c r="Y6" i="4" a="1"/>
  <c r="AJ16" i="4" a="1"/>
  <c r="AZ5" i="4" a="1"/>
  <c r="DR14" i="4" a="1"/>
  <c r="BT14" i="4" a="1"/>
  <c r="Q8" i="4" a="1"/>
  <c r="CD7" i="4" a="1"/>
  <c r="DX16" i="4" a="1"/>
  <c r="V13" i="4" a="1"/>
  <c r="DH7" i="4" a="1"/>
  <c r="S14" i="4" a="1"/>
  <c r="AQ14" i="4" a="1"/>
  <c r="H8" i="4" a="1"/>
  <c r="E5" i="4" a="1"/>
  <c r="BE16" i="4" a="1"/>
  <c r="AO6" i="4" a="1"/>
  <c r="J6" i="4" a="1"/>
  <c r="CZ14" i="4" a="1"/>
  <c r="BS9" i="4" a="1"/>
  <c r="EB9" i="4" a="1"/>
  <c r="BK14" i="4" a="1"/>
  <c r="DD15" i="4" a="1"/>
  <c r="N8" i="4" a="1"/>
  <c r="DY13" i="4" a="1"/>
  <c r="BF8" i="4" a="1"/>
  <c r="DS11" i="4" a="1"/>
  <c r="AM12" i="4" a="1"/>
  <c r="DK8" i="4" a="1"/>
  <c r="BV12" i="4" a="1"/>
  <c r="AW7" i="4" a="1"/>
  <c r="AA14" i="4" a="1"/>
  <c r="BW5" i="4" a="1"/>
  <c r="CO12" i="4" a="1"/>
  <c r="AE15" i="4" a="1"/>
  <c r="V7" i="4" a="1"/>
  <c r="L15" i="4" a="1"/>
  <c r="BJ13" i="4" a="1"/>
  <c r="BO7" i="4" a="1"/>
  <c r="AH11" i="4" a="1"/>
  <c r="E19" i="2"/>
  <c r="DO14" i="4" a="1"/>
  <c r="EG6" i="4" a="1"/>
  <c r="DN6" i="4" a="1"/>
  <c r="C16" i="4" a="1"/>
  <c r="DA12" i="4" a="1"/>
  <c r="ED7" i="4" a="1"/>
  <c r="CZ5" i="4" a="1"/>
  <c r="BY9" i="4" a="1"/>
  <c r="AG13" i="4" a="1"/>
  <c r="BC7" i="4" a="1"/>
  <c r="AV6" i="4" a="1"/>
  <c r="CS11" i="4" a="1"/>
  <c r="AR6" i="4" a="1"/>
  <c r="BQ13" i="4" a="1"/>
  <c r="EA12" i="4" a="1"/>
  <c r="BQ12" i="4" a="1"/>
  <c r="AB8" i="4" a="1"/>
  <c r="Q6" i="4" a="1"/>
  <c r="EJ9" i="4" a="1"/>
  <c r="BI8" i="4" a="1"/>
  <c r="DG6" i="4" a="1"/>
  <c r="CG15" i="4" a="1"/>
  <c r="D24" i="2"/>
  <c r="BR12" i="4" a="1"/>
  <c r="AE12" i="4" a="1"/>
  <c r="CD9" i="4" a="1"/>
  <c r="EA6" i="4" a="1"/>
  <c r="EE15" i="4" a="1"/>
  <c r="DJ8" i="4" a="1"/>
  <c r="BD14" i="4" a="1"/>
  <c r="DD11" i="4" a="1"/>
  <c r="DI15" i="4" a="1"/>
  <c r="AT9" i="4" a="1"/>
  <c r="BU9" i="4" a="1"/>
  <c r="F5" i="4" a="1"/>
  <c r="AR14" i="4" a="1"/>
  <c r="O16" i="4" a="1"/>
  <c r="BA8" i="4" a="1"/>
  <c r="BX15" i="4" a="1"/>
  <c r="EK6" i="4" a="1"/>
  <c r="AC8" i="4" a="1"/>
  <c r="CE15" i="4" a="1"/>
  <c r="DW8" i="4" a="1"/>
  <c r="EH14" i="4" a="1"/>
  <c r="BU5" i="4" a="1"/>
  <c r="DA6" i="4" a="1"/>
  <c r="BQ5" i="4" a="1"/>
  <c r="AN14" i="4" a="1"/>
  <c r="EJ11" i="4" a="1"/>
  <c r="DN16" i="4" a="1"/>
  <c r="AW16" i="4" a="1"/>
  <c r="BK7" i="4" a="1"/>
  <c r="AQ6" i="4" a="1"/>
  <c r="DC8" i="4" a="1"/>
  <c r="CH5" i="4" a="1"/>
  <c r="T5" i="4" a="1"/>
  <c r="CG11" i="4" a="1"/>
  <c r="AT12" i="4" a="1"/>
  <c r="DH11" i="4" a="1"/>
  <c r="BH11" i="4" a="1"/>
  <c r="CW15" i="4" a="1"/>
  <c r="DA5" i="4" a="1"/>
  <c r="BN9" i="4" a="1"/>
  <c r="BG16" i="4" a="1"/>
  <c r="T14" i="4" a="1"/>
  <c r="AL11" i="4" a="1"/>
  <c r="G31" i="3"/>
  <c r="DW7" i="4" a="1"/>
  <c r="EJ15" i="4" a="1"/>
  <c r="EB14" i="4" a="1"/>
  <c r="BY12" i="4" a="1"/>
  <c r="BD5" i="4" a="1"/>
  <c r="BZ14" i="4" a="1"/>
  <c r="BH8" i="4" a="1"/>
  <c r="DW9" i="4" a="1"/>
  <c r="AN16" i="4" a="1"/>
  <c r="BF15" i="4" a="1"/>
  <c r="M28" i="2"/>
  <c r="AK8" i="4" a="1"/>
  <c r="CJ11" i="4" a="1"/>
  <c r="N14" i="4" a="1"/>
  <c r="BO9" i="4" a="1"/>
  <c r="AU12" i="4" a="1"/>
  <c r="CW13" i="4" a="1"/>
  <c r="EF11" i="4" a="1"/>
  <c r="S9" i="4" a="1"/>
  <c r="AR15" i="4" a="1"/>
  <c r="EG9" i="4" a="1"/>
  <c r="BR8" i="4" a="1"/>
  <c r="AL9" i="4" a="1"/>
  <c r="CK7" i="4" a="1"/>
  <c r="CY5" i="4" a="1"/>
  <c r="AE5" i="4" a="1"/>
  <c r="BQ6" i="4" a="1"/>
  <c r="E7" i="4" a="1"/>
  <c r="X27" i="2"/>
  <c r="CQ14" i="4" a="1"/>
  <c r="I5" i="4" a="1"/>
  <c r="AO7" i="4" a="1"/>
  <c r="AX14" i="4" a="1"/>
  <c r="BX13" i="4" a="1"/>
  <c r="DM8" i="4" a="1"/>
  <c r="P12" i="4" a="1"/>
  <c r="CA5" i="4" a="1"/>
  <c r="R9" i="4" a="1"/>
  <c r="BT12" i="4" a="1"/>
  <c r="P13" i="4" a="1"/>
  <c r="BF16" i="4" a="1"/>
  <c r="EH15" i="4" a="1"/>
  <c r="EG11" i="4" a="1"/>
  <c r="DS15" i="4" a="1"/>
  <c r="CO8" i="4" a="1"/>
  <c r="DB15" i="4" a="1"/>
  <c r="AM9" i="4" a="1"/>
  <c r="EE7" i="4" a="1"/>
  <c r="DR13" i="4" a="1"/>
  <c r="CM5" i="4" a="1"/>
  <c r="CA13" i="4" a="1"/>
  <c r="DW12" i="4" a="1"/>
  <c r="BA16" i="4" a="1"/>
  <c r="DH16" i="4" a="1"/>
  <c r="AO8" i="4" a="1"/>
  <c r="CC9" i="4" a="1"/>
  <c r="DJ15" i="4" a="1"/>
  <c r="CQ16" i="4" a="1"/>
  <c r="BC11" i="4" a="1"/>
  <c r="DS14" i="4" a="1"/>
  <c r="CX6" i="4" a="1"/>
  <c r="AV5" i="4" a="1"/>
  <c r="CY13" i="4" a="1"/>
  <c r="AS16" i="4" a="1"/>
  <c r="CV16" i="4" a="1"/>
  <c r="O15" i="4" a="1"/>
  <c r="DE13" i="4" a="1"/>
  <c r="AO15" i="4" a="1"/>
  <c r="BM7" i="4" a="1"/>
  <c r="DN13" i="4" a="1"/>
  <c r="CR14" i="4" a="1"/>
  <c r="DZ13" i="4" a="1"/>
  <c r="DB6" i="4" a="1"/>
  <c r="CB6" i="4" a="1"/>
  <c r="BR16" i="4" a="1"/>
  <c r="CU13" i="4" a="1"/>
  <c r="BT11" i="4" a="1"/>
  <c r="U13" i="4" a="1"/>
  <c r="DT14" i="4" a="1"/>
  <c r="CR11" i="4" a="1"/>
  <c r="CF5" i="4" a="1"/>
  <c r="N5" i="4" a="1"/>
  <c r="BN14" i="4" a="1"/>
  <c r="AR15" i="3"/>
  <c r="Y13" i="4" a="1"/>
  <c r="DI6" i="4" a="1"/>
  <c r="DW16" i="4" a="1"/>
  <c r="Q20" i="2"/>
  <c r="BN16" i="4" a="1"/>
  <c r="AZ6" i="4" a="1"/>
  <c r="V8" i="4" a="1"/>
  <c r="EK12" i="4" a="1"/>
  <c r="CY14" i="4" a="1"/>
  <c r="BT6" i="4" a="1"/>
  <c r="AP5" i="4" a="1"/>
  <c r="CX12" i="4" a="1"/>
  <c r="H16" i="4" a="1"/>
  <c r="M8" i="4" a="1"/>
  <c r="DQ12" i="4" a="1"/>
  <c r="CP5" i="4" a="1"/>
  <c r="DE6" i="4" a="1"/>
  <c r="DV9" i="4" a="1"/>
  <c r="AD14" i="4" a="1"/>
  <c r="ED12" i="4" a="1"/>
  <c r="DE9" i="4" a="1"/>
  <c r="Z7" i="4" a="1"/>
  <c r="DT5" i="4" a="1"/>
  <c r="DN5" i="4" a="1"/>
  <c r="Z12" i="4" a="1"/>
  <c r="BK16" i="4" a="1"/>
  <c r="BW9" i="4" a="1"/>
  <c r="CI6" i="4" a="1"/>
  <c r="AR81" i="3"/>
  <c r="M9" i="4" a="1"/>
  <c r="DK15" i="4" a="1"/>
  <c r="AZ11" i="4" a="1"/>
  <c r="BL5" i="4" a="1"/>
  <c r="BI11" i="4" a="1"/>
  <c r="N12" i="4" a="1"/>
  <c r="EF6" i="4" a="1"/>
  <c r="CE9" i="4" a="1"/>
  <c r="Z14" i="4" a="1"/>
  <c r="N16" i="4" a="1"/>
  <c r="CO11" i="4" a="1"/>
  <c r="M16" i="4" a="1"/>
  <c r="DR7" i="4" a="1"/>
  <c r="AC13" i="4" a="1"/>
  <c r="CX13" i="4" a="1"/>
  <c r="DY15" i="4" a="1"/>
  <c r="AR60" i="3"/>
  <c r="DF14" i="4" a="1"/>
  <c r="AW6" i="4" a="1"/>
  <c r="AR54" i="3"/>
  <c r="AO11" i="4" a="1"/>
  <c r="EI12" i="4" a="1"/>
  <c r="CH13" i="4" a="1"/>
  <c r="AH9" i="4" a="1"/>
  <c r="CQ12" i="4" a="1"/>
  <c r="AT13" i="4" a="1"/>
  <c r="CV15" i="4" a="1"/>
  <c r="J15" i="4" a="1"/>
  <c r="BX14" i="4" a="1"/>
  <c r="EK7" i="4" a="1"/>
  <c r="DU13" i="4" a="1"/>
  <c r="BM11" i="4" a="1"/>
  <c r="DJ13" i="4" a="1"/>
  <c r="Q7" i="4" a="1"/>
  <c r="DS7" i="4" a="1"/>
  <c r="DB11" i="4" a="1"/>
  <c r="H13" i="4" a="1"/>
  <c r="DE12" i="4" a="1"/>
  <c r="DO15" i="4" a="1"/>
  <c r="DV12" i="4" a="1"/>
  <c r="DK11" i="4" a="1"/>
  <c r="DQ9" i="4" a="1"/>
  <c r="CD12" i="4" a="1"/>
  <c r="BY16" i="4" a="1"/>
  <c r="AY8" i="4" a="1"/>
  <c r="CP16" i="4" a="1"/>
  <c r="O13" i="4" a="1"/>
  <c r="BV8" i="4" a="1"/>
  <c r="H14" i="4" a="1"/>
  <c r="P11" i="4" a="1"/>
  <c r="DZ8" i="4" a="1"/>
  <c r="BW8" i="4" a="1"/>
  <c r="T11" i="4" a="1"/>
  <c r="N46" i="3"/>
  <c r="AP16" i="4" a="1"/>
  <c r="G11" i="4" a="1"/>
  <c r="BT15" i="4" a="1"/>
  <c r="BN6" i="4" a="1"/>
  <c r="AN12" i="4" a="1"/>
  <c r="P5" i="4" a="1"/>
  <c r="BA14" i="4" a="1"/>
  <c r="CY12" i="4" a="1"/>
  <c r="EH6" i="4" a="1"/>
  <c r="DR15" i="4" a="1"/>
  <c r="M15" i="4" a="1"/>
  <c r="AF14" i="4" a="1"/>
  <c r="O5" i="4" a="1"/>
  <c r="H11" i="4" a="1"/>
  <c r="CL8" i="4" a="1"/>
  <c r="CA14" i="4" a="1"/>
  <c r="G16" i="4" a="1"/>
  <c r="CZ6" i="4" a="1"/>
  <c r="EG13" i="4" a="1"/>
  <c r="AM15" i="4" a="1"/>
  <c r="G5" i="4" a="1"/>
  <c r="EH12" i="4" a="1"/>
  <c r="AX5" i="4" a="1"/>
  <c r="CS9" i="4" a="1"/>
  <c r="E57" i="3"/>
  <c r="F77" i="3"/>
  <c r="AD66" i="3"/>
  <c r="F69" i="3"/>
  <c r="G58" i="3"/>
  <c r="E71" i="3"/>
  <c r="D94" i="3"/>
  <c r="AD57" i="3"/>
  <c r="F57" i="3"/>
  <c r="E85" i="3"/>
  <c r="F56" i="3"/>
  <c r="AD78" i="3"/>
  <c r="F71" i="3"/>
  <c r="G90" i="3"/>
  <c r="D61" i="3"/>
  <c r="F70" i="3"/>
  <c r="E60" i="3"/>
  <c r="F75" i="3"/>
  <c r="AD83" i="3"/>
  <c r="F78" i="3"/>
  <c r="G92" i="3"/>
  <c r="D80" i="3"/>
  <c r="F97" i="3"/>
  <c r="D86" i="3"/>
  <c r="F65" i="3"/>
  <c r="G68" i="3"/>
  <c r="D76" i="3"/>
  <c r="F67" i="3"/>
  <c r="G63" i="3"/>
  <c r="E62" i="3"/>
  <c r="G86" i="3"/>
  <c r="E83" i="3"/>
  <c r="G87" i="3"/>
  <c r="D55" i="3"/>
  <c r="G88" i="3"/>
  <c r="AD73" i="3"/>
  <c r="AD54" i="3"/>
  <c r="G82" i="3"/>
  <c r="F74" i="3"/>
  <c r="E73" i="3"/>
  <c r="G89" i="3"/>
  <c r="F62" i="3"/>
  <c r="D82" i="3"/>
  <c r="F60" i="3"/>
  <c r="AD95" i="3"/>
  <c r="D64" i="3"/>
  <c r="G96" i="3"/>
  <c r="E95" i="3"/>
  <c r="D92" i="3"/>
  <c r="F85" i="3"/>
  <c r="G65" i="3"/>
  <c r="E67" i="3"/>
  <c r="F91" i="3"/>
  <c r="AD63" i="3"/>
  <c r="F61" i="3"/>
  <c r="G76" i="3"/>
  <c r="AD58" i="3"/>
  <c r="F76" i="3"/>
  <c r="E93" i="3"/>
  <c r="AD74" i="3"/>
  <c r="E82" i="3"/>
  <c r="D88" i="3"/>
  <c r="D96" i="3"/>
  <c r="E75" i="3"/>
  <c r="E54" i="3"/>
  <c r="F79" i="3"/>
  <c r="D84" i="3"/>
  <c r="E96" i="3"/>
  <c r="D78" i="3"/>
  <c r="D62" i="3"/>
  <c r="E81" i="3"/>
  <c r="D89" i="3"/>
  <c r="AD81" i="3"/>
  <c r="AD67" i="3"/>
  <c r="E70" i="3"/>
  <c r="D69" i="3"/>
  <c r="F93" i="3"/>
  <c r="G80" i="3"/>
  <c r="E55" i="3"/>
  <c r="D93" i="3"/>
  <c r="AD72" i="3"/>
  <c r="F89" i="3"/>
  <c r="G54" i="3"/>
  <c r="F66" i="3"/>
  <c r="E84" i="3"/>
  <c r="E74" i="3"/>
  <c r="D66" i="3"/>
  <c r="AD79" i="3"/>
  <c r="E90" i="3"/>
  <c r="D90" i="3"/>
  <c r="F49" i="3"/>
  <c r="G55" i="3"/>
  <c r="E61" i="3"/>
  <c r="D63" i="3"/>
  <c r="AD61" i="3"/>
  <c r="E56" i="3"/>
  <c r="G81" i="3"/>
  <c r="D91" i="3"/>
  <c r="AD93" i="3"/>
  <c r="E65" i="3"/>
  <c r="D79" i="3"/>
  <c r="AD55" i="3"/>
  <c r="E78" i="3"/>
  <c r="G95" i="3"/>
  <c r="D67" i="3"/>
  <c r="AD87" i="3"/>
  <c r="G74" i="3"/>
  <c r="AD80" i="3"/>
  <c r="F94" i="3"/>
  <c r="G77" i="3"/>
  <c r="AD56" i="3"/>
  <c r="G56" i="3"/>
  <c r="F55" i="3"/>
  <c r="D72" i="3"/>
  <c r="D95" i="3"/>
  <c r="F88" i="3"/>
  <c r="G71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F83" i="3"/>
  <c r="D75" i="3"/>
  <c r="F64" i="3"/>
  <c r="F95" i="3"/>
  <c r="AD91" i="3"/>
  <c r="E64" i="3"/>
  <c r="D77" i="3"/>
  <c r="AD86" i="3"/>
  <c r="AD97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F50" i="3"/>
  <c r="G59" i="3"/>
  <c r="E66" i="3"/>
  <c r="E87" i="3"/>
  <c r="D57" i="3"/>
  <c r="AD89" i="3"/>
  <c r="F73" i="3"/>
  <c r="F90" i="3"/>
  <c r="AD84" i="3"/>
  <c r="AD69" i="3"/>
  <c r="F84" i="3"/>
  <c r="G75" i="3"/>
  <c r="E68" i="3"/>
  <c r="F47" i="3"/>
  <c r="E94" i="3"/>
  <c r="F72" i="3"/>
  <c r="AD85" i="3"/>
  <c r="F68" i="3"/>
  <c r="G62" i="3"/>
  <c r="AD88" i="3"/>
  <c r="F92" i="3"/>
  <c r="E77" i="3"/>
  <c r="AD71" i="3"/>
  <c r="D68" i="3"/>
  <c r="D83" i="3"/>
  <c r="F86" i="3"/>
  <c r="G72" i="3"/>
  <c r="G66" i="3"/>
  <c r="F59" i="3"/>
  <c r="E97" i="3"/>
  <c r="G69" i="3"/>
  <c r="D59" i="3"/>
  <c r="G73" i="3"/>
  <c r="G64" i="3"/>
  <c r="AD68" i="3"/>
  <c r="E88" i="3"/>
  <c r="G70" i="3"/>
  <c r="AD75" i="3"/>
  <c r="D81" i="3"/>
  <c r="F81" i="3"/>
  <c r="E89" i="3"/>
  <c r="E86" i="3"/>
  <c r="F63" i="3"/>
  <c r="F54" i="3"/>
  <c r="G97" i="3"/>
  <c r="D56" i="3"/>
  <c r="AD62" i="3"/>
  <c r="AD96" i="3"/>
  <c r="D74" i="3"/>
  <c r="D71" i="3"/>
  <c r="E80" i="3"/>
  <c r="G61" i="3"/>
  <c r="D73" i="3"/>
  <c r="E58" i="3"/>
  <c r="D85" i="3"/>
  <c r="G94" i="3"/>
  <c r="AD59" i="3"/>
  <c r="AD60" i="3"/>
  <c r="F80" i="3"/>
  <c r="AD64" i="3"/>
  <c r="AD70" i="3"/>
  <c r="D65" i="3"/>
  <c r="E92" i="3"/>
  <c r="G79" i="3"/>
  <c r="E59" i="3"/>
  <c r="AD65" i="3"/>
  <c r="E63" i="3"/>
  <c r="AD82" i="3"/>
  <c r="G60" i="3" l="1"/>
  <c r="G91" i="3"/>
  <c r="G57" i="3"/>
  <c r="IB16" i="4" s="1"/>
  <c r="BX138" i="1"/>
  <c r="BY138" i="1" s="1"/>
  <c r="BX160" i="1"/>
  <c r="IM9" i="4" s="1"/>
  <c r="II16" i="4" s="1"/>
  <c r="JD9" i="4" s="1"/>
  <c r="IJ16" i="4" s="1"/>
  <c r="BX40" i="1"/>
  <c r="IC16" i="4" s="1"/>
  <c r="IO9" i="4" s="1"/>
  <c r="IA9" i="4" s="1"/>
  <c r="HT9" i="4" s="1"/>
  <c r="W48" i="1"/>
  <c r="IJ9" i="4" s="1"/>
  <c r="HS16" i="4" s="1"/>
  <c r="D38" i="1"/>
  <c r="JF9" i="4" s="1"/>
  <c r="IG16" i="4" s="1"/>
  <c r="HZ16" i="4" s="1"/>
  <c r="IK16" i="4" s="1"/>
  <c r="JI16" i="4" s="1"/>
  <c r="IN9" i="4" s="1"/>
  <c r="AJ24" i="1"/>
  <c r="AJ247" i="1" s="1"/>
  <c r="BJ40" i="1"/>
  <c r="U39" i="1"/>
  <c r="BX175" i="1"/>
  <c r="BX148" i="1"/>
  <c r="W55" i="1"/>
  <c r="F52" i="1"/>
  <c r="Q40" i="1"/>
  <c r="Q63" i="1"/>
  <c r="P176" i="1"/>
  <c r="HY16" i="4" s="1"/>
  <c r="IE9" i="4" s="1"/>
  <c r="HU16" i="4" s="1"/>
  <c r="BJ24" i="1"/>
  <c r="AM51" i="1"/>
  <c r="AK63" i="1"/>
  <c r="S29" i="1"/>
  <c r="V39" i="1"/>
  <c r="V67" i="1"/>
  <c r="T31" i="1"/>
  <c r="JC7" i="4" s="1"/>
  <c r="P55" i="1"/>
  <c r="IW9" i="4" s="1"/>
  <c r="IC9" i="4" s="1"/>
  <c r="IV15" i="4" s="1"/>
  <c r="BX48" i="1"/>
  <c r="BX210" i="1" s="1"/>
  <c r="AL25" i="1"/>
  <c r="J39" i="1"/>
  <c r="E61" i="1"/>
  <c r="O52" i="1"/>
  <c r="F61" i="1"/>
  <c r="P36" i="1"/>
  <c r="Q62" i="1"/>
  <c r="IL16" i="4" s="1"/>
  <c r="IR16" i="4" s="1"/>
  <c r="BJ30" i="1"/>
  <c r="H38" i="1"/>
  <c r="N24" i="1"/>
  <c r="IW16" i="4" s="1"/>
  <c r="IW21" i="4" s="1"/>
  <c r="BQ93" i="1" s="1"/>
  <c r="JE9" i="4" s="1"/>
  <c r="JG9" i="4" s="1"/>
  <c r="JC9" i="4" s="1"/>
  <c r="IU16" i="4" s="1"/>
  <c r="HS9" i="4" s="1"/>
  <c r="JF16" i="4" s="1"/>
  <c r="JF21" i="4" s="1"/>
  <c r="BZ93" i="1" s="1"/>
  <c r="BZ110" i="1" s="1"/>
  <c r="IH16" i="4" s="1"/>
  <c r="HQ16" i="4" s="1"/>
  <c r="IU9" i="4" s="1"/>
  <c r="IU21" i="4" s="1"/>
  <c r="BO93" i="1" s="1"/>
  <c r="AL40" i="1"/>
  <c r="AJ40" i="1"/>
  <c r="G52" i="1"/>
  <c r="I37" i="1"/>
  <c r="U41" i="1"/>
  <c r="J25" i="1"/>
  <c r="O51" i="1"/>
  <c r="K31" i="1"/>
  <c r="N25" i="1"/>
  <c r="IF9" i="4" s="1"/>
  <c r="IE16" i="4" s="1"/>
  <c r="II14" i="4" s="1"/>
  <c r="IA15" i="4" s="1"/>
  <c r="II7" i="4" s="1"/>
  <c r="IX9" i="4" s="1"/>
  <c r="JH16" i="4" s="1"/>
  <c r="HX9" i="4" s="1"/>
  <c r="AK52" i="1"/>
  <c r="I51" i="1"/>
  <c r="L29" i="1"/>
  <c r="O67" i="1"/>
  <c r="H37" i="1"/>
  <c r="V37" i="1"/>
  <c r="F51" i="1"/>
  <c r="HW15" i="4" s="1"/>
  <c r="IR7" i="4" s="1"/>
  <c r="HP15" i="4" s="1"/>
  <c r="IZ7" i="4" s="1"/>
  <c r="IZ9" i="4" s="1"/>
  <c r="IB14" i="4" s="1"/>
  <c r="HR16" i="4" s="1"/>
  <c r="IU15" i="4" s="1"/>
  <c r="AM52" i="1"/>
  <c r="AK61" i="1"/>
  <c r="AL31" i="1"/>
  <c r="AM31" i="1"/>
  <c r="P171" i="1"/>
  <c r="I61" i="1"/>
  <c r="T40" i="1"/>
  <c r="N52" i="1"/>
  <c r="N268" i="1" s="1"/>
  <c r="J61" i="1"/>
  <c r="JE15" i="4" s="1"/>
  <c r="IY16" i="4" s="1"/>
  <c r="IK9" i="4" s="1"/>
  <c r="IZ15" i="4" s="1"/>
  <c r="HR9" i="4" s="1"/>
  <c r="AL63" i="1"/>
  <c r="L25" i="1"/>
  <c r="L61" i="1"/>
  <c r="P48" i="1"/>
  <c r="M67" i="1"/>
  <c r="U67" i="1"/>
  <c r="J41" i="1"/>
  <c r="H52" i="1"/>
  <c r="L40" i="1"/>
  <c r="I52" i="1"/>
  <c r="M48" i="1"/>
  <c r="M210" i="1" s="1"/>
  <c r="O25" i="1"/>
  <c r="HV16" i="4" s="1"/>
  <c r="BX25" i="1"/>
  <c r="V38" i="1"/>
  <c r="D31" i="1"/>
  <c r="V55" i="1"/>
  <c r="W29" i="1"/>
  <c r="W38" i="1"/>
  <c r="HZ14" i="4" s="1"/>
  <c r="IA16" i="4" s="1"/>
  <c r="IA21" i="4" s="1"/>
  <c r="AU93" i="1" s="1"/>
  <c r="JA9" i="4" s="1"/>
  <c r="ID7" i="4" s="1"/>
  <c r="IA14" i="4" s="1"/>
  <c r="IW7" i="4" s="1"/>
  <c r="IQ9" i="4" s="1"/>
  <c r="JF15" i="4" s="1"/>
  <c r="IV9" i="4" s="1"/>
  <c r="HY8" i="4" s="1"/>
  <c r="JI9" i="4" s="1"/>
  <c r="JI21" i="4" s="1"/>
  <c r="CC93" i="1" s="1"/>
  <c r="CC101" i="1" s="1"/>
  <c r="IN16" i="4" s="1"/>
  <c r="IH9" i="4" s="1"/>
  <c r="JC16" i="4" s="1"/>
  <c r="JH9" i="4" s="1"/>
  <c r="HW9" i="4" s="1"/>
  <c r="IG8" i="4" s="1"/>
  <c r="AM36" i="1"/>
  <c r="BJ41" i="1"/>
  <c r="H29" i="1"/>
  <c r="I29" i="1"/>
  <c r="K24" i="1"/>
  <c r="K247" i="1" s="1"/>
  <c r="M25" i="1"/>
  <c r="K62" i="1"/>
  <c r="JA15" i="4" s="1"/>
  <c r="HZ8" i="4" s="1"/>
  <c r="IP9" i="4" s="1"/>
  <c r="AL62" i="1"/>
  <c r="AJ25" i="1"/>
  <c r="AJ31" i="1"/>
  <c r="AL52" i="1"/>
  <c r="BX61" i="1"/>
  <c r="W31" i="1"/>
  <c r="P169" i="1"/>
  <c r="J36" i="1"/>
  <c r="Q25" i="1"/>
  <c r="D37" i="1"/>
  <c r="N51" i="1"/>
  <c r="E38" i="1"/>
  <c r="I25" i="1"/>
  <c r="S63" i="1"/>
  <c r="E67" i="1"/>
  <c r="T52" i="1"/>
  <c r="N38" i="1"/>
  <c r="R31" i="1"/>
  <c r="L41" i="1"/>
  <c r="H36" i="1"/>
  <c r="C38" i="1"/>
  <c r="T38" i="1"/>
  <c r="IT8" i="4" s="1"/>
  <c r="IO16" i="4" s="1"/>
  <c r="IO21" i="4" s="1"/>
  <c r="BI93" i="1" s="1"/>
  <c r="IR9" i="4" s="1"/>
  <c r="IV7" i="4" s="1"/>
  <c r="IL7" i="4" s="1"/>
  <c r="IX14" i="4" s="1"/>
  <c r="IM7" i="4" s="1"/>
  <c r="AL48" i="1"/>
  <c r="AM25" i="1"/>
  <c r="BX39" i="1"/>
  <c r="AL24" i="1"/>
  <c r="AJ51" i="1"/>
  <c r="K48" i="1"/>
  <c r="G67" i="1"/>
  <c r="Q38" i="1"/>
  <c r="B36" i="1"/>
  <c r="E63" i="1"/>
  <c r="S36" i="1"/>
  <c r="S38" i="1"/>
  <c r="Q51" i="1"/>
  <c r="C63" i="1"/>
  <c r="N39" i="1"/>
  <c r="J62" i="1"/>
  <c r="N61" i="1"/>
  <c r="JI8" i="4" s="1"/>
  <c r="JH8" i="4" s="1"/>
  <c r="IE8" i="4" s="1"/>
  <c r="HU7" i="4" s="1"/>
  <c r="IV16" i="4" s="1"/>
  <c r="BX62" i="1"/>
  <c r="BX29" i="1"/>
  <c r="AL51" i="1"/>
  <c r="AM40" i="1"/>
  <c r="C36" i="1"/>
  <c r="L55" i="1"/>
  <c r="D25" i="1"/>
  <c r="U29" i="1"/>
  <c r="S24" i="1"/>
  <c r="O61" i="1"/>
  <c r="N29" i="1"/>
  <c r="F36" i="1"/>
  <c r="K38" i="1"/>
  <c r="S55" i="1"/>
  <c r="T55" i="1"/>
  <c r="K37" i="1"/>
  <c r="M29" i="1"/>
  <c r="J29" i="1"/>
  <c r="JH7" i="4" s="1"/>
  <c r="JA16" i="4" s="1"/>
  <c r="IP15" i="4" s="1"/>
  <c r="HX16" i="4" s="1"/>
  <c r="BJ31" i="1"/>
  <c r="BX55" i="1"/>
  <c r="AK62" i="1"/>
  <c r="AK24" i="1"/>
  <c r="AK41" i="1"/>
  <c r="BJ37" i="1"/>
  <c r="W63" i="1"/>
  <c r="C29" i="1"/>
  <c r="M24" i="1"/>
  <c r="M247" i="1" s="1"/>
  <c r="G48" i="1"/>
  <c r="G210" i="1" s="1"/>
  <c r="O40" i="1"/>
  <c r="H67" i="1"/>
  <c r="I38" i="1"/>
  <c r="M36" i="1"/>
  <c r="M62" i="1"/>
  <c r="R37" i="1"/>
  <c r="F62" i="1"/>
  <c r="E24" i="1"/>
  <c r="K51" i="1"/>
  <c r="S67" i="1"/>
  <c r="JB8" i="4" s="1"/>
  <c r="IM16" i="4" s="1"/>
  <c r="IM21" i="4" s="1"/>
  <c r="BG93" i="1" s="1"/>
  <c r="HV9" i="4" s="1"/>
  <c r="JB16" i="4" s="1"/>
  <c r="BX36" i="1"/>
  <c r="AJ62" i="1"/>
  <c r="BJ36" i="1"/>
  <c r="AK55" i="1"/>
  <c r="AM29" i="1"/>
  <c r="AM39" i="1"/>
  <c r="AK25" i="1"/>
  <c r="B55" i="1"/>
  <c r="U38" i="1"/>
  <c r="F29" i="1"/>
  <c r="F48" i="1"/>
  <c r="W148" i="1"/>
  <c r="K61" i="1"/>
  <c r="C25" i="1"/>
  <c r="J37" i="1"/>
  <c r="S39" i="1"/>
  <c r="J40" i="1"/>
  <c r="N37" i="1"/>
  <c r="C61" i="1"/>
  <c r="T48" i="1"/>
  <c r="T210" i="1" s="1"/>
  <c r="BX51" i="1"/>
  <c r="AJ52" i="1"/>
  <c r="AK30" i="1"/>
  <c r="BJ39" i="1"/>
  <c r="AK51" i="1"/>
  <c r="AJ63" i="1"/>
  <c r="D138" i="1"/>
  <c r="G62" i="1"/>
  <c r="B51" i="1"/>
  <c r="B41" i="1"/>
  <c r="C62" i="1"/>
  <c r="F67" i="1"/>
  <c r="O24" i="1"/>
  <c r="O11" i="1" s="1"/>
  <c r="M38" i="1"/>
  <c r="U51" i="1"/>
  <c r="J51" i="1"/>
  <c r="S31" i="1"/>
  <c r="B24" i="1"/>
  <c r="B247" i="1" s="1"/>
  <c r="P24" i="1"/>
  <c r="P11" i="1" s="1"/>
  <c r="E40" i="1"/>
  <c r="JA14" i="4" s="1"/>
  <c r="II9" i="4" s="1"/>
  <c r="II21" i="4" s="1"/>
  <c r="BC93" i="1" s="1"/>
  <c r="IY9" i="4" s="1"/>
  <c r="AM41" i="1"/>
  <c r="AL30" i="1"/>
  <c r="BJ29" i="1"/>
  <c r="M39" i="1"/>
  <c r="C52" i="1"/>
  <c r="BX180" i="1"/>
  <c r="BY180" i="1" s="1"/>
  <c r="T62" i="1"/>
  <c r="BX89" i="1"/>
  <c r="Q37" i="1"/>
  <c r="D51" i="1"/>
  <c r="K41" i="1"/>
  <c r="R38" i="1"/>
  <c r="G24" i="1"/>
  <c r="V31" i="1"/>
  <c r="P143" i="1"/>
  <c r="T63" i="1"/>
  <c r="L36" i="1"/>
  <c r="IB7" i="4" s="1"/>
  <c r="AM55" i="1"/>
  <c r="BX41" i="1"/>
  <c r="AM48" i="1"/>
  <c r="AM210" i="1" s="1"/>
  <c r="AM38" i="1"/>
  <c r="AK67" i="1"/>
  <c r="AJ55" i="1"/>
  <c r="BX30" i="1"/>
  <c r="N36" i="1"/>
  <c r="J48" i="1"/>
  <c r="J210" i="1" s="1"/>
  <c r="BX170" i="1"/>
  <c r="BY170" i="1" s="1"/>
  <c r="Q29" i="1"/>
  <c r="BY89" i="1"/>
  <c r="Q48" i="1"/>
  <c r="Q210" i="1" s="1"/>
  <c r="G39" i="1"/>
  <c r="G29" i="1"/>
  <c r="Q36" i="1"/>
  <c r="R39" i="1"/>
  <c r="G51" i="1"/>
  <c r="I39" i="1"/>
  <c r="N31" i="1"/>
  <c r="T29" i="1"/>
  <c r="R52" i="1"/>
  <c r="E175" i="1"/>
  <c r="F37" i="1"/>
  <c r="P41" i="1"/>
  <c r="E51" i="1"/>
  <c r="IF16" i="4" s="1"/>
  <c r="HU9" i="4" s="1"/>
  <c r="ID16" i="4" s="1"/>
  <c r="AL36" i="1"/>
  <c r="AL61" i="1"/>
  <c r="BX31" i="1"/>
  <c r="AJ30" i="1"/>
  <c r="AJ36" i="1"/>
  <c r="F41" i="1"/>
  <c r="B31" i="1"/>
  <c r="L24" i="1"/>
  <c r="E36" i="1"/>
  <c r="D48" i="1"/>
  <c r="BX168" i="1"/>
  <c r="BY168" i="1" s="1"/>
  <c r="D41" i="1"/>
  <c r="P25" i="1"/>
  <c r="L37" i="1"/>
  <c r="H25" i="1"/>
  <c r="V25" i="1"/>
  <c r="V26" i="1" s="1"/>
  <c r="V114" i="1" s="1"/>
  <c r="C41" i="1"/>
  <c r="U40" i="1"/>
  <c r="P63" i="1"/>
  <c r="H55" i="1"/>
  <c r="R24" i="1"/>
  <c r="S41" i="1"/>
  <c r="F55" i="1"/>
  <c r="C67" i="1"/>
  <c r="M37" i="1"/>
  <c r="C39" i="1"/>
  <c r="V61" i="1"/>
  <c r="O36" i="1"/>
  <c r="G179" i="1"/>
  <c r="T67" i="1"/>
  <c r="O39" i="1"/>
  <c r="V40" i="1"/>
  <c r="N67" i="1"/>
  <c r="F38" i="1"/>
  <c r="T39" i="1"/>
  <c r="F24" i="1"/>
  <c r="F247" i="1" s="1"/>
  <c r="D62" i="1"/>
  <c r="W25" i="1"/>
  <c r="W26" i="1" s="1"/>
  <c r="X27" i="1" s="1"/>
  <c r="B29" i="1"/>
  <c r="O31" i="1"/>
  <c r="BX176" i="1"/>
  <c r="J38" i="1"/>
  <c r="G36" i="1"/>
  <c r="U37" i="1"/>
  <c r="O41" i="1"/>
  <c r="BX134" i="1"/>
  <c r="BY134" i="1" s="1"/>
  <c r="B25" i="1"/>
  <c r="P61" i="1"/>
  <c r="V36" i="1"/>
  <c r="C40" i="1"/>
  <c r="D39" i="1"/>
  <c r="L39" i="1"/>
  <c r="R25" i="1"/>
  <c r="R26" i="1" s="1"/>
  <c r="R114" i="1" s="1"/>
  <c r="O55" i="1"/>
  <c r="G41" i="1"/>
  <c r="G25" i="1"/>
  <c r="S40" i="1"/>
  <c r="O62" i="1"/>
  <c r="V63" i="1"/>
  <c r="V29" i="1"/>
  <c r="T25" i="1"/>
  <c r="G169" i="1"/>
  <c r="C31" i="1"/>
  <c r="G40" i="1"/>
  <c r="H39" i="1"/>
  <c r="P31" i="1"/>
  <c r="R40" i="1"/>
  <c r="E37" i="1"/>
  <c r="P62" i="1"/>
  <c r="T41" i="1"/>
  <c r="I62" i="1"/>
  <c r="F63" i="1"/>
  <c r="M41" i="1"/>
  <c r="T51" i="1"/>
  <c r="T36" i="1"/>
  <c r="P38" i="1"/>
  <c r="H51" i="1"/>
  <c r="U63" i="1"/>
  <c r="IW8" i="4" s="1"/>
  <c r="IF8" i="4" s="1"/>
  <c r="HZ15" i="4" s="1"/>
  <c r="HR7" i="4" s="1"/>
  <c r="HY9" i="4" s="1"/>
  <c r="IX7" i="4" s="1"/>
  <c r="JE16" i="4" s="1"/>
  <c r="JE21" i="4" s="1"/>
  <c r="BY93" i="1" s="1"/>
  <c r="JB9" i="4" s="1"/>
  <c r="IY15" i="4" s="1"/>
  <c r="ID9" i="4" s="1"/>
  <c r="HT16" i="4" s="1"/>
  <c r="HT21" i="4" s="1"/>
  <c r="AN93" i="1" s="1"/>
  <c r="AK40" i="1"/>
  <c r="BX24" i="1"/>
  <c r="BX11" i="1" s="1"/>
  <c r="BX52" i="1"/>
  <c r="AJ38" i="1"/>
  <c r="AK39" i="1"/>
  <c r="AL55" i="1"/>
  <c r="BX179" i="1"/>
  <c r="BY179" i="1" s="1"/>
  <c r="U52" i="1"/>
  <c r="U268" i="1" s="1"/>
  <c r="S37" i="1"/>
  <c r="B39" i="1"/>
  <c r="BX162" i="1"/>
  <c r="BY162" i="1" s="1"/>
  <c r="W61" i="1"/>
  <c r="BX147" i="1"/>
  <c r="BX90" i="1"/>
  <c r="BX142" i="1"/>
  <c r="BY142" i="1" s="1"/>
  <c r="K29" i="1"/>
  <c r="BX169" i="1"/>
  <c r="B52" i="1"/>
  <c r="B67" i="1"/>
  <c r="V62" i="1"/>
  <c r="L31" i="1"/>
  <c r="K39" i="1"/>
  <c r="I31" i="1"/>
  <c r="D63" i="1"/>
  <c r="S25" i="1"/>
  <c r="N55" i="1"/>
  <c r="C37" i="1"/>
  <c r="D36" i="1"/>
  <c r="J63" i="1"/>
  <c r="B37" i="1"/>
  <c r="Q169" i="1"/>
  <c r="W51" i="1"/>
  <c r="C140" i="1"/>
  <c r="U31" i="1"/>
  <c r="T24" i="1"/>
  <c r="T268" i="1" s="1"/>
  <c r="W133" i="1"/>
  <c r="R67" i="1"/>
  <c r="JD15" i="4" s="1"/>
  <c r="JC14" i="4" s="1"/>
  <c r="HP16" i="4" s="1"/>
  <c r="AJ39" i="1"/>
  <c r="AJ41" i="1"/>
  <c r="BX63" i="1"/>
  <c r="BX37" i="1"/>
  <c r="BX67" i="1"/>
  <c r="AJ61" i="1"/>
  <c r="AK48" i="1"/>
  <c r="AK210" i="1" s="1"/>
  <c r="AL37" i="1"/>
  <c r="BX158" i="1"/>
  <c r="BY158" i="1" s="1"/>
  <c r="BX156" i="1"/>
  <c r="BY156" i="1" s="1"/>
  <c r="BZ218" i="1" s="1"/>
  <c r="I55" i="1"/>
  <c r="E39" i="1"/>
  <c r="B40" i="1"/>
  <c r="BX166" i="1"/>
  <c r="BY166" i="1" s="1"/>
  <c r="I36" i="1"/>
  <c r="S61" i="1"/>
  <c r="BX151" i="1"/>
  <c r="BY151" i="1" s="1"/>
  <c r="BX143" i="1"/>
  <c r="BY143" i="1" s="1"/>
  <c r="BX133" i="1"/>
  <c r="BY133" i="1" s="1"/>
  <c r="G61" i="1"/>
  <c r="K55" i="1"/>
  <c r="J24" i="1"/>
  <c r="B61" i="1"/>
  <c r="E62" i="1"/>
  <c r="L63" i="1"/>
  <c r="Q39" i="1"/>
  <c r="S48" i="1"/>
  <c r="E52" i="1"/>
  <c r="W39" i="1"/>
  <c r="I24" i="1"/>
  <c r="I247" i="1" s="1"/>
  <c r="E29" i="1"/>
  <c r="H61" i="1"/>
  <c r="U62" i="1"/>
  <c r="Q24" i="1"/>
  <c r="Q11" i="1" s="1"/>
  <c r="Q41" i="1"/>
  <c r="J31" i="1"/>
  <c r="E48" i="1"/>
  <c r="E210" i="1" s="1"/>
  <c r="O48" i="1"/>
  <c r="O210" i="1" s="1"/>
  <c r="U25" i="1"/>
  <c r="U26" i="1" s="1"/>
  <c r="G63" i="1"/>
  <c r="W36" i="1"/>
  <c r="R48" i="1"/>
  <c r="I41" i="1"/>
  <c r="H48" i="1"/>
  <c r="H210" i="1" s="1"/>
  <c r="W62" i="1"/>
  <c r="AJ37" i="1"/>
  <c r="BX38" i="1"/>
  <c r="AL41" i="1"/>
  <c r="BX167" i="1"/>
  <c r="BY167" i="1" s="1"/>
  <c r="R29" i="1"/>
  <c r="U48" i="1"/>
  <c r="B62" i="1"/>
  <c r="F31" i="1"/>
  <c r="C55" i="1"/>
  <c r="BX163" i="1"/>
  <c r="BY163" i="1" s="1"/>
  <c r="S52" i="1"/>
  <c r="S268" i="1" s="1"/>
  <c r="BX171" i="1"/>
  <c r="BY171" i="1" s="1"/>
  <c r="BX165" i="1"/>
  <c r="BY165" i="1" s="1"/>
  <c r="L51" i="1"/>
  <c r="K52" i="1"/>
  <c r="K268" i="1" s="1"/>
  <c r="K36" i="1"/>
  <c r="D24" i="1"/>
  <c r="J135" i="1"/>
  <c r="D29" i="1"/>
  <c r="P51" i="1"/>
  <c r="V48" i="1"/>
  <c r="E31" i="1"/>
  <c r="W41" i="1"/>
  <c r="W52" i="1"/>
  <c r="W268" i="1" s="1"/>
  <c r="E25" i="1"/>
  <c r="E26" i="1" s="1"/>
  <c r="H63" i="1"/>
  <c r="R55" i="1"/>
  <c r="L48" i="1"/>
  <c r="L210" i="1" s="1"/>
  <c r="V41" i="1"/>
  <c r="L52" i="1"/>
  <c r="L268" i="1" s="1"/>
  <c r="D55" i="1"/>
  <c r="Q61" i="1"/>
  <c r="G38" i="1"/>
  <c r="V51" i="1"/>
  <c r="L38" i="1"/>
  <c r="W40" i="1"/>
  <c r="K67" i="1"/>
  <c r="Q31" i="1"/>
  <c r="Q52" i="1"/>
  <c r="R62" i="1"/>
  <c r="Q67" i="1"/>
  <c r="F39" i="1"/>
  <c r="T37" i="1"/>
  <c r="F25" i="1"/>
  <c r="R61" i="1"/>
  <c r="U61" i="1"/>
  <c r="IB15" i="4" s="1"/>
  <c r="HX15" i="4" s="1"/>
  <c r="IB9" i="4" s="1"/>
  <c r="AJ48" i="1"/>
  <c r="AJ210" i="1" s="1"/>
  <c r="AL38" i="1"/>
  <c r="AM30" i="1"/>
  <c r="AK36" i="1"/>
  <c r="AM24" i="1"/>
  <c r="AJ29" i="1"/>
  <c r="AK38" i="1"/>
  <c r="AL67" i="1"/>
  <c r="AM37" i="1"/>
  <c r="F40" i="1"/>
  <c r="BX161" i="1"/>
  <c r="T61" i="1"/>
  <c r="H40" i="1"/>
  <c r="M61" i="1"/>
  <c r="W67" i="1"/>
  <c r="BX159" i="1"/>
  <c r="BY159" i="1" s="1"/>
  <c r="BX135" i="1"/>
  <c r="BY135" i="1" s="1"/>
  <c r="BX153" i="1"/>
  <c r="BY153" i="1" s="1"/>
  <c r="H24" i="1"/>
  <c r="H247" i="1" s="1"/>
  <c r="M40" i="1"/>
  <c r="BL90" i="1"/>
  <c r="BX149" i="1"/>
  <c r="R41" i="1"/>
  <c r="P52" i="1"/>
  <c r="I67" i="1"/>
  <c r="C48" i="1"/>
  <c r="C210" i="1" s="1"/>
  <c r="P40" i="1"/>
  <c r="M55" i="1"/>
  <c r="D52" i="1"/>
  <c r="O29" i="1"/>
  <c r="L67" i="1"/>
  <c r="O38" i="1"/>
  <c r="C51" i="1"/>
  <c r="J67" i="1"/>
  <c r="N41" i="1"/>
  <c r="B48" i="1"/>
  <c r="B38" i="1"/>
  <c r="L62" i="1"/>
  <c r="P37" i="1"/>
  <c r="N62" i="1"/>
  <c r="H41" i="1"/>
  <c r="G55" i="1"/>
  <c r="K25" i="1"/>
  <c r="P67" i="1"/>
  <c r="I40" i="1"/>
  <c r="D61" i="1"/>
  <c r="K63" i="1"/>
  <c r="N40" i="1"/>
  <c r="G37" i="1"/>
  <c r="AJ67" i="1"/>
  <c r="AK37" i="1"/>
  <c r="AL39" i="1"/>
  <c r="AK29" i="1"/>
  <c r="AK31" i="1"/>
  <c r="AL29" i="1"/>
  <c r="E41" i="1"/>
  <c r="E55" i="1"/>
  <c r="Q55" i="1"/>
  <c r="D40" i="1"/>
  <c r="BX141" i="1"/>
  <c r="BY141" i="1" s="1"/>
  <c r="R63" i="1"/>
  <c r="R36" i="1"/>
  <c r="U55" i="1"/>
  <c r="M31" i="1"/>
  <c r="I63" i="1"/>
  <c r="BX140" i="1"/>
  <c r="BY140" i="1" s="1"/>
  <c r="S51" i="1"/>
  <c r="M51" i="1"/>
  <c r="B63" i="1"/>
  <c r="W37" i="1"/>
  <c r="H62" i="1"/>
  <c r="O63" i="1"/>
  <c r="P39" i="1"/>
  <c r="N63" i="1"/>
  <c r="J55" i="1"/>
  <c r="O37" i="1"/>
  <c r="J52" i="1"/>
  <c r="D67" i="1"/>
  <c r="R51" i="1"/>
  <c r="U36" i="1"/>
  <c r="H31" i="1"/>
  <c r="S62" i="1"/>
  <c r="P29" i="1"/>
  <c r="M52" i="1"/>
  <c r="M63" i="1"/>
  <c r="N48" i="1"/>
  <c r="N210" i="1" s="1"/>
  <c r="K40" i="1"/>
  <c r="I48" i="1"/>
  <c r="I210" i="1" s="1"/>
  <c r="G31" i="1"/>
  <c r="C24" i="1"/>
  <c r="C247" i="1" s="1"/>
  <c r="V52" i="1"/>
  <c r="V268" i="1" s="1"/>
  <c r="AM247" i="1"/>
  <c r="AM11" i="1"/>
  <c r="AL171" i="1"/>
  <c r="AM171" i="1" s="1"/>
  <c r="AL90" i="1"/>
  <c r="BJ179" i="1"/>
  <c r="BK179" i="1" s="1"/>
  <c r="BJ170" i="1"/>
  <c r="BK170" i="1" s="1"/>
  <c r="BJ160" i="1"/>
  <c r="AJ140" i="1"/>
  <c r="AK140" i="1" s="1"/>
  <c r="AJ179" i="1"/>
  <c r="AK179" i="1" s="1"/>
  <c r="AJ143" i="1"/>
  <c r="AK143" i="1" s="1"/>
  <c r="AJ175" i="1"/>
  <c r="BJ143" i="1"/>
  <c r="BK143" i="1" s="1"/>
  <c r="AJ138" i="1"/>
  <c r="AK138" i="1" s="1"/>
  <c r="AL161" i="1"/>
  <c r="AL166" i="1"/>
  <c r="AM166" i="1" s="1"/>
  <c r="AL158" i="1"/>
  <c r="AM158" i="1" s="1"/>
  <c r="AL147" i="1"/>
  <c r="AL141" i="1"/>
  <c r="AM141" i="1" s="1"/>
  <c r="AL180" i="1"/>
  <c r="AM180" i="1" s="1"/>
  <c r="AL165" i="1"/>
  <c r="AM165" i="1" s="1"/>
  <c r="AL135" i="1"/>
  <c r="BJ175" i="1"/>
  <c r="BJ176" i="1"/>
  <c r="BJ163" i="1"/>
  <c r="BK163" i="1" s="1"/>
  <c r="BJ165" i="1"/>
  <c r="AJ166" i="1"/>
  <c r="AK166" i="1" s="1"/>
  <c r="AJ169" i="1"/>
  <c r="AJ167" i="1"/>
  <c r="AK167" i="1" s="1"/>
  <c r="AL151" i="1"/>
  <c r="AM151" i="1" s="1"/>
  <c r="BJ171" i="1"/>
  <c r="BK171" i="1" s="1"/>
  <c r="AJ165" i="1"/>
  <c r="AK165" i="1" s="1"/>
  <c r="BJ140" i="1"/>
  <c r="BK140" i="1" s="1"/>
  <c r="AL149" i="1"/>
  <c r="AL179" i="1"/>
  <c r="AM179" i="1" s="1"/>
  <c r="BJ147" i="1"/>
  <c r="BJ161" i="1"/>
  <c r="BJ180" i="1"/>
  <c r="AJ168" i="1"/>
  <c r="AK168" i="1" s="1"/>
  <c r="AJ158" i="1"/>
  <c r="AK158" i="1" s="1"/>
  <c r="AJ170" i="1"/>
  <c r="AK170" i="1" s="1"/>
  <c r="AL167" i="1"/>
  <c r="AM167" i="1" s="1"/>
  <c r="BJ135" i="1"/>
  <c r="AL138" i="1"/>
  <c r="AM138" i="1" s="1"/>
  <c r="BJ142" i="1"/>
  <c r="BK142" i="1" s="1"/>
  <c r="AL169" i="1"/>
  <c r="AL162" i="1"/>
  <c r="AM162" i="1" s="1"/>
  <c r="AL168" i="1"/>
  <c r="AM168" i="1" s="1"/>
  <c r="AL175" i="1"/>
  <c r="AL160" i="1"/>
  <c r="BJ156" i="1"/>
  <c r="BK156" i="1" s="1"/>
  <c r="BL218" i="1" s="1"/>
  <c r="BJ168" i="1"/>
  <c r="BK168" i="1" s="1"/>
  <c r="BJ151" i="1"/>
  <c r="BK151" i="1" s="1"/>
  <c r="BJ141" i="1"/>
  <c r="BK141" i="1" s="1"/>
  <c r="BJ158" i="1"/>
  <c r="BK158" i="1" s="1"/>
  <c r="BJ148" i="1"/>
  <c r="AJ149" i="1"/>
  <c r="AJ160" i="1"/>
  <c r="AJ161" i="1"/>
  <c r="AJ176" i="1"/>
  <c r="AJ135" i="1"/>
  <c r="AJ162" i="1"/>
  <c r="AK162" i="1" s="1"/>
  <c r="AJ141" i="1"/>
  <c r="AK141" i="1" s="1"/>
  <c r="AL170" i="1"/>
  <c r="AM170" i="1" s="1"/>
  <c r="AL133" i="1"/>
  <c r="AM133" i="1" s="1"/>
  <c r="BJ162" i="1"/>
  <c r="BK162" i="1" s="1"/>
  <c r="AJ133" i="1"/>
  <c r="AK133" i="1" s="1"/>
  <c r="AL142" i="1"/>
  <c r="AM142" i="1" s="1"/>
  <c r="AL134" i="1"/>
  <c r="AM134" i="1" s="1"/>
  <c r="AL140" i="1"/>
  <c r="AM140" i="1" s="1"/>
  <c r="AL148" i="1"/>
  <c r="AL176" i="1"/>
  <c r="AL143" i="1"/>
  <c r="AM143" i="1" s="1"/>
  <c r="AL89" i="1"/>
  <c r="AL163" i="1"/>
  <c r="AM163" i="1" s="1"/>
  <c r="BJ134" i="1"/>
  <c r="BK134" i="1" s="1"/>
  <c r="BJ169" i="1"/>
  <c r="BJ166" i="1"/>
  <c r="BK166" i="1" s="1"/>
  <c r="BJ149" i="1"/>
  <c r="BJ167" i="1"/>
  <c r="BK167" i="1" s="1"/>
  <c r="AJ180" i="1"/>
  <c r="AK180" i="1" s="1"/>
  <c r="AJ142" i="1"/>
  <c r="AK142" i="1" s="1"/>
  <c r="AJ148" i="1"/>
  <c r="AJ171" i="1"/>
  <c r="AK171" i="1" s="1"/>
  <c r="AJ134" i="1"/>
  <c r="AK134" i="1" s="1"/>
  <c r="AJ156" i="1"/>
  <c r="AK156" i="1" s="1"/>
  <c r="AL156" i="1"/>
  <c r="AM156" i="1" s="1"/>
  <c r="AM218" i="1" s="1"/>
  <c r="BJ138" i="1"/>
  <c r="BK138" i="1" s="1"/>
  <c r="BJ133" i="1"/>
  <c r="AJ147" i="1"/>
  <c r="AJ151" i="1"/>
  <c r="AK151" i="1" s="1"/>
  <c r="AJ163" i="1"/>
  <c r="AK163" i="1" s="1"/>
  <c r="AJ159" i="1"/>
  <c r="AK159" i="1" s="1"/>
  <c r="AJ153" i="1"/>
  <c r="AK153" i="1" s="1"/>
  <c r="AL153" i="1"/>
  <c r="AM153" i="1" s="1"/>
  <c r="BJ153" i="1"/>
  <c r="BK153" i="1" s="1"/>
  <c r="BJ159" i="1"/>
  <c r="AL159" i="1"/>
  <c r="JG14" i="4"/>
  <c r="JF7" i="4"/>
  <c r="JD14" i="4"/>
  <c r="JB15" i="4"/>
  <c r="JE8" i="4"/>
  <c r="HY14" i="4"/>
  <c r="HU14" i="4"/>
  <c r="IN14" i="4"/>
  <c r="IO14" i="4"/>
  <c r="IA8" i="4"/>
  <c r="IG14" i="4"/>
  <c r="IY8" i="4"/>
  <c r="IH8" i="4"/>
  <c r="IO8" i="4"/>
  <c r="IJ15" i="4"/>
  <c r="JC15" i="4"/>
  <c r="IA7" i="4"/>
  <c r="IE15" i="4"/>
  <c r="HS15" i="4"/>
  <c r="HP7" i="4"/>
  <c r="IC7" i="4"/>
  <c r="IR15" i="4"/>
  <c r="JF8" i="4"/>
  <c r="HT15" i="4"/>
  <c r="IX8" i="4"/>
  <c r="IM8" i="4"/>
  <c r="IU7" i="4"/>
  <c r="IP14" i="4"/>
  <c r="HR14" i="4"/>
  <c r="IQ7" i="4"/>
  <c r="JD8" i="4"/>
  <c r="HS8" i="4"/>
  <c r="JH14" i="4"/>
  <c r="JB14" i="4"/>
  <c r="CP93" i="1"/>
  <c r="CN79" i="1"/>
  <c r="CM81" i="1"/>
  <c r="J26" i="1" l="1"/>
  <c r="V42" i="1"/>
  <c r="V43" i="1" s="1"/>
  <c r="W269" i="1"/>
  <c r="W210" i="1"/>
  <c r="IY21" i="4"/>
  <c r="BS93" i="1" s="1"/>
  <c r="IT15" i="4" s="1"/>
  <c r="IT16" i="4" s="1"/>
  <c r="HW16" i="4" s="1"/>
  <c r="HW21" i="4" s="1"/>
  <c r="AQ93" i="1" s="1"/>
  <c r="IZ16" i="4" s="1"/>
  <c r="IZ21" i="4" s="1"/>
  <c r="BT93" i="1" s="1"/>
  <c r="HZ9" i="4" s="1"/>
  <c r="JE14" i="4" s="1"/>
  <c r="HT7" i="4" s="1"/>
  <c r="JG7" i="4" s="1"/>
  <c r="HZ7" i="4" s="1"/>
  <c r="IJ8" i="4" s="1"/>
  <c r="JD16" i="4" s="1"/>
  <c r="JD21" i="4" s="1"/>
  <c r="BX93" i="1" s="1"/>
  <c r="F42" i="1"/>
  <c r="BX269" i="1"/>
  <c r="IR21" i="4"/>
  <c r="BL93" i="1" s="1"/>
  <c r="BL110" i="1" s="1"/>
  <c r="IP16" i="4" s="1"/>
  <c r="IP21" i="4" s="1"/>
  <c r="BJ93" i="1" s="1"/>
  <c r="HV21" i="4"/>
  <c r="AP93" i="1" s="1"/>
  <c r="IX16" i="4" s="1"/>
  <c r="IL15" i="4" s="1"/>
  <c r="AL268" i="1"/>
  <c r="P199" i="1"/>
  <c r="S42" i="1"/>
  <c r="IV21" i="4"/>
  <c r="BP93" i="1" s="1"/>
  <c r="IS16" i="4" s="1"/>
  <c r="HQ9" i="4" s="1"/>
  <c r="HX14" i="4" s="1"/>
  <c r="IG9" i="4" s="1"/>
  <c r="HP9" i="4" s="1"/>
  <c r="B268" i="1"/>
  <c r="S26" i="1"/>
  <c r="IB21" i="4"/>
  <c r="AV93" i="1" s="1"/>
  <c r="IN8" i="4" s="1"/>
  <c r="IB8" i="4" s="1"/>
  <c r="HZ21" i="4"/>
  <c r="AT93" i="1" s="1"/>
  <c r="IC21" i="4"/>
  <c r="AW93" i="1" s="1"/>
  <c r="IG21" i="4"/>
  <c r="BA93" i="1" s="1"/>
  <c r="HU21" i="4"/>
  <c r="AO93" i="1" s="1"/>
  <c r="H268" i="1"/>
  <c r="IE21" i="4"/>
  <c r="AY93" i="1" s="1"/>
  <c r="H26" i="1"/>
  <c r="H32" i="1" s="1"/>
  <c r="H33" i="1" s="1"/>
  <c r="HS21" i="4"/>
  <c r="AM93" i="1" s="1"/>
  <c r="IN21" i="4"/>
  <c r="BH93" i="1" s="1"/>
  <c r="IK21" i="4"/>
  <c r="BE93" i="1" s="1"/>
  <c r="W204" i="1"/>
  <c r="P247" i="1"/>
  <c r="P26" i="1"/>
  <c r="C26" i="1"/>
  <c r="K26" i="1"/>
  <c r="JC21" i="4"/>
  <c r="BW93" i="1" s="1"/>
  <c r="R268" i="1"/>
  <c r="AK26" i="1"/>
  <c r="AK247" i="1"/>
  <c r="O247" i="1"/>
  <c r="E247" i="1"/>
  <c r="AJ53" i="1"/>
  <c r="JB21" i="4"/>
  <c r="BV93" i="1" s="1"/>
  <c r="IL9" i="4" s="1"/>
  <c r="IS9" i="4" s="1"/>
  <c r="IK8" i="4" s="1"/>
  <c r="IE14" i="4"/>
  <c r="IU8" i="4"/>
  <c r="IJ7" i="4"/>
  <c r="BJ196" i="1"/>
  <c r="BK196" i="1" s="1"/>
  <c r="AJ195" i="1"/>
  <c r="BJ199" i="1"/>
  <c r="BK199" i="1" s="1"/>
  <c r="N247" i="1"/>
  <c r="N26" i="1"/>
  <c r="P210" i="1"/>
  <c r="P269" i="1"/>
  <c r="AL210" i="1"/>
  <c r="AL269" i="1"/>
  <c r="AL11" i="1"/>
  <c r="AL247" i="1"/>
  <c r="AL26" i="1"/>
  <c r="K210" i="1"/>
  <c r="K269" i="1"/>
  <c r="S11" i="1"/>
  <c r="S247" i="1"/>
  <c r="F269" i="1"/>
  <c r="F210" i="1"/>
  <c r="G247" i="1"/>
  <c r="G269" i="1"/>
  <c r="G26" i="1"/>
  <c r="L247" i="1"/>
  <c r="L26" i="1"/>
  <c r="S210" i="1"/>
  <c r="S269" i="1"/>
  <c r="V204" i="1"/>
  <c r="V27" i="1"/>
  <c r="U32" i="1"/>
  <c r="U114" i="1"/>
  <c r="R269" i="1"/>
  <c r="R210" i="1"/>
  <c r="U269" i="1"/>
  <c r="U210" i="1"/>
  <c r="D247" i="1"/>
  <c r="D26" i="1"/>
  <c r="V269" i="1"/>
  <c r="V210" i="1"/>
  <c r="AM42" i="1"/>
  <c r="IJ21" i="4"/>
  <c r="BD93" i="1" s="1"/>
  <c r="IX15" i="4"/>
  <c r="IL8" i="4"/>
  <c r="HX8" i="4"/>
  <c r="IN15" i="4"/>
  <c r="IE7" i="4"/>
  <c r="IW14" i="4"/>
  <c r="IW19" i="4" s="1"/>
  <c r="BQ94" i="1" s="1"/>
  <c r="BQ123" i="1" s="1"/>
  <c r="HT8" i="4"/>
  <c r="HQ8" i="4"/>
  <c r="BX177" i="1"/>
  <c r="IO7" i="4"/>
  <c r="HY21" i="4"/>
  <c r="AS93" i="1" s="1"/>
  <c r="HR21" i="4"/>
  <c r="AL93" i="1" s="1"/>
  <c r="HX7" i="4"/>
  <c r="IS14" i="4"/>
  <c r="O268" i="1"/>
  <c r="IZ14" i="4"/>
  <c r="IH14" i="4"/>
  <c r="IH21" i="4"/>
  <c r="BB93" i="1" s="1"/>
  <c r="HQ21" i="4"/>
  <c r="AK93" i="1" s="1"/>
  <c r="IC15" i="4"/>
  <c r="HW8" i="4"/>
  <c r="HW20" i="4" s="1"/>
  <c r="AQ95" i="1" s="1"/>
  <c r="AQ124" i="1" s="1"/>
  <c r="HY15" i="4"/>
  <c r="ID15" i="4"/>
  <c r="HY7" i="4"/>
  <c r="O26" i="1"/>
  <c r="HW7" i="4"/>
  <c r="IX21" i="4"/>
  <c r="BR93" i="1" s="1"/>
  <c r="JI7" i="4"/>
  <c r="JG8" i="4"/>
  <c r="IP8" i="4"/>
  <c r="IH7" i="4"/>
  <c r="HT14" i="4"/>
  <c r="HT19" i="4" s="1"/>
  <c r="AN94" i="1" s="1"/>
  <c r="AN123" i="1" s="1"/>
  <c r="IS8" i="4"/>
  <c r="W42" i="1"/>
  <c r="W43" i="1" s="1"/>
  <c r="IG7" i="4"/>
  <c r="ID14" i="4"/>
  <c r="IC8" i="4"/>
  <c r="JH21" i="4"/>
  <c r="CB93" i="1" s="1"/>
  <c r="IK7" i="4"/>
  <c r="B42" i="1"/>
  <c r="JA21" i="4"/>
  <c r="BU93" i="1" s="1"/>
  <c r="IK15" i="4"/>
  <c r="IK20" i="4" s="1"/>
  <c r="BE95" i="1" s="1"/>
  <c r="BE124" i="1" s="1"/>
  <c r="IQ15" i="4"/>
  <c r="IQ20" i="4" s="1"/>
  <c r="BK95" i="1" s="1"/>
  <c r="BK124" i="1" s="1"/>
  <c r="HX21" i="4"/>
  <c r="AR93" i="1" s="1"/>
  <c r="HV14" i="4"/>
  <c r="HQ15" i="4"/>
  <c r="IF15" i="4"/>
  <c r="IF20" i="4" s="1"/>
  <c r="AZ95" i="1" s="1"/>
  <c r="AZ124" i="1" s="1"/>
  <c r="IQ14" i="4"/>
  <c r="IQ19" i="4" s="1"/>
  <c r="BK94" i="1" s="1"/>
  <c r="BK123" i="1" s="1"/>
  <c r="IS21" i="4"/>
  <c r="BM93" i="1" s="1"/>
  <c r="IM14" i="4"/>
  <c r="IM19" i="4" s="1"/>
  <c r="BG94" i="1" s="1"/>
  <c r="BG123" i="1" s="1"/>
  <c r="IG15" i="4"/>
  <c r="IF21" i="4"/>
  <c r="AZ93" i="1" s="1"/>
  <c r="HS14" i="4"/>
  <c r="ID21" i="4"/>
  <c r="AX93" i="1" s="1"/>
  <c r="HV7" i="4"/>
  <c r="IM15" i="4"/>
  <c r="IV14" i="4"/>
  <c r="IK14" i="4"/>
  <c r="IK19" i="4" s="1"/>
  <c r="BE94" i="1" s="1"/>
  <c r="BE123" i="1" s="1"/>
  <c r="D42" i="1"/>
  <c r="B26" i="1"/>
  <c r="V32" i="1"/>
  <c r="G199" i="1"/>
  <c r="HS7" i="4"/>
  <c r="HS19" i="4" s="1"/>
  <c r="AM94" i="1" s="1"/>
  <c r="JD7" i="4"/>
  <c r="JD19" i="4" s="1"/>
  <c r="BX94" i="1" s="1"/>
  <c r="AM26" i="1"/>
  <c r="P268" i="1"/>
  <c r="D268" i="1"/>
  <c r="B269" i="1"/>
  <c r="G42" i="1"/>
  <c r="AK42" i="1"/>
  <c r="M268" i="1"/>
  <c r="BJ195" i="1"/>
  <c r="BK195" i="1" s="1"/>
  <c r="AL199" i="1"/>
  <c r="AM199" i="1" s="1"/>
  <c r="AL195" i="1"/>
  <c r="AM195" i="1" s="1"/>
  <c r="BJ247" i="1"/>
  <c r="BJ11" i="1"/>
  <c r="R247" i="1"/>
  <c r="R11" i="1"/>
  <c r="T26" i="1"/>
  <c r="T11" i="1"/>
  <c r="BX150" i="1"/>
  <c r="BY150" i="1" s="1"/>
  <c r="BX164" i="1"/>
  <c r="BX198" i="1" s="1"/>
  <c r="HU15" i="4"/>
  <c r="BY136" i="1"/>
  <c r="D269" i="1"/>
  <c r="IW15" i="4"/>
  <c r="L42" i="1"/>
  <c r="C268" i="1"/>
  <c r="IS15" i="4"/>
  <c r="K42" i="1"/>
  <c r="JI14" i="4"/>
  <c r="W32" i="1"/>
  <c r="I268" i="1"/>
  <c r="AM268" i="1"/>
  <c r="IQ8" i="4"/>
  <c r="IJ14" i="4"/>
  <c r="IJ19" i="4" s="1"/>
  <c r="BD94" i="1" s="1"/>
  <c r="BD123" i="1" s="1"/>
  <c r="I42" i="1"/>
  <c r="JE7" i="4"/>
  <c r="JE19" i="4" s="1"/>
  <c r="BY94" i="1" s="1"/>
  <c r="HV15" i="4"/>
  <c r="IP7" i="4"/>
  <c r="HW14" i="4"/>
  <c r="HW19" i="4" s="1"/>
  <c r="AQ94" i="1" s="1"/>
  <c r="AQ123" i="1" s="1"/>
  <c r="IH15" i="4"/>
  <c r="JA8" i="4"/>
  <c r="JA20" i="4" s="1"/>
  <c r="BU95" i="1" s="1"/>
  <c r="BU124" i="1" s="1"/>
  <c r="IT14" i="4"/>
  <c r="IT19" i="4" s="1"/>
  <c r="BN94" i="1" s="1"/>
  <c r="BN123" i="1" s="1"/>
  <c r="IR8" i="4"/>
  <c r="IR20" i="4" s="1"/>
  <c r="BL95" i="1" s="1"/>
  <c r="BL112" i="1" s="1"/>
  <c r="IY14" i="4"/>
  <c r="IL14" i="4"/>
  <c r="P42" i="1"/>
  <c r="H42" i="1"/>
  <c r="X204" i="1"/>
  <c r="BY144" i="1"/>
  <c r="AL42" i="1"/>
  <c r="AL43" i="1" s="1"/>
  <c r="HR8" i="4"/>
  <c r="E42" i="1"/>
  <c r="E43" i="1" s="1"/>
  <c r="M42" i="1"/>
  <c r="JC8" i="4"/>
  <c r="JC20" i="4" s="1"/>
  <c r="BW95" i="1" s="1"/>
  <c r="BW124" i="1" s="1"/>
  <c r="JB7" i="4"/>
  <c r="JB19" i="4" s="1"/>
  <c r="BV94" i="1" s="1"/>
  <c r="BV123" i="1" s="1"/>
  <c r="IV8" i="4"/>
  <c r="IV20" i="4" s="1"/>
  <c r="BP95" i="1" s="1"/>
  <c r="BP124" i="1" s="1"/>
  <c r="G268" i="1"/>
  <c r="J42" i="1"/>
  <c r="JA7" i="4"/>
  <c r="JA19" i="4" s="1"/>
  <c r="BU94" i="1" s="1"/>
  <c r="BU123" i="1" s="1"/>
  <c r="IY7" i="4"/>
  <c r="HQ7" i="4"/>
  <c r="IS7" i="4"/>
  <c r="O269" i="1"/>
  <c r="W27" i="1"/>
  <c r="BX196" i="1"/>
  <c r="BY196" i="1" s="1"/>
  <c r="W114" i="1"/>
  <c r="T247" i="1"/>
  <c r="II15" i="4"/>
  <c r="II20" i="4" s="1"/>
  <c r="BC95" i="1" s="1"/>
  <c r="BC124" i="1" s="1"/>
  <c r="Q42" i="1"/>
  <c r="ID8" i="4"/>
  <c r="U42" i="1"/>
  <c r="T42" i="1"/>
  <c r="BX42" i="1"/>
  <c r="C42" i="1"/>
  <c r="AJ42" i="1"/>
  <c r="HP14" i="4"/>
  <c r="HP19" i="4" s="1"/>
  <c r="AJ94" i="1" s="1"/>
  <c r="JH15" i="4"/>
  <c r="JH20" i="4" s="1"/>
  <c r="CB95" i="1" s="1"/>
  <c r="N42" i="1"/>
  <c r="IF7" i="4"/>
  <c r="HV8" i="4"/>
  <c r="IT7" i="4"/>
  <c r="IU14" i="4"/>
  <c r="IU19" i="4" s="1"/>
  <c r="BO94" i="1" s="1"/>
  <c r="BO123" i="1" s="1"/>
  <c r="IC14" i="4"/>
  <c r="IC19" i="4" s="1"/>
  <c r="AW94" i="1" s="1"/>
  <c r="AW123" i="1" s="1"/>
  <c r="HR15" i="4"/>
  <c r="II8" i="4"/>
  <c r="JF14" i="4"/>
  <c r="HQ14" i="4"/>
  <c r="F268" i="1"/>
  <c r="Q199" i="1"/>
  <c r="O42" i="1"/>
  <c r="HU8" i="4"/>
  <c r="R42" i="1"/>
  <c r="BX247" i="1"/>
  <c r="CA114" i="1"/>
  <c r="CA115" i="1" s="1"/>
  <c r="BX26" i="1"/>
  <c r="D210" i="1"/>
  <c r="J247" i="1"/>
  <c r="Q269" i="1"/>
  <c r="C269" i="1"/>
  <c r="Q268" i="1"/>
  <c r="BX268" i="1"/>
  <c r="BX195" i="1"/>
  <c r="BY195" i="1" s="1"/>
  <c r="J269" i="1"/>
  <c r="M26" i="1"/>
  <c r="M27" i="1" s="1"/>
  <c r="AJ49" i="1"/>
  <c r="H269" i="1"/>
  <c r="J268" i="1"/>
  <c r="T269" i="1"/>
  <c r="AJ199" i="1"/>
  <c r="M269" i="1"/>
  <c r="I269" i="1"/>
  <c r="Q247" i="1"/>
  <c r="BX144" i="1"/>
  <c r="AJ26" i="1"/>
  <c r="AJ32" i="1" s="1"/>
  <c r="AJ33" i="1" s="1"/>
  <c r="F26" i="1"/>
  <c r="AL196" i="1"/>
  <c r="AM196" i="1" s="1"/>
  <c r="Q26" i="1"/>
  <c r="N269" i="1"/>
  <c r="AL32" i="1"/>
  <c r="AM114" i="1"/>
  <c r="AM115" i="1" s="1"/>
  <c r="AM269" i="1"/>
  <c r="L269" i="1"/>
  <c r="BX199" i="1"/>
  <c r="BY199" i="1" s="1"/>
  <c r="BX172" i="1"/>
  <c r="BX201" i="1" s="1"/>
  <c r="BX200" i="1" s="1"/>
  <c r="BX136" i="1"/>
  <c r="BX108" i="1" s="1"/>
  <c r="I26" i="1"/>
  <c r="BJ177" i="1"/>
  <c r="BK225" i="1" s="1"/>
  <c r="BJ150" i="1"/>
  <c r="BK144" i="1"/>
  <c r="BK133" i="1"/>
  <c r="BJ136" i="1"/>
  <c r="AJ177" i="1"/>
  <c r="AK225" i="1" s="1"/>
  <c r="AM144" i="1"/>
  <c r="AL177" i="1"/>
  <c r="AM225" i="1" s="1"/>
  <c r="BJ172" i="1"/>
  <c r="BJ201" i="1" s="1"/>
  <c r="BJ200" i="1" s="1"/>
  <c r="AL150" i="1"/>
  <c r="AM150" i="1" s="1"/>
  <c r="AM154" i="1" s="1"/>
  <c r="BK165" i="1"/>
  <c r="BJ144" i="1"/>
  <c r="AJ144" i="1"/>
  <c r="AL172" i="1"/>
  <c r="AL201" i="1" s="1"/>
  <c r="AJ218" i="1"/>
  <c r="AL136" i="1"/>
  <c r="AL144" i="1"/>
  <c r="AI212" i="1"/>
  <c r="AI214" i="1" s="1"/>
  <c r="AJ150" i="1"/>
  <c r="AK49" i="1" s="1"/>
  <c r="AJ164" i="1"/>
  <c r="AJ196" i="1"/>
  <c r="AK196" i="1" s="1"/>
  <c r="AK144" i="1"/>
  <c r="AJ136" i="1"/>
  <c r="AJ172" i="1"/>
  <c r="BK159" i="1"/>
  <c r="BJ164" i="1"/>
  <c r="AM159" i="1"/>
  <c r="AL164" i="1"/>
  <c r="HX20" i="4"/>
  <c r="AR95" i="1" s="1"/>
  <c r="AR124" i="1" s="1"/>
  <c r="IX19" i="4"/>
  <c r="BR94" i="1" s="1"/>
  <c r="BR123" i="1" s="1"/>
  <c r="IB19" i="4"/>
  <c r="AV94" i="1" s="1"/>
  <c r="AV123" i="1" s="1"/>
  <c r="JE20" i="4"/>
  <c r="BY95" i="1" s="1"/>
  <c r="BY124" i="1" s="1"/>
  <c r="II19" i="4"/>
  <c r="BC94" i="1" s="1"/>
  <c r="BC123" i="1" s="1"/>
  <c r="IA19" i="4"/>
  <c r="AU94" i="1" s="1"/>
  <c r="AU123" i="1" s="1"/>
  <c r="JC19" i="4"/>
  <c r="BW94" i="1" s="1"/>
  <c r="BW123" i="1" s="1"/>
  <c r="HT20" i="4"/>
  <c r="AN95" i="1" s="1"/>
  <c r="AN124" i="1" s="1"/>
  <c r="JH19" i="4"/>
  <c r="CB94" i="1" s="1"/>
  <c r="JB20" i="4"/>
  <c r="BV95" i="1" s="1"/>
  <c r="BV124" i="1" s="1"/>
  <c r="HR19" i="4"/>
  <c r="AL94" i="1" s="1"/>
  <c r="HZ19" i="4"/>
  <c r="AT94" i="1" s="1"/>
  <c r="AT123" i="1" s="1"/>
  <c r="IJ20" i="4"/>
  <c r="BD95" i="1" s="1"/>
  <c r="BD124" i="1" s="1"/>
  <c r="JF20" i="4"/>
  <c r="BZ95" i="1" s="1"/>
  <c r="CC118" i="1"/>
  <c r="CC110" i="1"/>
  <c r="IE20" i="4"/>
  <c r="AY95" i="1" s="1"/>
  <c r="AY124" i="1" s="1"/>
  <c r="JG19" i="4"/>
  <c r="CA94" i="1" s="1"/>
  <c r="IY20" i="4"/>
  <c r="BS95" i="1" s="1"/>
  <c r="BS124" i="1" s="1"/>
  <c r="HZ20" i="4"/>
  <c r="AT95" i="1" s="1"/>
  <c r="AT124" i="1" s="1"/>
  <c r="R32" i="1"/>
  <c r="HS20" i="4"/>
  <c r="AM95" i="1" s="1"/>
  <c r="HU19" i="4"/>
  <c r="AO94" i="1" s="1"/>
  <c r="AO123" i="1" s="1"/>
  <c r="JD20" i="4"/>
  <c r="BX95" i="1" s="1"/>
  <c r="BX124" i="1" s="1"/>
  <c r="IA20" i="4"/>
  <c r="AU95" i="1" s="1"/>
  <c r="AU124" i="1" s="1"/>
  <c r="E114" i="1"/>
  <c r="E32" i="1"/>
  <c r="AL218" i="1"/>
  <c r="AK218" i="1"/>
  <c r="BK218" i="1"/>
  <c r="BY218" i="1"/>
  <c r="CM48" i="1"/>
  <c r="AB93" i="1"/>
  <c r="CQ93" i="1"/>
  <c r="AC156" i="1"/>
  <c r="CN81" i="1"/>
  <c r="CO79" i="1"/>
  <c r="IG20" i="4" l="1"/>
  <c r="BA95" i="1" s="1"/>
  <c r="BA124" i="1" s="1"/>
  <c r="CB110" i="1"/>
  <c r="HX19" i="4"/>
  <c r="AR94" i="1" s="1"/>
  <c r="AR123" i="1" s="1"/>
  <c r="D43" i="1"/>
  <c r="V44" i="1"/>
  <c r="AK43" i="1"/>
  <c r="BY145" i="1"/>
  <c r="AM118" i="1"/>
  <c r="K204" i="1"/>
  <c r="S114" i="1"/>
  <c r="S32" i="1"/>
  <c r="S33" i="1" s="1"/>
  <c r="J32" i="1"/>
  <c r="J33" i="1" s="1"/>
  <c r="J114" i="1"/>
  <c r="IW20" i="4"/>
  <c r="BQ95" i="1" s="1"/>
  <c r="BQ124" i="1" s="1"/>
  <c r="IS20" i="4"/>
  <c r="BM95" i="1" s="1"/>
  <c r="BM124" i="1" s="1"/>
  <c r="U27" i="1"/>
  <c r="T204" i="1"/>
  <c r="T32" i="1"/>
  <c r="U204" i="1"/>
  <c r="HY20" i="4"/>
  <c r="AS95" i="1" s="1"/>
  <c r="AS124" i="1" s="1"/>
  <c r="IM20" i="4"/>
  <c r="BG95" i="1" s="1"/>
  <c r="BG124" i="1" s="1"/>
  <c r="T27" i="1"/>
  <c r="T114" i="1"/>
  <c r="IV19" i="4"/>
  <c r="BP94" i="1" s="1"/>
  <c r="BP123" i="1" s="1"/>
  <c r="IX20" i="4"/>
  <c r="BR95" i="1" s="1"/>
  <c r="BR124" i="1" s="1"/>
  <c r="IC20" i="4"/>
  <c r="AW95" i="1" s="1"/>
  <c r="AW124" i="1" s="1"/>
  <c r="IT20" i="4"/>
  <c r="BN95" i="1" s="1"/>
  <c r="BN124" i="1" s="1"/>
  <c r="P204" i="1"/>
  <c r="N114" i="1"/>
  <c r="N32" i="1"/>
  <c r="O32" i="1"/>
  <c r="O33" i="1" s="1"/>
  <c r="O114" i="1"/>
  <c r="O27" i="1"/>
  <c r="HP21" i="4"/>
  <c r="AJ93" i="1" s="1"/>
  <c r="IR14" i="4" s="1"/>
  <c r="IQ16" i="4"/>
  <c r="IH19" i="4"/>
  <c r="BB94" i="1" s="1"/>
  <c r="BB123" i="1" s="1"/>
  <c r="HU20" i="4"/>
  <c r="AO95" i="1" s="1"/>
  <c r="AO124" i="1" s="1"/>
  <c r="JI19" i="4"/>
  <c r="CC94" i="1" s="1"/>
  <c r="HQ19" i="4"/>
  <c r="AK94" i="1" s="1"/>
  <c r="CB118" i="1"/>
  <c r="CB101" i="1"/>
  <c r="IU20" i="4"/>
  <c r="BO95" i="1" s="1"/>
  <c r="BO124" i="1" s="1"/>
  <c r="ID20" i="4"/>
  <c r="AX95" i="1" s="1"/>
  <c r="AX124" i="1" s="1"/>
  <c r="IL19" i="4"/>
  <c r="BF94" i="1" s="1"/>
  <c r="BF123" i="1" s="1"/>
  <c r="JF19" i="4"/>
  <c r="BZ94" i="1" s="1"/>
  <c r="IL20" i="4"/>
  <c r="BF95" i="1" s="1"/>
  <c r="BF124" i="1" s="1"/>
  <c r="HR20" i="4"/>
  <c r="AL95" i="1" s="1"/>
  <c r="R27" i="1"/>
  <c r="L32" i="1"/>
  <c r="L114" i="1"/>
  <c r="M32" i="1"/>
  <c r="M33" i="1" s="1"/>
  <c r="N27" i="1"/>
  <c r="BX110" i="1"/>
  <c r="IH20" i="4"/>
  <c r="BB95" i="1" s="1"/>
  <c r="BB124" i="1" s="1"/>
  <c r="HQ20" i="4"/>
  <c r="AK95" i="1" s="1"/>
  <c r="IS19" i="4"/>
  <c r="BM94" i="1" s="1"/>
  <c r="BM123" i="1" s="1"/>
  <c r="BY49" i="1"/>
  <c r="C43" i="1"/>
  <c r="HV19" i="4"/>
  <c r="AP94" i="1" s="1"/>
  <c r="AP123" i="1" s="1"/>
  <c r="ID19" i="4"/>
  <c r="AX94" i="1" s="1"/>
  <c r="AX123" i="1" s="1"/>
  <c r="BX154" i="1"/>
  <c r="IZ19" i="4"/>
  <c r="BT94" i="1" s="1"/>
  <c r="BT123" i="1" s="1"/>
  <c r="IP20" i="4"/>
  <c r="BJ95" i="1" s="1"/>
  <c r="BJ124" i="1" s="1"/>
  <c r="IE19" i="4"/>
  <c r="AY94" i="1" s="1"/>
  <c r="AY123" i="1" s="1"/>
  <c r="IG19" i="4"/>
  <c r="BA94" i="1" s="1"/>
  <c r="BA123" i="1" s="1"/>
  <c r="IN20" i="4"/>
  <c r="BH95" i="1" s="1"/>
  <c r="BH124" i="1" s="1"/>
  <c r="IP19" i="4"/>
  <c r="BJ94" i="1" s="1"/>
  <c r="BJ123" i="1" s="1"/>
  <c r="IO19" i="4"/>
  <c r="BI94" i="1" s="1"/>
  <c r="BI123" i="1" s="1"/>
  <c r="HY19" i="4"/>
  <c r="AS94" i="1" s="1"/>
  <c r="AS123" i="1" s="1"/>
  <c r="IB20" i="4"/>
  <c r="AV95" i="1" s="1"/>
  <c r="AV124" i="1" s="1"/>
  <c r="H114" i="1"/>
  <c r="S27" i="1"/>
  <c r="S204" i="1"/>
  <c r="H27" i="1"/>
  <c r="E204" i="1"/>
  <c r="E27" i="1"/>
  <c r="U33" i="1"/>
  <c r="G114" i="1"/>
  <c r="G32" i="1"/>
  <c r="C32" i="1"/>
  <c r="H204" i="1"/>
  <c r="AL28" i="1"/>
  <c r="AK32" i="1"/>
  <c r="K27" i="1"/>
  <c r="K114" i="1"/>
  <c r="K32" i="1"/>
  <c r="L204" i="1"/>
  <c r="P114" i="1"/>
  <c r="P32" i="1"/>
  <c r="D204" i="1"/>
  <c r="D27" i="1"/>
  <c r="D32" i="1"/>
  <c r="L27" i="1"/>
  <c r="IL21" i="4"/>
  <c r="BF93" i="1" s="1"/>
  <c r="IY19" i="4"/>
  <c r="BS94" i="1" s="1"/>
  <c r="BS123" i="1" s="1"/>
  <c r="AM43" i="1"/>
  <c r="B43" i="1"/>
  <c r="BX111" i="1"/>
  <c r="BY154" i="1"/>
  <c r="BZ219" i="1" s="1"/>
  <c r="BZ217" i="1" s="1"/>
  <c r="BZ49" i="1"/>
  <c r="BX43" i="1"/>
  <c r="HV20" i="4"/>
  <c r="AP95" i="1" s="1"/>
  <c r="AP124" i="1" s="1"/>
  <c r="BX184" i="1"/>
  <c r="AL200" i="1"/>
  <c r="BY225" i="1"/>
  <c r="BX264" i="1"/>
  <c r="AM28" i="1"/>
  <c r="AM32" i="1"/>
  <c r="I32" i="1"/>
  <c r="I114" i="1"/>
  <c r="J27" i="1"/>
  <c r="J204" i="1"/>
  <c r="BY222" i="1"/>
  <c r="BX202" i="1"/>
  <c r="CB205" i="1" s="1"/>
  <c r="O204" i="1"/>
  <c r="P27" i="1"/>
  <c r="B32" i="1"/>
  <c r="C34" i="1" s="1"/>
  <c r="C27" i="1"/>
  <c r="C204" i="1"/>
  <c r="V33" i="1"/>
  <c r="V34" i="1"/>
  <c r="W34" i="1"/>
  <c r="BZ223" i="1"/>
  <c r="BY223" i="1"/>
  <c r="BY108" i="1"/>
  <c r="X34" i="1"/>
  <c r="W33" i="1"/>
  <c r="W44" i="1"/>
  <c r="BZ265" i="1"/>
  <c r="BZ267" i="1" s="1"/>
  <c r="BZ222" i="1"/>
  <c r="BZ221" i="1" s="1"/>
  <c r="CC204" i="1"/>
  <c r="CB27" i="1"/>
  <c r="BY28" i="1"/>
  <c r="BX32" i="1"/>
  <c r="M204" i="1"/>
  <c r="N204" i="1"/>
  <c r="M114" i="1"/>
  <c r="G204" i="1"/>
  <c r="F114" i="1"/>
  <c r="Q114" i="1"/>
  <c r="Q204" i="1"/>
  <c r="Q32" i="1"/>
  <c r="Q27" i="1"/>
  <c r="R204" i="1"/>
  <c r="AL33" i="1"/>
  <c r="AL44" i="1"/>
  <c r="I204" i="1"/>
  <c r="I27" i="1"/>
  <c r="BY265" i="1"/>
  <c r="F204" i="1"/>
  <c r="F32" i="1"/>
  <c r="BX173" i="1"/>
  <c r="BX197" i="1"/>
  <c r="AM241" i="1"/>
  <c r="F27" i="1"/>
  <c r="BX145" i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AK28" i="1"/>
  <c r="G27" i="1"/>
  <c r="AJ43" i="1"/>
  <c r="BK265" i="1"/>
  <c r="AJ44" i="1"/>
  <c r="AJ145" i="1"/>
  <c r="AK222" i="1"/>
  <c r="AM265" i="1"/>
  <c r="BK150" i="1"/>
  <c r="BJ154" i="1"/>
  <c r="BJ262" i="1" s="1"/>
  <c r="BL222" i="1"/>
  <c r="BL265" i="1"/>
  <c r="BJ108" i="1"/>
  <c r="BJ264" i="1"/>
  <c r="AJ184" i="1"/>
  <c r="AK53" i="1" s="1"/>
  <c r="AJ222" i="1"/>
  <c r="AM49" i="1"/>
  <c r="AL154" i="1"/>
  <c r="AL108" i="1"/>
  <c r="AL264" i="1"/>
  <c r="AL222" i="1"/>
  <c r="AM222" i="1"/>
  <c r="AJ213" i="1"/>
  <c r="AJ201" i="1"/>
  <c r="AK150" i="1"/>
  <c r="AL184" i="1"/>
  <c r="AJ173" i="1"/>
  <c r="BJ145" i="1"/>
  <c r="BJ184" i="1"/>
  <c r="BJ125" i="1" s="1"/>
  <c r="AJ154" i="1"/>
  <c r="AJ181" i="1" s="1"/>
  <c r="BK222" i="1"/>
  <c r="AL265" i="1"/>
  <c r="AL145" i="1"/>
  <c r="AJ212" i="1"/>
  <c r="AJ198" i="1"/>
  <c r="BJ198" i="1"/>
  <c r="BJ173" i="1"/>
  <c r="AL198" i="1"/>
  <c r="AL173" i="1"/>
  <c r="AM119" i="1"/>
  <c r="AM123" i="1"/>
  <c r="AM124" i="1"/>
  <c r="AM120" i="1"/>
  <c r="BX105" i="1"/>
  <c r="BX123" i="1"/>
  <c r="CB102" i="1"/>
  <c r="CB119" i="1"/>
  <c r="CB111" i="1"/>
  <c r="CB123" i="1"/>
  <c r="CB126" i="1" s="1"/>
  <c r="CB129" i="1" s="1"/>
  <c r="AL123" i="1"/>
  <c r="BZ124" i="1"/>
  <c r="BZ127" i="1" s="1"/>
  <c r="BZ112" i="1"/>
  <c r="CB112" i="1"/>
  <c r="CB124" i="1"/>
  <c r="CB127" i="1" s="1"/>
  <c r="CB130" i="1" s="1"/>
  <c r="R33" i="1"/>
  <c r="BX112" i="1"/>
  <c r="CB120" i="1"/>
  <c r="BL124" i="1"/>
  <c r="BL127" i="1" s="1"/>
  <c r="CB103" i="1"/>
  <c r="CA119" i="1"/>
  <c r="CA123" i="1"/>
  <c r="CA111" i="1"/>
  <c r="BY123" i="1"/>
  <c r="BY105" i="1"/>
  <c r="E44" i="1"/>
  <c r="E45" i="1" s="1"/>
  <c r="E33" i="1"/>
  <c r="CM210" i="1"/>
  <c r="CM148" i="1"/>
  <c r="CM150" i="1" s="1"/>
  <c r="CM154" i="1" s="1"/>
  <c r="CM219" i="1" s="1"/>
  <c r="CM217" i="1" s="1"/>
  <c r="CR93" i="1"/>
  <c r="AC218" i="1"/>
  <c r="AB165" i="1"/>
  <c r="AB133" i="1"/>
  <c r="CO81" i="1"/>
  <c r="CP79" i="1"/>
  <c r="CA241" i="1"/>
  <c r="L33" i="1" l="1"/>
  <c r="S34" i="1"/>
  <c r="V50" i="1"/>
  <c r="V54" i="1" s="1"/>
  <c r="V128" i="1"/>
  <c r="V248" i="1"/>
  <c r="V249" i="1" s="1"/>
  <c r="V45" i="1"/>
  <c r="D33" i="1"/>
  <c r="D44" i="1"/>
  <c r="E34" i="1"/>
  <c r="P33" i="1"/>
  <c r="C44" i="1"/>
  <c r="D34" i="1"/>
  <c r="C33" i="1"/>
  <c r="AL35" i="1"/>
  <c r="AK44" i="1"/>
  <c r="AK33" i="1"/>
  <c r="AK35" i="1"/>
  <c r="K33" i="1"/>
  <c r="L34" i="1"/>
  <c r="G33" i="1"/>
  <c r="H34" i="1"/>
  <c r="BY221" i="1"/>
  <c r="BX181" i="1"/>
  <c r="BZ111" i="1"/>
  <c r="N34" i="1"/>
  <c r="U34" i="1"/>
  <c r="T33" i="1"/>
  <c r="CC111" i="1"/>
  <c r="CC123" i="1"/>
  <c r="CC119" i="1"/>
  <c r="O34" i="1"/>
  <c r="BZ123" i="1"/>
  <c r="BZ126" i="1" s="1"/>
  <c r="P34" i="1"/>
  <c r="BZ105" i="1"/>
  <c r="N33" i="1"/>
  <c r="T34" i="1"/>
  <c r="CC102" i="1"/>
  <c r="CF106" i="1" s="1"/>
  <c r="AL112" i="1"/>
  <c r="AL124" i="1"/>
  <c r="M34" i="1"/>
  <c r="K34" i="1"/>
  <c r="I33" i="1"/>
  <c r="I34" i="1"/>
  <c r="J34" i="1"/>
  <c r="BX262" i="1"/>
  <c r="BY219" i="1"/>
  <c r="BY217" i="1" s="1"/>
  <c r="IR19" i="4"/>
  <c r="BL94" i="1" s="1"/>
  <c r="IZ8" i="4"/>
  <c r="IQ21" i="4"/>
  <c r="BK93" i="1" s="1"/>
  <c r="JG16" i="4"/>
  <c r="BX125" i="1"/>
  <c r="BX127" i="1" s="1"/>
  <c r="BY53" i="1"/>
  <c r="AM35" i="1"/>
  <c r="AM44" i="1"/>
  <c r="AM33" i="1"/>
  <c r="B44" i="1"/>
  <c r="B33" i="1"/>
  <c r="BY110" i="1"/>
  <c r="BY111" i="1"/>
  <c r="BY112" i="1"/>
  <c r="W248" i="1"/>
  <c r="W249" i="1" s="1"/>
  <c r="X46" i="1"/>
  <c r="X266" i="1"/>
  <c r="W50" i="1"/>
  <c r="W54" i="1" s="1"/>
  <c r="W46" i="1"/>
  <c r="W45" i="1"/>
  <c r="W128" i="1"/>
  <c r="W266" i="1"/>
  <c r="BX33" i="1"/>
  <c r="CB34" i="1"/>
  <c r="BY35" i="1"/>
  <c r="BX44" i="1"/>
  <c r="Q33" i="1"/>
  <c r="R34" i="1"/>
  <c r="Q34" i="1"/>
  <c r="AL248" i="1"/>
  <c r="AL249" i="1" s="1"/>
  <c r="AL50" i="1"/>
  <c r="AL54" i="1" s="1"/>
  <c r="AL56" i="1" s="1"/>
  <c r="AL45" i="1"/>
  <c r="F33" i="1"/>
  <c r="G34" i="1"/>
  <c r="F34" i="1"/>
  <c r="AJ248" i="1"/>
  <c r="AJ249" i="1" s="1"/>
  <c r="AJ45" i="1"/>
  <c r="AJ50" i="1"/>
  <c r="AJ54" i="1" s="1"/>
  <c r="AJ182" i="1"/>
  <c r="AJ214" i="1"/>
  <c r="AL181" i="1"/>
  <c r="AL182" i="1" s="1"/>
  <c r="BL49" i="1"/>
  <c r="BK154" i="1"/>
  <c r="BL219" i="1" s="1"/>
  <c r="BL217" i="1" s="1"/>
  <c r="BJ110" i="1"/>
  <c r="BJ111" i="1"/>
  <c r="BJ112" i="1"/>
  <c r="AM219" i="1"/>
  <c r="AM217" i="1" s="1"/>
  <c r="AL262" i="1"/>
  <c r="AK154" i="1"/>
  <c r="AL49" i="1"/>
  <c r="BJ126" i="1"/>
  <c r="BJ127" i="1"/>
  <c r="AL110" i="1"/>
  <c r="AL111" i="1"/>
  <c r="AL125" i="1"/>
  <c r="AM53" i="1"/>
  <c r="AJ219" i="1"/>
  <c r="AJ217" i="1" s="1"/>
  <c r="BJ202" i="1"/>
  <c r="BJ197" i="1"/>
  <c r="AL197" i="1"/>
  <c r="AL202" i="1"/>
  <c r="BX126" i="1"/>
  <c r="CN48" i="1"/>
  <c r="CS93" i="1"/>
  <c r="AB179" i="1"/>
  <c r="CP81" i="1"/>
  <c r="CQ79" i="1"/>
  <c r="AC133" i="1"/>
  <c r="AC165" i="1"/>
  <c r="CB241" i="1"/>
  <c r="BQ1" i="1"/>
  <c r="BR1" i="1" s="1"/>
  <c r="BS1" i="1" s="1"/>
  <c r="BT1" i="1" s="1"/>
  <c r="AL266" i="1" l="1"/>
  <c r="AL267" i="1" s="1"/>
  <c r="V57" i="1"/>
  <c r="V56" i="1"/>
  <c r="D45" i="1"/>
  <c r="D248" i="1"/>
  <c r="D249" i="1" s="1"/>
  <c r="D266" i="1"/>
  <c r="D128" i="1"/>
  <c r="D46" i="1"/>
  <c r="AK248" i="1"/>
  <c r="AK249" i="1" s="1"/>
  <c r="AL47" i="1"/>
  <c r="AM242" i="1"/>
  <c r="D50" i="1"/>
  <c r="D54" i="1" s="1"/>
  <c r="E46" i="1"/>
  <c r="C45" i="1"/>
  <c r="AK45" i="1"/>
  <c r="AK50" i="1"/>
  <c r="AK54" i="1" s="1"/>
  <c r="AK47" i="1"/>
  <c r="BX182" i="1"/>
  <c r="CE106" i="1"/>
  <c r="BL111" i="1"/>
  <c r="BL123" i="1"/>
  <c r="BL126" i="1" s="1"/>
  <c r="IZ20" i="4"/>
  <c r="BT95" i="1" s="1"/>
  <c r="BT124" i="1" s="1"/>
  <c r="IO15" i="4"/>
  <c r="JG21" i="4"/>
  <c r="CA93" i="1" s="1"/>
  <c r="IT9" i="4"/>
  <c r="IT21" i="4" s="1"/>
  <c r="BN93" i="1" s="1"/>
  <c r="AL57" i="1"/>
  <c r="AM128" i="1"/>
  <c r="AM47" i="1"/>
  <c r="AM266" i="1"/>
  <c r="AM267" i="1" s="1"/>
  <c r="AM50" i="1"/>
  <c r="AM54" i="1" s="1"/>
  <c r="AM45" i="1"/>
  <c r="AM248" i="1"/>
  <c r="AM249" i="1" s="1"/>
  <c r="B128" i="1"/>
  <c r="B45" i="1"/>
  <c r="C266" i="1"/>
  <c r="C46" i="1"/>
  <c r="W57" i="1"/>
  <c r="W56" i="1"/>
  <c r="BX45" i="1"/>
  <c r="BX50" i="1"/>
  <c r="CB46" i="1"/>
  <c r="CA128" i="1"/>
  <c r="BX248" i="1"/>
  <c r="BX249" i="1" s="1"/>
  <c r="BY47" i="1"/>
  <c r="BY266" i="1"/>
  <c r="BY267" i="1" s="1"/>
  <c r="AJ57" i="1"/>
  <c r="AJ56" i="1"/>
  <c r="AL127" i="1"/>
  <c r="AL126" i="1"/>
  <c r="AL219" i="1"/>
  <c r="AL217" i="1" s="1"/>
  <c r="AK219" i="1"/>
  <c r="AK217" i="1" s="1"/>
  <c r="V58" i="1"/>
  <c r="V261" i="1" s="1"/>
  <c r="V64" i="1"/>
  <c r="AK57" i="1"/>
  <c r="AK56" i="1"/>
  <c r="D56" i="1"/>
  <c r="CN148" i="1"/>
  <c r="CN150" i="1" s="1"/>
  <c r="CO48" i="1" s="1"/>
  <c r="CT93" i="1"/>
  <c r="AB153" i="1"/>
  <c r="AD165" i="1"/>
  <c r="AE165" i="1"/>
  <c r="AD133" i="1"/>
  <c r="AE133" i="1"/>
  <c r="CQ81" i="1"/>
  <c r="CR79" i="1"/>
  <c r="AC179" i="1"/>
  <c r="BU1" i="1"/>
  <c r="Q43" i="1"/>
  <c r="P43" i="1"/>
  <c r="O43" i="1"/>
  <c r="I43" i="1"/>
  <c r="H43" i="1"/>
  <c r="G43" i="1"/>
  <c r="U43" i="1"/>
  <c r="T43" i="1"/>
  <c r="S43" i="1"/>
  <c r="R43" i="1"/>
  <c r="N43" i="1"/>
  <c r="M43" i="1"/>
  <c r="L43" i="1"/>
  <c r="K43" i="1"/>
  <c r="J43" i="1"/>
  <c r="F43" i="1"/>
  <c r="D57" i="1" l="1"/>
  <c r="IO20" i="4"/>
  <c r="BI95" i="1" s="1"/>
  <c r="BI124" i="1" s="1"/>
  <c r="JI15" i="4"/>
  <c r="CA110" i="1"/>
  <c r="CA118" i="1"/>
  <c r="AL250" i="1"/>
  <c r="AL64" i="1"/>
  <c r="AL58" i="1"/>
  <c r="AL261" i="1" s="1"/>
  <c r="AM56" i="1"/>
  <c r="AM57" i="1"/>
  <c r="W64" i="1"/>
  <c r="W68" i="1" s="1"/>
  <c r="W250" i="1"/>
  <c r="W58" i="1"/>
  <c r="W261" i="1" s="1"/>
  <c r="W59" i="1"/>
  <c r="X59" i="1"/>
  <c r="BX54" i="1"/>
  <c r="CA71" i="1"/>
  <c r="AJ58" i="1"/>
  <c r="AJ64" i="1"/>
  <c r="AJ250" i="1"/>
  <c r="AK250" i="1"/>
  <c r="AK64" i="1"/>
  <c r="AK135" i="1" s="1"/>
  <c r="AK136" i="1" s="1"/>
  <c r="AK145" i="1" s="1"/>
  <c r="AK58" i="1"/>
  <c r="AK60" i="1"/>
  <c r="AL60" i="1"/>
  <c r="D250" i="1"/>
  <c r="D58" i="1"/>
  <c r="D64" i="1"/>
  <c r="CO210" i="1"/>
  <c r="CO148" i="1"/>
  <c r="CN154" i="1"/>
  <c r="CN210" i="1"/>
  <c r="AC93" i="1"/>
  <c r="CU93" i="1"/>
  <c r="AD179" i="1"/>
  <c r="AE179" i="1"/>
  <c r="AD156" i="1"/>
  <c r="CR81" i="1"/>
  <c r="CS79" i="1"/>
  <c r="AC153" i="1"/>
  <c r="BV1" i="1"/>
  <c r="BW1" i="1" s="1"/>
  <c r="BX1" i="1" s="1"/>
  <c r="B248" i="1"/>
  <c r="B249" i="1" s="1"/>
  <c r="BL248" i="1"/>
  <c r="BL249" i="1" s="1"/>
  <c r="G44" i="1"/>
  <c r="O44" i="1"/>
  <c r="H44" i="1"/>
  <c r="P44" i="1"/>
  <c r="I44" i="1"/>
  <c r="Q44" i="1"/>
  <c r="J44" i="1"/>
  <c r="R44" i="1"/>
  <c r="K44" i="1"/>
  <c r="S44" i="1"/>
  <c r="L44" i="1"/>
  <c r="T44" i="1"/>
  <c r="M44" i="1"/>
  <c r="U44" i="1"/>
  <c r="F44" i="1"/>
  <c r="F266" i="1" s="1"/>
  <c r="N44" i="1"/>
  <c r="AJ209" i="1" l="1"/>
  <c r="AJ211" i="1" s="1"/>
  <c r="AJ215" i="1" s="1"/>
  <c r="AJ229" i="1" s="1"/>
  <c r="JI20" i="4"/>
  <c r="CC95" i="1" s="1"/>
  <c r="HP8" i="4"/>
  <c r="AL209" i="1"/>
  <c r="AL211" i="1" s="1"/>
  <c r="AL82" i="1"/>
  <c r="AL68" i="1"/>
  <c r="AM60" i="1"/>
  <c r="AM58" i="1"/>
  <c r="AM261" i="1" s="1"/>
  <c r="AM243" i="1"/>
  <c r="AM250" i="1"/>
  <c r="BX56" i="1"/>
  <c r="BX57" i="1"/>
  <c r="AJ223" i="1"/>
  <c r="AJ221" i="1" s="1"/>
  <c r="AJ226" i="1" s="1"/>
  <c r="AJ227" i="1" s="1"/>
  <c r="AJ68" i="1"/>
  <c r="AJ82" i="1"/>
  <c r="T266" i="1"/>
  <c r="P266" i="1"/>
  <c r="D209" i="1"/>
  <c r="D211" i="1" s="1"/>
  <c r="D68" i="1"/>
  <c r="AK209" i="1"/>
  <c r="AK211" i="1" s="1"/>
  <c r="AK82" i="1"/>
  <c r="AK68" i="1"/>
  <c r="M266" i="1"/>
  <c r="R266" i="1"/>
  <c r="I266" i="1"/>
  <c r="K266" i="1"/>
  <c r="G266" i="1"/>
  <c r="H266" i="1"/>
  <c r="L266" i="1"/>
  <c r="S266" i="1"/>
  <c r="O266" i="1"/>
  <c r="J266" i="1"/>
  <c r="N266" i="1"/>
  <c r="U266" i="1"/>
  <c r="V266" i="1"/>
  <c r="Q266" i="1"/>
  <c r="R128" i="1"/>
  <c r="S46" i="1"/>
  <c r="T128" i="1"/>
  <c r="U46" i="1"/>
  <c r="U128" i="1"/>
  <c r="V46" i="1"/>
  <c r="P128" i="1"/>
  <c r="Q46" i="1"/>
  <c r="Q128" i="1"/>
  <c r="R46" i="1"/>
  <c r="I128" i="1"/>
  <c r="J46" i="1"/>
  <c r="S128" i="1"/>
  <c r="T46" i="1"/>
  <c r="H128" i="1"/>
  <c r="I46" i="1"/>
  <c r="E128" i="1"/>
  <c r="F46" i="1"/>
  <c r="L128" i="1"/>
  <c r="M46" i="1"/>
  <c r="O128" i="1"/>
  <c r="P46" i="1"/>
  <c r="N128" i="1"/>
  <c r="O46" i="1"/>
  <c r="K128" i="1"/>
  <c r="L46" i="1"/>
  <c r="F128" i="1"/>
  <c r="G46" i="1"/>
  <c r="G128" i="1"/>
  <c r="H46" i="1"/>
  <c r="M128" i="1"/>
  <c r="N46" i="1"/>
  <c r="J128" i="1"/>
  <c r="K46" i="1"/>
  <c r="CN219" i="1"/>
  <c r="CN217" i="1" s="1"/>
  <c r="CO150" i="1"/>
  <c r="CV93" i="1"/>
  <c r="AD218" i="1"/>
  <c r="AB158" i="1"/>
  <c r="AE153" i="1"/>
  <c r="AD153" i="1"/>
  <c r="CT79" i="1"/>
  <c r="CS81" i="1"/>
  <c r="C128" i="1"/>
  <c r="BY1" i="1"/>
  <c r="L45" i="1"/>
  <c r="N45" i="1"/>
  <c r="F45" i="1"/>
  <c r="O45" i="1"/>
  <c r="U50" i="1"/>
  <c r="U54" i="1" s="1"/>
  <c r="U45" i="1"/>
  <c r="G45" i="1"/>
  <c r="S45" i="1"/>
  <c r="M45" i="1"/>
  <c r="R45" i="1"/>
  <c r="J45" i="1"/>
  <c r="I45" i="1"/>
  <c r="P45" i="1"/>
  <c r="H45" i="1"/>
  <c r="K45" i="1"/>
  <c r="T45" i="1"/>
  <c r="Q45" i="1"/>
  <c r="T248" i="1"/>
  <c r="T249" i="1" s="1"/>
  <c r="Q248" i="1"/>
  <c r="Q249" i="1" s="1"/>
  <c r="K248" i="1"/>
  <c r="K249" i="1" s="1"/>
  <c r="O248" i="1"/>
  <c r="O249" i="1" s="1"/>
  <c r="U248" i="1"/>
  <c r="U249" i="1" s="1"/>
  <c r="L248" i="1"/>
  <c r="L249" i="1" s="1"/>
  <c r="C248" i="1"/>
  <c r="C249" i="1" s="1"/>
  <c r="I248" i="1"/>
  <c r="I249" i="1" s="1"/>
  <c r="G248" i="1"/>
  <c r="G249" i="1" s="1"/>
  <c r="R248" i="1"/>
  <c r="R249" i="1" s="1"/>
  <c r="P248" i="1"/>
  <c r="P249" i="1" s="1"/>
  <c r="F248" i="1"/>
  <c r="F249" i="1" s="1"/>
  <c r="M248" i="1"/>
  <c r="M249" i="1" s="1"/>
  <c r="N248" i="1"/>
  <c r="N249" i="1" s="1"/>
  <c r="E248" i="1"/>
  <c r="E249" i="1" s="1"/>
  <c r="S248" i="1"/>
  <c r="S249" i="1" s="1"/>
  <c r="J248" i="1"/>
  <c r="J249" i="1" s="1"/>
  <c r="H248" i="1"/>
  <c r="H249" i="1" s="1"/>
  <c r="B50" i="1"/>
  <c r="L50" i="1"/>
  <c r="Q50" i="1"/>
  <c r="T50" i="1"/>
  <c r="N50" i="1"/>
  <c r="S50" i="1"/>
  <c r="F50" i="1"/>
  <c r="K50" i="1"/>
  <c r="H50" i="1"/>
  <c r="I50" i="1"/>
  <c r="P50" i="1"/>
  <c r="C50" i="1"/>
  <c r="O50" i="1"/>
  <c r="R50" i="1"/>
  <c r="M50" i="1"/>
  <c r="G50" i="1"/>
  <c r="E50" i="1"/>
  <c r="J50" i="1"/>
  <c r="CB59" i="1" l="1"/>
  <c r="BX250" i="1"/>
  <c r="BX58" i="1"/>
  <c r="BX261" i="1" s="1"/>
  <c r="BX64" i="1"/>
  <c r="BY60" i="1"/>
  <c r="CC124" i="1"/>
  <c r="CC103" i="1"/>
  <c r="CC112" i="1"/>
  <c r="CC120" i="1"/>
  <c r="HP20" i="4"/>
  <c r="AJ95" i="1" s="1"/>
  <c r="JG15" i="4"/>
  <c r="CA70" i="1"/>
  <c r="BX82" i="1"/>
  <c r="CA85" i="1" s="1"/>
  <c r="BX209" i="1"/>
  <c r="BX211" i="1" s="1"/>
  <c r="BX68" i="1"/>
  <c r="AK223" i="1"/>
  <c r="AK221" i="1" s="1"/>
  <c r="AL223" i="1"/>
  <c r="AL221" i="1" s="1"/>
  <c r="BK180" i="1"/>
  <c r="BM180" i="1"/>
  <c r="CO154" i="1"/>
  <c r="CP48" i="1"/>
  <c r="CW93" i="1"/>
  <c r="AE156" i="1"/>
  <c r="AE218" i="1" s="1"/>
  <c r="CT81" i="1"/>
  <c r="CU79" i="1"/>
  <c r="BZ1" i="1"/>
  <c r="U57" i="1"/>
  <c r="V59" i="1" s="1"/>
  <c r="U56" i="1"/>
  <c r="P54" i="1"/>
  <c r="P57" i="1" s="1"/>
  <c r="R54" i="1"/>
  <c r="R57" i="1" s="1"/>
  <c r="E54" i="1"/>
  <c r="S54" i="1"/>
  <c r="S56" i="1" s="1"/>
  <c r="G54" i="1"/>
  <c r="G57" i="1" s="1"/>
  <c r="K54" i="1"/>
  <c r="K57" i="1" s="1"/>
  <c r="B54" i="1"/>
  <c r="O54" i="1"/>
  <c r="O57" i="1" s="1"/>
  <c r="H54" i="1"/>
  <c r="H57" i="1" s="1"/>
  <c r="N54" i="1"/>
  <c r="N57" i="1" s="1"/>
  <c r="L54" i="1"/>
  <c r="L56" i="1" s="1"/>
  <c r="C54" i="1"/>
  <c r="M54" i="1"/>
  <c r="M56" i="1" s="1"/>
  <c r="T54" i="1"/>
  <c r="T57" i="1" s="1"/>
  <c r="F54" i="1"/>
  <c r="F56" i="1" s="1"/>
  <c r="J54" i="1"/>
  <c r="J56" i="1" s="1"/>
  <c r="I54" i="1"/>
  <c r="I56" i="1" s="1"/>
  <c r="Q54" i="1"/>
  <c r="Q57" i="1" s="1"/>
  <c r="V250" i="1"/>
  <c r="JG20" i="4" l="1"/>
  <c r="CA95" i="1" s="1"/>
  <c r="IN7" i="4"/>
  <c r="R59" i="1"/>
  <c r="CE86" i="1"/>
  <c r="CA103" i="1"/>
  <c r="CA102" i="1"/>
  <c r="CD106" i="1" s="1"/>
  <c r="BW105" i="1"/>
  <c r="CA101" i="1"/>
  <c r="U59" i="1"/>
  <c r="O59" i="1"/>
  <c r="AB48" i="1"/>
  <c r="B57" i="1"/>
  <c r="B56" i="1"/>
  <c r="C57" i="1"/>
  <c r="C56" i="1"/>
  <c r="E57" i="1"/>
  <c r="E64" i="1" s="1"/>
  <c r="E56" i="1"/>
  <c r="P59" i="1"/>
  <c r="H59" i="1"/>
  <c r="Q59" i="1"/>
  <c r="BJ181" i="1"/>
  <c r="BJ182" i="1" s="1"/>
  <c r="BL181" i="1"/>
  <c r="BL182" i="1" s="1"/>
  <c r="CP210" i="1"/>
  <c r="CP148" i="1"/>
  <c r="CO219" i="1"/>
  <c r="CO217" i="1" s="1"/>
  <c r="CX93" i="1"/>
  <c r="CV79" i="1"/>
  <c r="CU81" i="1"/>
  <c r="CA1" i="1"/>
  <c r="CB1" i="1" s="1"/>
  <c r="O56" i="1"/>
  <c r="BL250" i="1"/>
  <c r="S57" i="1"/>
  <c r="U58" i="1"/>
  <c r="U261" i="1" s="1"/>
  <c r="P58" i="1"/>
  <c r="P261" i="1" s="1"/>
  <c r="Q64" i="1"/>
  <c r="Q58" i="1"/>
  <c r="Q261" i="1" s="1"/>
  <c r="L57" i="1"/>
  <c r="P56" i="1"/>
  <c r="H58" i="1"/>
  <c r="H261" i="1" s="1"/>
  <c r="G58" i="1"/>
  <c r="G261" i="1" s="1"/>
  <c r="U64" i="1"/>
  <c r="N58" i="1"/>
  <c r="N261" i="1" s="1"/>
  <c r="R58" i="1"/>
  <c r="R261" i="1" s="1"/>
  <c r="K58" i="1"/>
  <c r="K261" i="1" s="1"/>
  <c r="O64" i="1"/>
  <c r="O58" i="1"/>
  <c r="O261" i="1" s="1"/>
  <c r="T64" i="1"/>
  <c r="T58" i="1"/>
  <c r="T261" i="1" s="1"/>
  <c r="R56" i="1"/>
  <c r="K56" i="1"/>
  <c r="N56" i="1"/>
  <c r="G56" i="1"/>
  <c r="H56" i="1"/>
  <c r="J57" i="1"/>
  <c r="K59" i="1" s="1"/>
  <c r="M57" i="1"/>
  <c r="N59" i="1" s="1"/>
  <c r="T56" i="1"/>
  <c r="F57" i="1"/>
  <c r="G59" i="1" s="1"/>
  <c r="I57" i="1"/>
  <c r="I59" i="1" s="1"/>
  <c r="O250" i="1"/>
  <c r="Q56" i="1"/>
  <c r="P250" i="1"/>
  <c r="P64" i="1"/>
  <c r="K250" i="1"/>
  <c r="K64" i="1"/>
  <c r="H250" i="1"/>
  <c r="H64" i="1"/>
  <c r="R64" i="1"/>
  <c r="N64" i="1"/>
  <c r="G64" i="1"/>
  <c r="G250" i="1"/>
  <c r="R250" i="1"/>
  <c r="N250" i="1"/>
  <c r="Q250" i="1"/>
  <c r="U250" i="1"/>
  <c r="T250" i="1"/>
  <c r="V68" i="1"/>
  <c r="V209" i="1"/>
  <c r="V211" i="1" s="1"/>
  <c r="CA120" i="1" l="1"/>
  <c r="CA124" i="1"/>
  <c r="CA112" i="1"/>
  <c r="IN19" i="4"/>
  <c r="BH94" i="1" s="1"/>
  <c r="BH123" i="1" s="1"/>
  <c r="IF14" i="4"/>
  <c r="IF19" i="4" s="1"/>
  <c r="AZ94" i="1" s="1"/>
  <c r="AZ123" i="1" s="1"/>
  <c r="E250" i="1"/>
  <c r="AB210" i="1"/>
  <c r="E58" i="1"/>
  <c r="E261" i="1" s="1"/>
  <c r="E59" i="1"/>
  <c r="D59" i="1"/>
  <c r="C58" i="1"/>
  <c r="B58" i="1"/>
  <c r="C59" i="1"/>
  <c r="F59" i="1"/>
  <c r="M59" i="1"/>
  <c r="S58" i="1"/>
  <c r="S261" i="1" s="1"/>
  <c r="T59" i="1"/>
  <c r="L59" i="1"/>
  <c r="J59" i="1"/>
  <c r="S59" i="1"/>
  <c r="AB148" i="1"/>
  <c r="AB150" i="1" s="1"/>
  <c r="AB49" i="1" s="1"/>
  <c r="CP150" i="1"/>
  <c r="AD93" i="1"/>
  <c r="CY93" i="1"/>
  <c r="CV81" i="1"/>
  <c r="CW79" i="1"/>
  <c r="CC1" i="1"/>
  <c r="K68" i="1"/>
  <c r="G68" i="1"/>
  <c r="E68" i="1"/>
  <c r="S64" i="1"/>
  <c r="S250" i="1"/>
  <c r="L250" i="1"/>
  <c r="L64" i="1"/>
  <c r="O209" i="1"/>
  <c r="O211" i="1" s="1"/>
  <c r="O68" i="1"/>
  <c r="B250" i="1"/>
  <c r="B64" i="1"/>
  <c r="M64" i="1"/>
  <c r="M58" i="1"/>
  <c r="M261" i="1" s="1"/>
  <c r="C250" i="1"/>
  <c r="I64" i="1"/>
  <c r="I58" i="1"/>
  <c r="I261" i="1" s="1"/>
  <c r="J64" i="1"/>
  <c r="J58" i="1"/>
  <c r="J261" i="1" s="1"/>
  <c r="F64" i="1"/>
  <c r="F58" i="1"/>
  <c r="F261" i="1" s="1"/>
  <c r="L58" i="1"/>
  <c r="L261" i="1" s="1"/>
  <c r="J250" i="1"/>
  <c r="E209" i="1"/>
  <c r="E211" i="1" s="1"/>
  <c r="R209" i="1"/>
  <c r="R211" i="1" s="1"/>
  <c r="M250" i="1"/>
  <c r="R68" i="1"/>
  <c r="I250" i="1"/>
  <c r="H68" i="1"/>
  <c r="H209" i="1"/>
  <c r="H211" i="1" s="1"/>
  <c r="F250" i="1"/>
  <c r="C64" i="1"/>
  <c r="N209" i="1"/>
  <c r="N211" i="1" s="1"/>
  <c r="N68" i="1"/>
  <c r="G209" i="1"/>
  <c r="G211" i="1" s="1"/>
  <c r="P68" i="1"/>
  <c r="K209" i="1"/>
  <c r="K211" i="1" s="1"/>
  <c r="P209" i="1"/>
  <c r="P211" i="1" s="1"/>
  <c r="U68" i="1"/>
  <c r="U209" i="1"/>
  <c r="U211" i="1" s="1"/>
  <c r="Q68" i="1"/>
  <c r="Q209" i="1"/>
  <c r="Q211" i="1" s="1"/>
  <c r="T68" i="1"/>
  <c r="T209" i="1"/>
  <c r="T211" i="1" s="1"/>
  <c r="CP154" i="1" l="1"/>
  <c r="CP219" i="1" s="1"/>
  <c r="CP217" i="1" s="1"/>
  <c r="CQ48" i="1"/>
  <c r="CZ93" i="1"/>
  <c r="AC158" i="1"/>
  <c r="CX79" i="1"/>
  <c r="CW81" i="1"/>
  <c r="CD1" i="1"/>
  <c r="CE1" i="1" s="1"/>
  <c r="CF1" i="1" s="1"/>
  <c r="CG1" i="1" s="1"/>
  <c r="CH1" i="1" s="1"/>
  <c r="CI1" i="1" s="1"/>
  <c r="CJ1" i="1" s="1"/>
  <c r="CK1" i="1" s="1"/>
  <c r="L209" i="1"/>
  <c r="L211" i="1" s="1"/>
  <c r="J209" i="1"/>
  <c r="J211" i="1" s="1"/>
  <c r="M209" i="1"/>
  <c r="M211" i="1" s="1"/>
  <c r="B68" i="1"/>
  <c r="F68" i="1"/>
  <c r="I68" i="1"/>
  <c r="C68" i="1"/>
  <c r="L68" i="1"/>
  <c r="S68" i="1"/>
  <c r="J68" i="1"/>
  <c r="S209" i="1"/>
  <c r="S211" i="1" s="1"/>
  <c r="M68" i="1"/>
  <c r="I209" i="1"/>
  <c r="I211" i="1" s="1"/>
  <c r="F209" i="1"/>
  <c r="F211" i="1" s="1"/>
  <c r="C209" i="1"/>
  <c r="C21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P50" i="2"/>
  <c r="F55" i="2"/>
  <c r="P83" i="2"/>
  <c r="L84" i="2"/>
  <c r="R90" i="2"/>
  <c r="X83" i="2"/>
  <c r="G90" i="2"/>
  <c r="C41" i="2"/>
  <c r="F105" i="2"/>
  <c r="W63" i="2"/>
  <c r="P63" i="2"/>
  <c r="P109" i="2"/>
  <c r="C67" i="2"/>
  <c r="G96" i="2"/>
  <c r="M76" i="2"/>
  <c r="T50" i="2"/>
  <c r="C84" i="2"/>
  <c r="U53" i="2"/>
  <c r="R55" i="2"/>
  <c r="F87" i="2"/>
  <c r="U81" i="2"/>
  <c r="D81" i="2"/>
  <c r="J94" i="2"/>
  <c r="F72" i="2"/>
  <c r="P98" i="2"/>
  <c r="H44" i="2"/>
  <c r="T46" i="2"/>
  <c r="X96" i="2"/>
  <c r="I47" i="2"/>
  <c r="S49" i="2"/>
  <c r="F51" i="2"/>
  <c r="G93" i="2"/>
  <c r="P108" i="2"/>
  <c r="S71" i="2"/>
  <c r="C106" i="2"/>
  <c r="T82" i="2"/>
  <c r="J105" i="2"/>
  <c r="E50" i="2"/>
  <c r="V66" i="2"/>
  <c r="X56" i="2"/>
  <c r="M72" i="2"/>
  <c r="N113" i="2"/>
  <c r="J86" i="2"/>
  <c r="G56" i="2"/>
  <c r="G87" i="2"/>
  <c r="X43" i="2"/>
  <c r="X53" i="2"/>
  <c r="D67" i="2"/>
  <c r="T109" i="2"/>
  <c r="E73" i="2"/>
  <c r="D75" i="2"/>
  <c r="W104" i="2"/>
  <c r="C61" i="2"/>
  <c r="G70" i="2"/>
  <c r="I40" i="2"/>
  <c r="O50" i="2"/>
  <c r="C95" i="2"/>
  <c r="T110" i="2"/>
  <c r="M59" i="2"/>
  <c r="C87" i="2"/>
  <c r="AB59" i="3"/>
  <c r="AP55" i="3"/>
  <c r="AP58" i="3"/>
  <c r="AP76" i="3"/>
  <c r="AP49" i="3"/>
  <c r="S7" i="3"/>
  <c r="L19" i="3"/>
  <c r="AQ13" i="3"/>
  <c r="AO33" i="3"/>
  <c r="J41" i="3"/>
  <c r="E49" i="3"/>
  <c r="P34" i="3"/>
  <c r="AE31" i="3"/>
  <c r="AE24" i="3"/>
  <c r="AH13" i="3"/>
  <c r="K40" i="3"/>
  <c r="AQ38" i="3"/>
  <c r="Y6" i="3"/>
  <c r="G37" i="3"/>
  <c r="S35" i="3"/>
  <c r="Q33" i="3"/>
  <c r="AI21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W48" i="2"/>
  <c r="V106" i="2"/>
  <c r="P55" i="2"/>
  <c r="U54" i="2"/>
  <c r="U80" i="2"/>
  <c r="U74" i="2"/>
  <c r="T64" i="2"/>
  <c r="S109" i="2"/>
  <c r="R53" i="2"/>
  <c r="J71" i="2"/>
  <c r="J50" i="2"/>
  <c r="J78" i="2"/>
  <c r="D53" i="2"/>
  <c r="I91" i="2"/>
  <c r="M46" i="2"/>
  <c r="Q66" i="2"/>
  <c r="T99" i="2"/>
  <c r="T65" i="2"/>
  <c r="E43" i="2"/>
  <c r="F42" i="2"/>
  <c r="Q68" i="2"/>
  <c r="P111" i="2"/>
  <c r="W68" i="2"/>
  <c r="P81" i="2"/>
  <c r="C47" i="2"/>
  <c r="D76" i="2"/>
  <c r="E92" i="2"/>
  <c r="W107" i="2"/>
  <c r="T79" i="2"/>
  <c r="W111" i="2"/>
  <c r="V94" i="2"/>
  <c r="J76" i="2"/>
  <c r="X42" i="2"/>
  <c r="N108" i="2"/>
  <c r="O110" i="2"/>
  <c r="E83" i="2"/>
  <c r="W41" i="2"/>
  <c r="J111" i="2"/>
  <c r="J44" i="2"/>
  <c r="P89" i="2"/>
  <c r="E88" i="2"/>
  <c r="I87" i="2"/>
  <c r="W82" i="2"/>
  <c r="C90" i="2"/>
  <c r="P93" i="2"/>
  <c r="H68" i="2"/>
  <c r="W76" i="2"/>
  <c r="T86" i="2"/>
  <c r="I110" i="2"/>
  <c r="D56" i="2"/>
  <c r="F45" i="2"/>
  <c r="T74" i="2"/>
  <c r="T105" i="2"/>
  <c r="R99" i="2"/>
  <c r="R40" i="2"/>
  <c r="L67" i="2"/>
  <c r="W96" i="2"/>
  <c r="U64" i="2"/>
  <c r="G83" i="2"/>
  <c r="AB65" i="3"/>
  <c r="C48" i="3"/>
  <c r="AP59" i="3"/>
  <c r="AB63" i="3"/>
  <c r="AB49" i="3"/>
  <c r="AB76" i="3"/>
  <c r="W5" i="3"/>
  <c r="N24" i="3"/>
  <c r="U21" i="3"/>
  <c r="AL20" i="3"/>
  <c r="AO39" i="3"/>
  <c r="Z6" i="3"/>
  <c r="W22" i="3"/>
  <c r="AC39" i="3"/>
  <c r="AE32" i="3"/>
  <c r="AE9" i="3"/>
  <c r="U15" i="3"/>
  <c r="R35" i="3"/>
  <c r="Z25" i="3"/>
  <c r="N39" i="3"/>
  <c r="AE25" i="3"/>
  <c r="AD20" i="3"/>
  <c r="AI30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Q20" i="3"/>
  <c r="AP27" i="3"/>
  <c r="AD34" i="3"/>
  <c r="V10" i="3"/>
  <c r="X41" i="3"/>
  <c r="M14" i="3"/>
  <c r="J22" i="3"/>
  <c r="AJ9" i="3"/>
  <c r="V37" i="3"/>
  <c r="AK16" i="3"/>
  <c r="U17" i="3"/>
  <c r="X23" i="3"/>
  <c r="N41" i="3"/>
  <c r="H22" i="3"/>
  <c r="AO27" i="3"/>
  <c r="O113" i="2"/>
  <c r="I85" i="2"/>
  <c r="S104" i="2"/>
  <c r="O40" i="2"/>
  <c r="F71" i="2"/>
  <c r="L51" i="2"/>
  <c r="S79" i="2"/>
  <c r="E58" i="2"/>
  <c r="X47" i="2"/>
  <c r="S84" i="2"/>
  <c r="X110" i="2"/>
  <c r="S97" i="2"/>
  <c r="H98" i="2"/>
  <c r="M73" i="2"/>
  <c r="H92" i="2"/>
  <c r="J97" i="2"/>
  <c r="Q61" i="2"/>
  <c r="F56" i="2"/>
  <c r="H58" i="2"/>
  <c r="F77" i="2"/>
  <c r="S42" i="2"/>
  <c r="E48" i="2"/>
  <c r="AK5" i="3"/>
  <c r="AH16" i="3"/>
  <c r="AI11" i="3"/>
  <c r="AQ18" i="3"/>
  <c r="U11" i="3"/>
  <c r="AE34" i="3"/>
  <c r="V41" i="3"/>
  <c r="Y11" i="3"/>
  <c r="J42" i="3"/>
  <c r="AN37" i="3"/>
  <c r="M13" i="3"/>
  <c r="Y19" i="3"/>
  <c r="H9" i="3"/>
  <c r="AG10" i="3"/>
  <c r="AA21" i="3"/>
  <c r="J38" i="3"/>
  <c r="O24" i="3"/>
  <c r="U37" i="3"/>
  <c r="C27" i="3"/>
  <c r="AQ41" i="3"/>
  <c r="W35" i="3"/>
  <c r="T12" i="3"/>
  <c r="AJ13" i="3"/>
  <c r="Z29" i="3"/>
  <c r="AO16" i="3"/>
  <c r="AH28" i="3"/>
  <c r="AQ15" i="3"/>
  <c r="Q15" i="3"/>
  <c r="L15" i="3"/>
  <c r="I12" i="3"/>
  <c r="X17" i="3"/>
  <c r="Y29" i="3"/>
  <c r="AN11" i="3"/>
  <c r="AH38" i="3"/>
  <c r="V21" i="3"/>
  <c r="K27" i="3"/>
  <c r="T18" i="3"/>
  <c r="AI40" i="3"/>
  <c r="N23" i="3"/>
  <c r="AJ40" i="3"/>
  <c r="AJ27" i="3"/>
  <c r="N27" i="3"/>
  <c r="J54" i="2"/>
  <c r="V55" i="2"/>
  <c r="M48" i="2"/>
  <c r="J109" i="2"/>
  <c r="K54" i="2"/>
  <c r="X106" i="2"/>
  <c r="P66" i="2"/>
  <c r="T84" i="2"/>
  <c r="G107" i="2"/>
  <c r="E86" i="2"/>
  <c r="I41" i="2"/>
  <c r="J93" i="2"/>
  <c r="D50" i="2"/>
  <c r="M105" i="2"/>
  <c r="N112" i="2"/>
  <c r="D88" i="2"/>
  <c r="L48" i="2"/>
  <c r="C71" i="2"/>
  <c r="X90" i="2"/>
  <c r="J82" i="2"/>
  <c r="R57" i="2"/>
  <c r="F106" i="2"/>
  <c r="S108" i="2"/>
  <c r="E41" i="2"/>
  <c r="U62" i="2"/>
  <c r="G57" i="2"/>
  <c r="O90" i="2"/>
  <c r="F68" i="2"/>
  <c r="U67" i="2"/>
  <c r="U63" i="2"/>
  <c r="U73" i="2"/>
  <c r="S88" i="2"/>
  <c r="W80" i="2"/>
  <c r="R83" i="2"/>
  <c r="S72" i="2"/>
  <c r="H71" i="2"/>
  <c r="G88" i="2"/>
  <c r="X76" i="2"/>
  <c r="M43" i="2"/>
  <c r="N86" i="2"/>
  <c r="J69" i="2"/>
  <c r="D60" i="2"/>
  <c r="X48" i="2"/>
  <c r="Q80" i="2"/>
  <c r="O79" i="2"/>
  <c r="J77" i="2"/>
  <c r="C40" i="2"/>
  <c r="E113" i="2"/>
  <c r="H63" i="2"/>
  <c r="S65" i="2"/>
  <c r="J88" i="2"/>
  <c r="I88" i="2"/>
  <c r="T58" i="2"/>
  <c r="P56" i="2"/>
  <c r="N70" i="2"/>
  <c r="S66" i="2"/>
  <c r="U65" i="2"/>
  <c r="X68" i="2"/>
  <c r="M47" i="2"/>
  <c r="AB83" i="3"/>
  <c r="AB78" i="3"/>
  <c r="AP71" i="3"/>
  <c r="AP92" i="3"/>
  <c r="AB97" i="3"/>
  <c r="AP69" i="3"/>
  <c r="P32" i="3"/>
  <c r="M35" i="3"/>
  <c r="P39" i="3"/>
  <c r="AM32" i="3"/>
  <c r="AL41" i="3"/>
  <c r="N15" i="3"/>
  <c r="Q36" i="3"/>
  <c r="I23" i="3"/>
  <c r="C7" i="3"/>
  <c r="I19" i="3"/>
  <c r="O38" i="3"/>
  <c r="L37" i="3"/>
  <c r="AA12" i="3"/>
  <c r="I16" i="3"/>
  <c r="H13" i="3"/>
  <c r="Q35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C4" i="3"/>
  <c r="K94" i="2"/>
  <c r="P60" i="2"/>
  <c r="R107" i="2"/>
  <c r="D68" i="2"/>
  <c r="T57" i="2"/>
  <c r="Q51" i="2"/>
  <c r="P92" i="2"/>
  <c r="E77" i="2"/>
  <c r="T63" i="2"/>
  <c r="C91" i="2"/>
  <c r="AB81" i="3"/>
  <c r="AB48" i="3"/>
  <c r="C47" i="3"/>
  <c r="AP82" i="3"/>
  <c r="AB86" i="3"/>
  <c r="AB84" i="3"/>
  <c r="K13" i="3"/>
  <c r="Z19" i="3"/>
  <c r="AP10" i="3"/>
  <c r="S31" i="3"/>
  <c r="AH21" i="3"/>
  <c r="P10" i="3"/>
  <c r="Z15" i="3"/>
  <c r="AA9" i="3"/>
  <c r="AE21" i="3"/>
  <c r="W21" i="3"/>
  <c r="X35" i="3"/>
  <c r="U31" i="3"/>
  <c r="AC36" i="3"/>
  <c r="M33" i="3"/>
  <c r="O11" i="3"/>
  <c r="I7" i="3"/>
  <c r="Z37" i="3"/>
  <c r="E109" i="2"/>
  <c r="T108" i="2"/>
  <c r="C92" i="2"/>
  <c r="P76" i="2"/>
  <c r="R109" i="2"/>
  <c r="E110" i="2"/>
  <c r="W108" i="2"/>
  <c r="S57" i="2"/>
  <c r="V49" i="2"/>
  <c r="O41" i="2"/>
  <c r="S77" i="2"/>
  <c r="D62" i="2"/>
  <c r="M97" i="2"/>
  <c r="M92" i="2"/>
  <c r="W73" i="2"/>
  <c r="Q87" i="2"/>
  <c r="C96" i="2"/>
  <c r="I92" i="2"/>
  <c r="S53" i="2"/>
  <c r="P87" i="2"/>
  <c r="G84" i="2"/>
  <c r="I66" i="2"/>
  <c r="V92" i="2"/>
  <c r="T94" i="2"/>
  <c r="U78" i="2"/>
  <c r="X72" i="2"/>
  <c r="E85" i="2"/>
  <c r="C43" i="2"/>
  <c r="W54" i="2"/>
  <c r="M94" i="2"/>
  <c r="O96" i="2"/>
  <c r="C60" i="2"/>
  <c r="X89" i="2"/>
  <c r="W67" i="2"/>
  <c r="U90" i="2"/>
  <c r="U77" i="2"/>
  <c r="F43" i="2"/>
  <c r="L96" i="2"/>
  <c r="R72" i="2"/>
  <c r="N106" i="2"/>
  <c r="E44" i="2"/>
  <c r="C93" i="2"/>
  <c r="T56" i="2"/>
  <c r="D58" i="2"/>
  <c r="S83" i="2"/>
  <c r="K112" i="2"/>
  <c r="K78" i="2"/>
  <c r="K85" i="2"/>
  <c r="V68" i="2"/>
  <c r="I69" i="2"/>
  <c r="G42" i="2"/>
  <c r="K73" i="2"/>
  <c r="D41" i="2"/>
  <c r="G76" i="2"/>
  <c r="C79" i="2"/>
  <c r="X109" i="2"/>
  <c r="P45" i="2"/>
  <c r="F82" i="2"/>
  <c r="L97" i="2"/>
  <c r="AP68" i="3"/>
  <c r="AB55" i="3"/>
  <c r="AP78" i="3"/>
  <c r="AB62" i="3"/>
  <c r="C49" i="3"/>
  <c r="AP73" i="3"/>
  <c r="I22" i="3"/>
  <c r="AJ38" i="3"/>
  <c r="R18" i="3"/>
  <c r="AQ39" i="3"/>
  <c r="R25" i="3"/>
  <c r="X31" i="3"/>
  <c r="AB19" i="3"/>
  <c r="X12" i="3"/>
  <c r="AB20" i="3"/>
  <c r="AA25" i="3"/>
  <c r="G42" i="3"/>
  <c r="AP19" i="3"/>
  <c r="AM25" i="3"/>
  <c r="AG17" i="3"/>
  <c r="AO20" i="3"/>
  <c r="Q3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Y10" i="3"/>
  <c r="AP24" i="3"/>
  <c r="AP29" i="3"/>
  <c r="C10" i="3"/>
  <c r="AL14" i="3"/>
  <c r="V17" i="3"/>
  <c r="AH9" i="3"/>
  <c r="AM36" i="3"/>
  <c r="C18" i="3"/>
  <c r="W39" i="3"/>
  <c r="AI26" i="3"/>
  <c r="V19" i="3"/>
  <c r="AJ6" i="3"/>
  <c r="AO40" i="3"/>
  <c r="S69" i="2"/>
  <c r="O48" i="2"/>
  <c r="J61" i="2"/>
  <c r="D93" i="2"/>
  <c r="G109" i="2"/>
  <c r="X73" i="2"/>
  <c r="X75" i="2"/>
  <c r="J41" i="2"/>
  <c r="X50" i="2"/>
  <c r="C58" i="2"/>
  <c r="P42" i="2"/>
  <c r="K45" i="2"/>
  <c r="Q99" i="2"/>
  <c r="O105" i="2"/>
  <c r="T80" i="2"/>
  <c r="P62" i="2"/>
  <c r="Q88" i="2"/>
  <c r="F60" i="2"/>
  <c r="X51" i="2"/>
  <c r="V84" i="2"/>
  <c r="I46" i="2"/>
  <c r="J64" i="2"/>
  <c r="M95" i="2"/>
  <c r="D95" i="2"/>
  <c r="U106" i="2"/>
  <c r="O111" i="2"/>
  <c r="G49" i="2"/>
  <c r="M34" i="3"/>
  <c r="AM21" i="3"/>
  <c r="AC27" i="3"/>
  <c r="AD32" i="3"/>
  <c r="AN25" i="3"/>
  <c r="O16" i="3"/>
  <c r="H36" i="3"/>
  <c r="AN7" i="3"/>
  <c r="R20" i="3"/>
  <c r="Y30" i="3"/>
  <c r="AI28" i="3"/>
  <c r="H32" i="3"/>
  <c r="G48" i="3"/>
  <c r="AC23" i="3"/>
  <c r="AE5" i="3"/>
  <c r="L39" i="3"/>
  <c r="AC5" i="3"/>
  <c r="H10" i="3"/>
  <c r="R33" i="3"/>
  <c r="I6" i="3"/>
  <c r="M12" i="3"/>
  <c r="Z7" i="3"/>
  <c r="N9" i="3"/>
  <c r="AH25" i="3"/>
  <c r="Z38" i="3"/>
  <c r="P31" i="3"/>
  <c r="R13" i="3"/>
  <c r="Q12" i="3"/>
  <c r="AL28" i="3"/>
  <c r="AM31" i="3"/>
  <c r="AA22" i="3"/>
  <c r="K12" i="3"/>
  <c r="AC32" i="3"/>
  <c r="AC11" i="3"/>
  <c r="O40" i="3"/>
  <c r="S15" i="3"/>
  <c r="AO19" i="3"/>
  <c r="G47" i="3"/>
  <c r="AG40" i="3"/>
  <c r="AN15" i="3"/>
  <c r="L21" i="3"/>
  <c r="Y41" i="3"/>
  <c r="V67" i="2"/>
  <c r="L54" i="2"/>
  <c r="T76" i="2"/>
  <c r="E46" i="2"/>
  <c r="P91" i="2"/>
  <c r="U91" i="2"/>
  <c r="D89" i="2"/>
  <c r="D90" i="2"/>
  <c r="M110" i="2"/>
  <c r="D70" i="2"/>
  <c r="X70" i="2"/>
  <c r="N65" i="2"/>
  <c r="G92" i="2"/>
  <c r="J65" i="2"/>
  <c r="R106" i="2"/>
  <c r="F46" i="2"/>
  <c r="T53" i="2"/>
  <c r="U92" i="2"/>
  <c r="J47" i="2"/>
  <c r="G48" i="2"/>
  <c r="F111" i="2"/>
  <c r="S46" i="2"/>
  <c r="P41" i="2"/>
  <c r="E67" i="2"/>
  <c r="H46" i="2"/>
  <c r="W105" i="2"/>
  <c r="W49" i="2"/>
  <c r="R98" i="2"/>
  <c r="W66" i="2"/>
  <c r="H111" i="2"/>
  <c r="W61" i="2"/>
  <c r="L53" i="2"/>
  <c r="J84" i="2"/>
  <c r="N74" i="2"/>
  <c r="T47" i="2"/>
  <c r="C105" i="2"/>
  <c r="D55" i="2"/>
  <c r="G59" i="2"/>
  <c r="O65" i="2"/>
  <c r="O55" i="2"/>
  <c r="M79" i="2"/>
  <c r="S75" i="2"/>
  <c r="M109" i="2"/>
  <c r="O104" i="2"/>
  <c r="G54" i="2"/>
  <c r="X111" i="2"/>
  <c r="W45" i="2"/>
  <c r="V77" i="2"/>
  <c r="G85" i="2"/>
  <c r="M56" i="2"/>
  <c r="G94" i="2"/>
  <c r="J60" i="2"/>
  <c r="E87" i="2"/>
  <c r="G55" i="2"/>
  <c r="G62" i="2"/>
  <c r="X54" i="2"/>
  <c r="O61" i="2"/>
  <c r="K111" i="2"/>
  <c r="S98" i="2"/>
  <c r="AB68" i="3"/>
  <c r="AB77" i="3"/>
  <c r="AP61" i="3"/>
  <c r="AP87" i="3"/>
  <c r="AB67" i="3"/>
  <c r="AB95" i="3"/>
  <c r="AI6" i="3"/>
  <c r="L32" i="3"/>
  <c r="AM16" i="3"/>
  <c r="Q34" i="3"/>
  <c r="AD50" i="3"/>
  <c r="AL27" i="3"/>
  <c r="AH33" i="3"/>
  <c r="AK21" i="3"/>
  <c r="W33" i="3"/>
  <c r="X27" i="3"/>
  <c r="J12" i="3"/>
  <c r="AN9" i="3"/>
  <c r="O17" i="3"/>
  <c r="N34" i="3"/>
  <c r="L29" i="3"/>
  <c r="AJ41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A27" i="3"/>
  <c r="W20" i="3"/>
  <c r="AN39" i="3"/>
  <c r="K34" i="3"/>
  <c r="AC40" i="3"/>
  <c r="K32" i="3"/>
  <c r="AB9" i="3"/>
  <c r="L24" i="3"/>
  <c r="J35" i="3"/>
  <c r="AG29" i="3"/>
  <c r="AO37" i="3"/>
  <c r="AQ17" i="3"/>
  <c r="S13" i="3"/>
  <c r="J92" i="2"/>
  <c r="M88" i="2"/>
  <c r="R44" i="2"/>
  <c r="G73" i="2"/>
  <c r="H74" i="2"/>
  <c r="S86" i="2"/>
  <c r="R79" i="2"/>
  <c r="O57" i="2"/>
  <c r="H70" i="2"/>
  <c r="W62" i="2"/>
  <c r="N82" i="2"/>
  <c r="X113" i="2"/>
  <c r="M60" i="2"/>
  <c r="R113" i="2"/>
  <c r="L98" i="2"/>
  <c r="E91" i="2"/>
  <c r="I111" i="2"/>
  <c r="C104" i="2"/>
  <c r="M51" i="2"/>
  <c r="T61" i="2"/>
  <c r="O67" i="2"/>
  <c r="P57" i="2"/>
  <c r="X81" i="2"/>
  <c r="V79" i="2"/>
  <c r="AB47" i="3"/>
  <c r="T23" i="3"/>
  <c r="AH23" i="3"/>
  <c r="M10" i="3"/>
  <c r="S16" i="3"/>
  <c r="I28" i="3"/>
  <c r="AK12" i="3"/>
  <c r="N14" i="3"/>
  <c r="AA8" i="3"/>
  <c r="T32" i="3"/>
  <c r="O5" i="3"/>
  <c r="W34" i="3"/>
  <c r="Y25" i="3"/>
  <c r="M32" i="3"/>
  <c r="P22" i="3"/>
  <c r="O42" i="3"/>
  <c r="AJ34" i="3"/>
  <c r="AE6" i="3"/>
  <c r="S21" i="3"/>
  <c r="AM29" i="3"/>
  <c r="U26" i="3"/>
  <c r="AJ28" i="3"/>
  <c r="AI18" i="3"/>
  <c r="U57" i="2"/>
  <c r="R67" i="2"/>
  <c r="I98" i="2"/>
  <c r="X71" i="2"/>
  <c r="G71" i="2"/>
  <c r="L95" i="2"/>
  <c r="T77" i="2"/>
  <c r="E62" i="2"/>
  <c r="H113" i="2"/>
  <c r="J46" i="2"/>
  <c r="V74" i="2"/>
  <c r="U82" i="2"/>
  <c r="I104" i="2"/>
  <c r="P79" i="2"/>
  <c r="O82" i="2"/>
  <c r="I76" i="2"/>
  <c r="G81" i="2"/>
  <c r="C53" i="2"/>
  <c r="S73" i="2"/>
  <c r="T66" i="2"/>
  <c r="H95" i="2"/>
  <c r="G82" i="2"/>
  <c r="N72" i="2"/>
  <c r="D97" i="2"/>
  <c r="R63" i="2"/>
  <c r="U55" i="2"/>
  <c r="K42" i="2"/>
  <c r="J63" i="2"/>
  <c r="C99" i="2"/>
  <c r="R112" i="2"/>
  <c r="H79" i="2"/>
  <c r="W69" i="2"/>
  <c r="D87" i="2"/>
  <c r="V99" i="2"/>
  <c r="E98" i="2"/>
  <c r="D112" i="2"/>
  <c r="T83" i="2"/>
  <c r="R76" i="2"/>
  <c r="M107" i="2"/>
  <c r="L80" i="2"/>
  <c r="F79" i="2"/>
  <c r="L66" i="2"/>
  <c r="D104" i="2"/>
  <c r="J48" i="2"/>
  <c r="F58" i="2"/>
  <c r="Q111" i="2"/>
  <c r="Q72" i="2"/>
  <c r="K46" i="2"/>
  <c r="Q50" i="2"/>
  <c r="X97" i="2"/>
  <c r="H88" i="2"/>
  <c r="E112" i="2"/>
  <c r="L61" i="2"/>
  <c r="U85" i="2"/>
  <c r="X112" i="2"/>
  <c r="F81" i="2"/>
  <c r="J81" i="2"/>
  <c r="O47" i="2"/>
  <c r="X45" i="2"/>
  <c r="AB89" i="3"/>
  <c r="AP97" i="3"/>
  <c r="AB50" i="3"/>
  <c r="AP94" i="3"/>
  <c r="AB70" i="3"/>
  <c r="AB74" i="3"/>
  <c r="AG39" i="3"/>
  <c r="AC18" i="3"/>
  <c r="G36" i="3"/>
  <c r="AH31" i="3"/>
  <c r="AN22" i="3"/>
  <c r="AG42" i="3"/>
  <c r="AK37" i="3"/>
  <c r="AD35" i="3"/>
  <c r="H38" i="3"/>
  <c r="I37" i="3"/>
  <c r="H14" i="3"/>
  <c r="Z34" i="3"/>
  <c r="K29" i="3"/>
  <c r="AL30" i="3"/>
  <c r="W40" i="3"/>
  <c r="AJ33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35" i="3"/>
  <c r="T29" i="3"/>
  <c r="AL5" i="3"/>
  <c r="AG14" i="3"/>
  <c r="Q8" i="3"/>
  <c r="C16" i="3"/>
  <c r="AA39" i="3"/>
  <c r="C35" i="3"/>
  <c r="Z33" i="3"/>
  <c r="E84" i="2"/>
  <c r="S107" i="2"/>
  <c r="O60" i="2"/>
  <c r="L99" i="2"/>
  <c r="N79" i="2"/>
  <c r="I75" i="2"/>
  <c r="M67" i="2"/>
  <c r="L46" i="2"/>
  <c r="U40" i="2"/>
  <c r="AB58" i="3"/>
  <c r="AB54" i="3"/>
  <c r="AB64" i="3"/>
  <c r="T8" i="3"/>
  <c r="AK31" i="3"/>
  <c r="AC20" i="3"/>
  <c r="W37" i="3"/>
  <c r="AB41" i="3"/>
  <c r="AO7" i="3"/>
  <c r="Y13" i="3"/>
  <c r="AP37" i="3"/>
  <c r="S42" i="3"/>
  <c r="H27" i="3"/>
  <c r="AN20" i="3"/>
  <c r="AQ36" i="3"/>
  <c r="T30" i="3"/>
  <c r="Y28" i="3"/>
  <c r="Q19" i="3"/>
  <c r="J17" i="3"/>
  <c r="K19" i="3"/>
  <c r="C9" i="3"/>
  <c r="AI32" i="3"/>
  <c r="AO41" i="3"/>
  <c r="AB25" i="3"/>
  <c r="AD47" i="3"/>
  <c r="V42" i="2"/>
  <c r="S80" i="2"/>
  <c r="I108" i="2"/>
  <c r="L85" i="2"/>
  <c r="J43" i="2"/>
  <c r="O73" i="2"/>
  <c r="N45" i="2"/>
  <c r="V107" i="2"/>
  <c r="J56" i="2"/>
  <c r="O74" i="2"/>
  <c r="L88" i="2"/>
  <c r="C46" i="2"/>
  <c r="H112" i="2"/>
  <c r="V40" i="2"/>
  <c r="D63" i="2"/>
  <c r="G97" i="2"/>
  <c r="S43" i="2"/>
  <c r="K82" i="2"/>
  <c r="J75" i="2"/>
  <c r="Q76" i="2"/>
  <c r="P72" i="2"/>
  <c r="L41" i="2"/>
  <c r="H41" i="2"/>
  <c r="W95" i="2"/>
  <c r="L77" i="2"/>
  <c r="S105" i="2"/>
  <c r="W42" i="2"/>
  <c r="E89" i="2"/>
  <c r="C55" i="2"/>
  <c r="E71" i="2"/>
  <c r="S48" i="2"/>
  <c r="H56" i="2"/>
  <c r="J68" i="2"/>
  <c r="L79" i="2"/>
  <c r="K48" i="2"/>
  <c r="J42" i="2"/>
  <c r="V56" i="2"/>
  <c r="E93" i="2"/>
  <c r="K68" i="2"/>
  <c r="X107" i="2"/>
  <c r="C52" i="2"/>
  <c r="I45" i="2"/>
  <c r="C75" i="2"/>
  <c r="H42" i="2"/>
  <c r="E80" i="2"/>
  <c r="W110" i="2"/>
  <c r="M68" i="2"/>
  <c r="C78" i="2"/>
  <c r="J51" i="2"/>
  <c r="D106" i="2"/>
  <c r="H90" i="2"/>
  <c r="G86" i="2"/>
  <c r="R59" i="2"/>
  <c r="N63" i="2"/>
  <c r="H97" i="2"/>
  <c r="J67" i="2"/>
  <c r="C108" i="2"/>
  <c r="F97" i="2"/>
  <c r="F93" i="2"/>
  <c r="AP70" i="3"/>
  <c r="AB72" i="3"/>
  <c r="AP79" i="3"/>
  <c r="AB87" i="3"/>
  <c r="AB69" i="3"/>
  <c r="H20" i="3"/>
  <c r="H17" i="3"/>
  <c r="AN33" i="3"/>
  <c r="AJ31" i="3"/>
  <c r="X30" i="3"/>
  <c r="O29" i="3"/>
  <c r="Y17" i="3"/>
  <c r="L25" i="3"/>
  <c r="V24" i="3"/>
  <c r="G41" i="3"/>
  <c r="AA34" i="3"/>
  <c r="I9" i="3"/>
  <c r="S33" i="3"/>
  <c r="J37" i="3"/>
  <c r="X24" i="3"/>
  <c r="L33" i="3"/>
  <c r="AJ24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AB8" i="3"/>
  <c r="R11" i="3"/>
  <c r="X11" i="3"/>
  <c r="R16" i="3"/>
  <c r="X19" i="3"/>
  <c r="AQ20" i="3"/>
  <c r="AG11" i="3"/>
  <c r="C11" i="3"/>
  <c r="G98" i="2"/>
  <c r="U99" i="2"/>
  <c r="W93" i="2"/>
  <c r="Q108" i="2"/>
  <c r="H110" i="2"/>
  <c r="K76" i="2"/>
  <c r="M57" i="2"/>
  <c r="K108" i="2"/>
  <c r="I113" i="2"/>
  <c r="W88" i="2"/>
  <c r="S63" i="2"/>
  <c r="F49" i="2"/>
  <c r="U47" i="2"/>
  <c r="R74" i="2"/>
  <c r="D86" i="2"/>
  <c r="U83" i="2"/>
  <c r="R111" i="2"/>
  <c r="J73" i="2"/>
  <c r="J40" i="2"/>
  <c r="U89" i="2"/>
  <c r="D77" i="2"/>
  <c r="W53" i="2"/>
  <c r="I51" i="2"/>
  <c r="X78" i="2"/>
  <c r="W52" i="2"/>
  <c r="W112" i="2"/>
  <c r="AP63" i="3"/>
  <c r="R15" i="3"/>
  <c r="C12" i="3"/>
  <c r="S11" i="3"/>
  <c r="AJ23" i="3"/>
  <c r="I15" i="3"/>
  <c r="AP14" i="3"/>
  <c r="Z9" i="3"/>
  <c r="AC6" i="3"/>
  <c r="C30" i="3"/>
  <c r="Q5" i="3"/>
  <c r="W16" i="3"/>
  <c r="AG38" i="3"/>
  <c r="L22" i="3"/>
  <c r="AE33" i="3"/>
  <c r="H37" i="3"/>
  <c r="AQ14" i="3"/>
  <c r="I42" i="3"/>
  <c r="AB33" i="3"/>
  <c r="N8" i="3"/>
  <c r="Z26" i="3"/>
  <c r="X21" i="3"/>
  <c r="AH32" i="3"/>
  <c r="AA13" i="3"/>
  <c r="I24" i="3"/>
  <c r="E82" i="2"/>
  <c r="T45" i="2"/>
  <c r="H104" i="2"/>
  <c r="H60" i="2"/>
  <c r="T92" i="2"/>
  <c r="Q85" i="2"/>
  <c r="T88" i="2"/>
  <c r="H64" i="2"/>
  <c r="S94" i="2"/>
  <c r="O107" i="2"/>
  <c r="T97" i="2"/>
  <c r="R95" i="2"/>
  <c r="W57" i="2"/>
  <c r="T43" i="2"/>
  <c r="S60" i="2"/>
  <c r="R48" i="2"/>
  <c r="J80" i="2"/>
  <c r="R110" i="2"/>
  <c r="N81" i="2"/>
  <c r="U71" i="2"/>
  <c r="P70" i="2"/>
  <c r="M99" i="2"/>
  <c r="X79" i="2"/>
  <c r="C69" i="2"/>
  <c r="M44" i="2"/>
  <c r="K105" i="2"/>
  <c r="E99" i="2"/>
  <c r="V105" i="2"/>
  <c r="U111" i="2"/>
  <c r="F86" i="2"/>
  <c r="I86" i="2"/>
  <c r="Q94" i="2"/>
  <c r="Q90" i="2"/>
  <c r="R93" i="2"/>
  <c r="N111" i="2"/>
  <c r="O51" i="2"/>
  <c r="R70" i="2"/>
  <c r="J113" i="2"/>
  <c r="H52" i="2"/>
  <c r="I42" i="2"/>
  <c r="M84" i="2"/>
  <c r="F64" i="2"/>
  <c r="U59" i="2"/>
  <c r="Q42" i="2"/>
  <c r="H67" i="2"/>
  <c r="O97" i="2"/>
  <c r="J49" i="2"/>
  <c r="Q86" i="2"/>
  <c r="W86" i="2"/>
  <c r="E97" i="2"/>
  <c r="G67" i="2"/>
  <c r="R104" i="2"/>
  <c r="X74" i="2"/>
  <c r="K77" i="2"/>
  <c r="P77" i="2"/>
  <c r="H109" i="2"/>
  <c r="E78" i="2"/>
  <c r="O109" i="2"/>
  <c r="L40" i="2"/>
  <c r="E42" i="2"/>
  <c r="AB57" i="3"/>
  <c r="AB92" i="3"/>
  <c r="AP91" i="3"/>
  <c r="AB56" i="3"/>
  <c r="AB66" i="3"/>
  <c r="R29" i="3"/>
  <c r="C37" i="3"/>
  <c r="C23" i="3"/>
  <c r="O23" i="3"/>
  <c r="T24" i="3"/>
  <c r="Z10" i="3"/>
  <c r="AJ22" i="3"/>
  <c r="AD24" i="3"/>
  <c r="S12" i="3"/>
  <c r="AI16" i="3"/>
  <c r="M29" i="3"/>
  <c r="N19" i="3"/>
  <c r="AH17" i="3"/>
  <c r="M11" i="3"/>
  <c r="T33" i="3"/>
  <c r="K36" i="3"/>
  <c r="AM1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T111" i="2"/>
  <c r="N97" i="2"/>
  <c r="O54" i="2"/>
  <c r="J55" i="2"/>
  <c r="X99" i="2"/>
  <c r="C57" i="2"/>
  <c r="J70" i="2"/>
  <c r="L64" i="2"/>
  <c r="S56" i="2"/>
  <c r="Q73" i="2"/>
  <c r="AB73" i="3"/>
  <c r="O22" i="3"/>
  <c r="P5" i="3"/>
  <c r="AM22" i="3"/>
  <c r="U41" i="3"/>
  <c r="C22" i="3"/>
  <c r="V33" i="3"/>
  <c r="AO32" i="3"/>
  <c r="AG23" i="3"/>
  <c r="AN24" i="3"/>
  <c r="Z36" i="3"/>
  <c r="Z23" i="3"/>
  <c r="AN38" i="3"/>
  <c r="J5" i="3"/>
  <c r="T37" i="3"/>
  <c r="Y35" i="3"/>
  <c r="AA18" i="3"/>
  <c r="AJ19" i="3"/>
  <c r="R5" i="3"/>
  <c r="AM38" i="3"/>
  <c r="Z17" i="3"/>
  <c r="S14" i="3"/>
  <c r="AK19" i="3"/>
  <c r="AB15" i="3"/>
  <c r="J19" i="3"/>
  <c r="AC15" i="3"/>
  <c r="AC28" i="3"/>
  <c r="M16" i="3"/>
  <c r="X42" i="3"/>
  <c r="N69" i="2"/>
  <c r="C39" i="3"/>
  <c r="AI13" i="3"/>
  <c r="AD29" i="3"/>
  <c r="Q63" i="2"/>
  <c r="V8" i="3"/>
  <c r="H107" i="2"/>
  <c r="U72" i="2"/>
  <c r="D65" i="2"/>
  <c r="I77" i="2"/>
  <c r="F109" i="2"/>
  <c r="U94" i="2"/>
  <c r="X58" i="2"/>
  <c r="V81" i="2"/>
  <c r="C80" i="2"/>
  <c r="O66" i="2"/>
  <c r="AP96" i="3"/>
  <c r="J36" i="3"/>
  <c r="AD37" i="3"/>
  <c r="V31" i="3"/>
  <c r="Y34" i="3"/>
  <c r="AC37" i="3"/>
  <c r="N35" i="3"/>
  <c r="Z24" i="3"/>
  <c r="AI23" i="3"/>
  <c r="AA5" i="3"/>
  <c r="Y7" i="3"/>
  <c r="AJ12" i="3"/>
  <c r="AO28" i="3"/>
  <c r="AM7" i="3"/>
  <c r="W23" i="3"/>
  <c r="Q24" i="3"/>
  <c r="X8" i="3"/>
  <c r="AG16" i="3"/>
  <c r="Z16" i="3"/>
  <c r="R19" i="3"/>
  <c r="AB16" i="3"/>
  <c r="AK18" i="3"/>
  <c r="K25" i="3"/>
  <c r="L10" i="3"/>
  <c r="AG35" i="3"/>
  <c r="U13" i="3"/>
  <c r="AI8" i="3"/>
  <c r="AN18" i="3"/>
  <c r="AL23" i="3"/>
  <c r="AO42" i="3"/>
  <c r="I32" i="3"/>
  <c r="AC34" i="3"/>
  <c r="AL19" i="3"/>
  <c r="AA24" i="3"/>
  <c r="M40" i="3"/>
  <c r="J14" i="3"/>
  <c r="Q7" i="3"/>
  <c r="AC30" i="3"/>
  <c r="AL35" i="3"/>
  <c r="Z27" i="3"/>
  <c r="W32" i="3"/>
  <c r="AG9" i="3"/>
  <c r="P38" i="3"/>
  <c r="V20" i="3"/>
  <c r="M30" i="3"/>
  <c r="S8" i="3"/>
  <c r="R66" i="2"/>
  <c r="U66" i="2"/>
  <c r="N88" i="2"/>
  <c r="T67" i="2"/>
  <c r="U96" i="2"/>
  <c r="U45" i="2"/>
  <c r="D96" i="2"/>
  <c r="I43" i="2"/>
  <c r="R71" i="2"/>
  <c r="U43" i="2"/>
  <c r="N55" i="2"/>
  <c r="AP88" i="3"/>
  <c r="H41" i="3"/>
  <c r="AI24" i="3"/>
  <c r="P30" i="3"/>
  <c r="Y39" i="3"/>
  <c r="C32" i="3"/>
  <c r="AO24" i="3"/>
  <c r="AO34" i="3"/>
  <c r="AB24" i="3"/>
  <c r="AB13" i="3"/>
  <c r="AJ32" i="3"/>
  <c r="AB27" i="3"/>
  <c r="O25" i="3"/>
  <c r="AI25" i="3"/>
  <c r="AJ39" i="3"/>
  <c r="AB22" i="3"/>
  <c r="AP26" i="3"/>
  <c r="AC16" i="3"/>
  <c r="Y36" i="3"/>
  <c r="Y33" i="3"/>
  <c r="AJ18" i="3"/>
  <c r="AH26" i="3"/>
  <c r="N7" i="3"/>
  <c r="V26" i="3"/>
  <c r="I31" i="3"/>
  <c r="AQ19" i="3"/>
  <c r="I27" i="3"/>
  <c r="I112" i="2"/>
  <c r="AB91" i="3"/>
  <c r="W27" i="3"/>
  <c r="T9" i="3"/>
  <c r="L40" i="3"/>
  <c r="AN36" i="3"/>
  <c r="P33" i="3"/>
  <c r="V85" i="2"/>
  <c r="J79" i="2"/>
  <c r="T41" i="2"/>
  <c r="U113" i="2"/>
  <c r="U19" i="3"/>
  <c r="R34" i="3"/>
  <c r="N37" i="3"/>
  <c r="S18" i="3"/>
  <c r="M71" i="2"/>
  <c r="R46" i="2"/>
  <c r="V72" i="2"/>
  <c r="J57" i="2"/>
  <c r="E81" i="2"/>
  <c r="O86" i="2"/>
  <c r="N83" i="2"/>
  <c r="T71" i="2"/>
  <c r="O91" i="2"/>
  <c r="K106" i="2"/>
  <c r="AP83" i="3"/>
  <c r="Y22" i="3"/>
  <c r="S36" i="3"/>
  <c r="X34" i="3"/>
  <c r="AK17" i="3"/>
  <c r="AL9" i="3"/>
  <c r="N21" i="3"/>
  <c r="L16" i="3"/>
  <c r="K21" i="3"/>
  <c r="O30" i="3"/>
  <c r="W41" i="3"/>
  <c r="C6" i="3"/>
  <c r="AL29" i="3"/>
  <c r="AL26" i="3"/>
  <c r="AN21" i="3"/>
  <c r="AE35" i="3"/>
  <c r="J28" i="3"/>
  <c r="AK26" i="3"/>
  <c r="Z14" i="3"/>
  <c r="T27" i="3"/>
  <c r="AK25" i="3"/>
  <c r="P9" i="3"/>
  <c r="J10" i="3"/>
  <c r="Q11" i="3"/>
  <c r="AE15" i="3"/>
  <c r="L35" i="3"/>
  <c r="J89" i="2"/>
  <c r="V47" i="2"/>
  <c r="M74" i="2"/>
  <c r="S90" i="2"/>
  <c r="K63" i="2"/>
  <c r="AB96" i="3"/>
  <c r="M17" i="3"/>
  <c r="H28" i="3"/>
  <c r="P25" i="3"/>
  <c r="M22" i="3"/>
  <c r="H25" i="3"/>
  <c r="AH39" i="3"/>
  <c r="AA19" i="3"/>
  <c r="AI10" i="3"/>
  <c r="J20" i="3"/>
  <c r="AL24" i="3"/>
  <c r="AQ34" i="3"/>
  <c r="AG22" i="3"/>
  <c r="M41" i="3"/>
  <c r="O78" i="2"/>
  <c r="Y40" i="3"/>
  <c r="AL10" i="3"/>
  <c r="AP15" i="3"/>
  <c r="Z31" i="3"/>
  <c r="O32" i="3"/>
  <c r="S10" i="3"/>
  <c r="O52" i="2"/>
  <c r="O26" i="3"/>
  <c r="Q18" i="3"/>
  <c r="P88" i="2"/>
  <c r="U105" i="2"/>
  <c r="T95" i="2"/>
  <c r="H86" i="2"/>
  <c r="L94" i="2"/>
  <c r="M7" i="3"/>
  <c r="AC38" i="3"/>
  <c r="AJ21" i="3"/>
  <c r="AQ7" i="3"/>
  <c r="U40" i="3"/>
  <c r="O34" i="3"/>
  <c r="AN6" i="3"/>
  <c r="R78" i="2"/>
  <c r="AM23" i="3"/>
  <c r="G43" i="2"/>
  <c r="F108" i="2"/>
  <c r="I83" i="2"/>
  <c r="O83" i="2"/>
  <c r="N90" i="2"/>
  <c r="S50" i="2"/>
  <c r="G105" i="2"/>
  <c r="V70" i="2"/>
  <c r="X104" i="2"/>
  <c r="Q47" i="2"/>
  <c r="AB71" i="3"/>
  <c r="T17" i="3"/>
  <c r="K38" i="3"/>
  <c r="AP36" i="3"/>
  <c r="M36" i="3"/>
  <c r="AE11" i="3"/>
  <c r="AQ32" i="3"/>
  <c r="AJ20" i="3"/>
  <c r="AO31" i="3"/>
  <c r="D50" i="3"/>
  <c r="AO38" i="3"/>
  <c r="H15" i="3"/>
  <c r="P42" i="3"/>
  <c r="U34" i="3"/>
  <c r="AI39" i="3"/>
  <c r="K11" i="3"/>
  <c r="AG12" i="3"/>
  <c r="AH5" i="3"/>
  <c r="C36" i="3"/>
  <c r="AA28" i="3"/>
  <c r="R12" i="3"/>
  <c r="AG25" i="3"/>
  <c r="AH12" i="3"/>
  <c r="W8" i="3"/>
  <c r="S37" i="3"/>
  <c r="AD31" i="3"/>
  <c r="J6" i="3"/>
  <c r="V5" i="3"/>
  <c r="T38" i="3"/>
  <c r="P14" i="3"/>
  <c r="U20" i="3"/>
  <c r="N18" i="3"/>
  <c r="M93" i="2"/>
  <c r="M42" i="2"/>
  <c r="I36" i="3"/>
  <c r="C28" i="3"/>
  <c r="Q29" i="3"/>
  <c r="AB29" i="3"/>
  <c r="J30" i="3"/>
  <c r="N51" i="2"/>
  <c r="T78" i="2"/>
  <c r="G44" i="2"/>
  <c r="O106" i="2"/>
  <c r="L62" i="2"/>
  <c r="Q79" i="2"/>
  <c r="X105" i="2"/>
  <c r="R73" i="2"/>
  <c r="X80" i="2"/>
  <c r="I73" i="2"/>
  <c r="AP95" i="3"/>
  <c r="W28" i="3"/>
  <c r="X7" i="3"/>
  <c r="X14" i="3"/>
  <c r="Z12" i="3"/>
  <c r="AN27" i="3"/>
  <c r="AK11" i="3"/>
  <c r="R26" i="3"/>
  <c r="T10" i="3"/>
  <c r="AP22" i="3"/>
  <c r="R37" i="3"/>
  <c r="AD30" i="3"/>
  <c r="L42" i="3"/>
  <c r="C20" i="3"/>
  <c r="V22" i="3"/>
  <c r="AQ5" i="3"/>
  <c r="N16" i="3"/>
  <c r="U38" i="3"/>
  <c r="AB32" i="3"/>
  <c r="AN26" i="3"/>
  <c r="K37" i="3"/>
  <c r="AO36" i="3"/>
  <c r="Q25" i="3"/>
  <c r="J31" i="3"/>
  <c r="AD39" i="3"/>
  <c r="AN30" i="3"/>
  <c r="AC12" i="3"/>
  <c r="AA29" i="3"/>
  <c r="K15" i="3"/>
  <c r="K7" i="3"/>
  <c r="V40" i="3"/>
  <c r="I81" i="2"/>
  <c r="P48" i="2"/>
  <c r="AH15" i="3"/>
  <c r="AO5" i="3"/>
  <c r="C72" i="2"/>
  <c r="G64" i="2"/>
  <c r="N5" i="3"/>
  <c r="AD48" i="3"/>
  <c r="I17" i="3"/>
  <c r="U44" i="2"/>
  <c r="N84" i="2"/>
  <c r="O81" i="2"/>
  <c r="W87" i="2"/>
  <c r="D84" i="2"/>
  <c r="Q41" i="2"/>
  <c r="H69" i="2"/>
  <c r="X87" i="2"/>
  <c r="F59" i="2"/>
  <c r="S64" i="2"/>
  <c r="AP54" i="3"/>
  <c r="I38" i="3"/>
  <c r="C38" i="3"/>
  <c r="X28" i="3"/>
  <c r="AA17" i="3"/>
  <c r="O8" i="3"/>
  <c r="J8" i="3"/>
  <c r="AC33" i="3"/>
  <c r="R42" i="3"/>
  <c r="U6" i="3"/>
  <c r="N28" i="3"/>
  <c r="G49" i="3"/>
  <c r="AK35" i="3"/>
  <c r="L5" i="3"/>
  <c r="AD36" i="3"/>
  <c r="AM19" i="3"/>
  <c r="Q32" i="3"/>
  <c r="V39" i="3"/>
  <c r="E56" i="2"/>
  <c r="W42" i="3"/>
  <c r="T31" i="3"/>
  <c r="S106" i="2"/>
  <c r="L90" i="2"/>
  <c r="Q91" i="2"/>
  <c r="I107" i="2"/>
  <c r="V89" i="2"/>
  <c r="K84" i="2"/>
  <c r="P53" i="2"/>
  <c r="V46" i="2"/>
  <c r="T62" i="2"/>
  <c r="D42" i="2"/>
  <c r="AP67" i="3"/>
  <c r="AE10" i="3"/>
  <c r="AD28" i="3"/>
  <c r="W19" i="3"/>
  <c r="AA36" i="3"/>
  <c r="L27" i="3"/>
  <c r="AB28" i="3"/>
  <c r="Q82" i="2"/>
  <c r="P20" i="3"/>
  <c r="V9" i="3"/>
  <c r="G50" i="3"/>
  <c r="H23" i="3"/>
  <c r="Y15" i="3"/>
  <c r="V14" i="3"/>
  <c r="S44" i="2"/>
  <c r="W98" i="2"/>
  <c r="J52" i="2"/>
  <c r="R87" i="2"/>
  <c r="K67" i="2"/>
  <c r="H96" i="2"/>
  <c r="T60" i="2"/>
  <c r="Q98" i="2"/>
  <c r="N67" i="2"/>
  <c r="N47" i="2"/>
  <c r="AM33" i="3"/>
  <c r="R36" i="3"/>
  <c r="Q16" i="3"/>
  <c r="T34" i="3"/>
  <c r="J25" i="3"/>
  <c r="V29" i="3"/>
  <c r="AC19" i="3"/>
  <c r="AH35" i="3"/>
  <c r="U33" i="3"/>
  <c r="N29" i="3"/>
  <c r="AE28" i="3"/>
  <c r="L9" i="3"/>
  <c r="Z22" i="3"/>
  <c r="AG19" i="3"/>
  <c r="S5" i="3"/>
  <c r="L7" i="3"/>
  <c r="D49" i="3"/>
  <c r="D47" i="3"/>
  <c r="AM15" i="3"/>
  <c r="V36" i="3"/>
  <c r="K22" i="3"/>
  <c r="K8" i="3"/>
  <c r="AM42" i="3"/>
  <c r="M18" i="3"/>
  <c r="N25" i="3"/>
  <c r="R91" i="2"/>
  <c r="O20" i="3"/>
  <c r="R27" i="3"/>
  <c r="AC41" i="3"/>
  <c r="H33" i="3"/>
  <c r="BH161" i="1" l="1"/>
  <c r="B148" i="1"/>
  <c r="B142" i="1"/>
  <c r="B170" i="1" s="1"/>
  <c r="U187" i="1"/>
  <c r="D134" i="1"/>
  <c r="K180" i="1"/>
  <c r="M140" i="1"/>
  <c r="T90" i="1"/>
  <c r="M161" i="1"/>
  <c r="M196" i="1" s="1"/>
  <c r="U162" i="1"/>
  <c r="E188" i="1"/>
  <c r="W138" i="1"/>
  <c r="K176" i="1"/>
  <c r="T166" i="1"/>
  <c r="L140" i="1"/>
  <c r="F180" i="1"/>
  <c r="L134" i="1"/>
  <c r="C134" i="1"/>
  <c r="E153" i="1"/>
  <c r="N95" i="1"/>
  <c r="N140" i="1"/>
  <c r="S148" i="1"/>
  <c r="W186" i="1"/>
  <c r="U180" i="1"/>
  <c r="W152" i="1"/>
  <c r="T149" i="1"/>
  <c r="S83" i="1"/>
  <c r="R149" i="1"/>
  <c r="H159" i="1"/>
  <c r="L95" i="1"/>
  <c r="C94" i="1"/>
  <c r="V89" i="1"/>
  <c r="M171" i="1"/>
  <c r="B95" i="1"/>
  <c r="B143" i="1"/>
  <c r="D161" i="1"/>
  <c r="D196" i="1" s="1"/>
  <c r="O138" i="1"/>
  <c r="R187" i="1"/>
  <c r="B187" i="1"/>
  <c r="Q165" i="1"/>
  <c r="D176" i="1"/>
  <c r="P140" i="1"/>
  <c r="J148" i="1"/>
  <c r="I153" i="1"/>
  <c r="F166" i="1"/>
  <c r="J149" i="1"/>
  <c r="H162" i="1"/>
  <c r="W169" i="1"/>
  <c r="G160" i="1"/>
  <c r="G195" i="1" s="1"/>
  <c r="R169" i="1"/>
  <c r="R199" i="1" s="1"/>
  <c r="K153" i="1"/>
  <c r="N165" i="1"/>
  <c r="G188" i="1"/>
  <c r="J93" i="1"/>
  <c r="V167" i="1"/>
  <c r="U138" i="1"/>
  <c r="W89" i="1"/>
  <c r="T95" i="1"/>
  <c r="P166" i="1"/>
  <c r="B162" i="1"/>
  <c r="G161" i="1"/>
  <c r="G196" i="1" s="1"/>
  <c r="O161" i="1"/>
  <c r="O196" i="1" s="1"/>
  <c r="P159" i="1"/>
  <c r="C90" i="1"/>
  <c r="T94" i="1"/>
  <c r="M148" i="1"/>
  <c r="T186" i="1"/>
  <c r="I187" i="1"/>
  <c r="D141" i="1"/>
  <c r="F160" i="1"/>
  <c r="F195" i="1" s="1"/>
  <c r="V162" i="1"/>
  <c r="O143" i="1"/>
  <c r="F162" i="1"/>
  <c r="J161" i="1"/>
  <c r="J196" i="1" s="1"/>
  <c r="B166" i="1"/>
  <c r="M153" i="1"/>
  <c r="F149" i="1"/>
  <c r="L153" i="1"/>
  <c r="F176" i="1"/>
  <c r="G138" i="1"/>
  <c r="D142" i="1"/>
  <c r="D170" i="1" s="1"/>
  <c r="S171" i="1"/>
  <c r="C133" i="1"/>
  <c r="I138" i="1"/>
  <c r="O141" i="1"/>
  <c r="J180" i="1"/>
  <c r="W176" i="1"/>
  <c r="F151" i="1"/>
  <c r="F147" i="1" s="1"/>
  <c r="D89" i="1"/>
  <c r="S179" i="1"/>
  <c r="R134" i="1"/>
  <c r="K134" i="1"/>
  <c r="J159" i="1"/>
  <c r="Q152" i="1"/>
  <c r="H188" i="1"/>
  <c r="W163" i="1"/>
  <c r="H175" i="1"/>
  <c r="C152" i="1"/>
  <c r="J133" i="1"/>
  <c r="M169" i="1"/>
  <c r="M199" i="1" s="1"/>
  <c r="F134" i="1"/>
  <c r="L149" i="1"/>
  <c r="O83" i="1"/>
  <c r="E138" i="1"/>
  <c r="C175" i="1"/>
  <c r="F153" i="1"/>
  <c r="W151" i="1"/>
  <c r="W147" i="1" s="1"/>
  <c r="O167" i="1"/>
  <c r="O171" i="1"/>
  <c r="C93" i="1"/>
  <c r="M156" i="1"/>
  <c r="L143" i="1"/>
  <c r="M83" i="1"/>
  <c r="E161" i="1"/>
  <c r="E196" i="1" s="1"/>
  <c r="T83" i="1"/>
  <c r="C143" i="1"/>
  <c r="G171" i="1"/>
  <c r="D159" i="1"/>
  <c r="K93" i="1"/>
  <c r="S167" i="1"/>
  <c r="T135" i="1"/>
  <c r="N153" i="1"/>
  <c r="I166" i="1"/>
  <c r="P165" i="1"/>
  <c r="F186" i="1"/>
  <c r="T151" i="1"/>
  <c r="T147" i="1" s="1"/>
  <c r="Q94" i="1"/>
  <c r="U152" i="1"/>
  <c r="Q138" i="1"/>
  <c r="G148" i="1"/>
  <c r="H83" i="1"/>
  <c r="V151" i="1"/>
  <c r="V147" i="1" s="1"/>
  <c r="V149" i="1"/>
  <c r="B163" i="1"/>
  <c r="E186" i="1"/>
  <c r="R143" i="1"/>
  <c r="H166" i="1"/>
  <c r="B176" i="1"/>
  <c r="U161" i="1"/>
  <c r="U196" i="1" s="1"/>
  <c r="U95" i="1"/>
  <c r="S89" i="1"/>
  <c r="B83" i="1"/>
  <c r="J186" i="1"/>
  <c r="D90" i="1"/>
  <c r="S151" i="1"/>
  <c r="S147" i="1" s="1"/>
  <c r="C153" i="1"/>
  <c r="P151" i="1"/>
  <c r="P147" i="1" s="1"/>
  <c r="S188" i="1"/>
  <c r="L148" i="1"/>
  <c r="N167" i="1"/>
  <c r="O179" i="1"/>
  <c r="L152" i="1"/>
  <c r="P158" i="1"/>
  <c r="G93" i="1"/>
  <c r="V138" i="1"/>
  <c r="J176" i="1"/>
  <c r="G163" i="1"/>
  <c r="F163" i="1"/>
  <c r="C135" i="1"/>
  <c r="V160" i="1"/>
  <c r="V195" i="1" s="1"/>
  <c r="I179" i="1"/>
  <c r="L166" i="1"/>
  <c r="V83" i="1"/>
  <c r="C159" i="1"/>
  <c r="G95" i="1"/>
  <c r="F179" i="1"/>
  <c r="J89" i="1"/>
  <c r="I161" i="1"/>
  <c r="I196" i="1" s="1"/>
  <c r="G152" i="1"/>
  <c r="R83" i="1"/>
  <c r="W135" i="1"/>
  <c r="W142" i="1"/>
  <c r="W170" i="1" s="1"/>
  <c r="Q159" i="1"/>
  <c r="Q135" i="1"/>
  <c r="B79" i="1"/>
  <c r="D163" i="1"/>
  <c r="J171" i="1"/>
  <c r="B180" i="1"/>
  <c r="F169" i="1"/>
  <c r="F199" i="1" s="1"/>
  <c r="R167" i="1"/>
  <c r="R180" i="1"/>
  <c r="N162" i="1"/>
  <c r="R140" i="1"/>
  <c r="O188" i="1"/>
  <c r="F142" i="1"/>
  <c r="F170" i="1" s="1"/>
  <c r="G153" i="1"/>
  <c r="M179" i="1"/>
  <c r="M162" i="1"/>
  <c r="G134" i="1"/>
  <c r="R90" i="1"/>
  <c r="I141" i="1"/>
  <c r="E143" i="1"/>
  <c r="G140" i="1"/>
  <c r="O151" i="1"/>
  <c r="O147" i="1" s="1"/>
  <c r="P163" i="1"/>
  <c r="T188" i="1"/>
  <c r="F143" i="1"/>
  <c r="P134" i="1"/>
  <c r="S156" i="1"/>
  <c r="Q156" i="1"/>
  <c r="B175" i="1"/>
  <c r="B177" i="1" s="1"/>
  <c r="C225" i="1" s="1"/>
  <c r="C79" i="1"/>
  <c r="T93" i="1"/>
  <c r="S143" i="1"/>
  <c r="W141" i="1"/>
  <c r="L175" i="1"/>
  <c r="I151" i="1"/>
  <c r="I147" i="1" s="1"/>
  <c r="J156" i="1"/>
  <c r="K149" i="1"/>
  <c r="H138" i="1"/>
  <c r="N149" i="1"/>
  <c r="B161" i="1"/>
  <c r="B196" i="1" s="1"/>
  <c r="R175" i="1"/>
  <c r="B188" i="1"/>
  <c r="H142" i="1"/>
  <c r="H170" i="1" s="1"/>
  <c r="M90" i="1"/>
  <c r="E149" i="1"/>
  <c r="M175" i="1"/>
  <c r="D143" i="1"/>
  <c r="P94" i="1"/>
  <c r="B167" i="1"/>
  <c r="E162" i="1"/>
  <c r="L162" i="1"/>
  <c r="V176" i="1"/>
  <c r="W167" i="1"/>
  <c r="C187" i="1"/>
  <c r="M134" i="1"/>
  <c r="U188" i="1"/>
  <c r="L158" i="1"/>
  <c r="I186" i="1"/>
  <c r="C161" i="1"/>
  <c r="C196" i="1" s="1"/>
  <c r="N89" i="1"/>
  <c r="W94" i="1"/>
  <c r="K163" i="1"/>
  <c r="L187" i="1"/>
  <c r="M93" i="1"/>
  <c r="R133" i="1"/>
  <c r="F148" i="1"/>
  <c r="F150" i="1" s="1"/>
  <c r="M151" i="1"/>
  <c r="M147" i="1" s="1"/>
  <c r="C149" i="1"/>
  <c r="N188" i="1"/>
  <c r="W143" i="1"/>
  <c r="H134" i="1"/>
  <c r="T89" i="1"/>
  <c r="J152" i="1"/>
  <c r="B152" i="1"/>
  <c r="L94" i="1"/>
  <c r="D158" i="1"/>
  <c r="Q158" i="1"/>
  <c r="L135" i="1"/>
  <c r="L180" i="1"/>
  <c r="G167" i="1"/>
  <c r="B169" i="1"/>
  <c r="B199" i="1" s="1"/>
  <c r="U140" i="1"/>
  <c r="D188" i="1"/>
  <c r="Q160" i="1"/>
  <c r="Q195" i="1" s="1"/>
  <c r="E94" i="1"/>
  <c r="I149" i="1"/>
  <c r="U89" i="1"/>
  <c r="W160" i="1"/>
  <c r="D165" i="1"/>
  <c r="D80" i="1"/>
  <c r="I90" i="1"/>
  <c r="N163" i="1"/>
  <c r="M180" i="1"/>
  <c r="U133" i="1"/>
  <c r="H135" i="1"/>
  <c r="I142" i="1"/>
  <c r="I170" i="1" s="1"/>
  <c r="D94" i="1"/>
  <c r="U143" i="1"/>
  <c r="S180" i="1"/>
  <c r="E169" i="1"/>
  <c r="E199" i="1" s="1"/>
  <c r="E135" i="1"/>
  <c r="V133" i="1"/>
  <c r="M187" i="1"/>
  <c r="P175" i="1"/>
  <c r="P177" i="1" s="1"/>
  <c r="Q225" i="1" s="1"/>
  <c r="E89" i="1"/>
  <c r="F165" i="1"/>
  <c r="I134" i="1"/>
  <c r="C89" i="1"/>
  <c r="U148" i="1"/>
  <c r="B80" i="1"/>
  <c r="T161" i="1"/>
  <c r="T196" i="1" s="1"/>
  <c r="C156" i="1"/>
  <c r="G156" i="1"/>
  <c r="D180" i="1"/>
  <c r="S142" i="1"/>
  <c r="S170" i="1" s="1"/>
  <c r="D152" i="1"/>
  <c r="N166" i="1"/>
  <c r="P89" i="1"/>
  <c r="T187" i="1"/>
  <c r="S133" i="1"/>
  <c r="M135" i="1"/>
  <c r="O135" i="1"/>
  <c r="J141" i="1"/>
  <c r="S93" i="1"/>
  <c r="S140" i="1"/>
  <c r="K159" i="1"/>
  <c r="L159" i="1"/>
  <c r="B151" i="1"/>
  <c r="D169" i="1"/>
  <c r="D199" i="1" s="1"/>
  <c r="R158" i="1"/>
  <c r="N83" i="1"/>
  <c r="B93" i="1"/>
  <c r="K179" i="1"/>
  <c r="H89" i="1"/>
  <c r="K143" i="1"/>
  <c r="B147" i="1"/>
  <c r="I159" i="1"/>
  <c r="K162" i="1"/>
  <c r="L89" i="1"/>
  <c r="P149" i="1"/>
  <c r="V166" i="1"/>
  <c r="V153" i="1"/>
  <c r="Q163" i="1"/>
  <c r="Q180" i="1"/>
  <c r="M95" i="1"/>
  <c r="R156" i="1"/>
  <c r="R138" i="1"/>
  <c r="Q188" i="1"/>
  <c r="Q140" i="1"/>
  <c r="P133" i="1"/>
  <c r="W153" i="1"/>
  <c r="P162" i="1"/>
  <c r="N148" i="1"/>
  <c r="V93" i="1"/>
  <c r="Q90" i="1"/>
  <c r="I152" i="1"/>
  <c r="C142" i="1"/>
  <c r="C170" i="1" s="1"/>
  <c r="D95" i="1"/>
  <c r="R160" i="1"/>
  <c r="R195" i="1" s="1"/>
  <c r="B94" i="1"/>
  <c r="V163" i="1"/>
  <c r="W134" i="1"/>
  <c r="O95" i="1"/>
  <c r="U165" i="1"/>
  <c r="F152" i="1"/>
  <c r="R165" i="1"/>
  <c r="F167" i="1"/>
  <c r="G143" i="1"/>
  <c r="K171" i="1"/>
  <c r="L133" i="1"/>
  <c r="W166" i="1"/>
  <c r="M167" i="1"/>
  <c r="J166" i="1"/>
  <c r="I160" i="1"/>
  <c r="I195" i="1" s="1"/>
  <c r="F188" i="1"/>
  <c r="D171" i="1"/>
  <c r="M159" i="1"/>
  <c r="K95" i="1"/>
  <c r="N151" i="1"/>
  <c r="N147" i="1" s="1"/>
  <c r="R94" i="1"/>
  <c r="R141" i="1"/>
  <c r="N138" i="1"/>
  <c r="G162" i="1"/>
  <c r="R188" i="1"/>
  <c r="D166" i="1"/>
  <c r="W187" i="1"/>
  <c r="U160" i="1"/>
  <c r="U195" i="1" s="1"/>
  <c r="T159" i="1"/>
  <c r="K160" i="1"/>
  <c r="K195" i="1" s="1"/>
  <c r="C169" i="1"/>
  <c r="C199" i="1" s="1"/>
  <c r="E166" i="1"/>
  <c r="H151" i="1"/>
  <c r="H147" i="1" s="1"/>
  <c r="G158" i="1"/>
  <c r="B171" i="1"/>
  <c r="J83" i="1"/>
  <c r="T180" i="1"/>
  <c r="F83" i="1"/>
  <c r="D156" i="1"/>
  <c r="Q89" i="1"/>
  <c r="T165" i="1"/>
  <c r="Q179" i="1"/>
  <c r="J158" i="1"/>
  <c r="T142" i="1"/>
  <c r="T170" i="1" s="1"/>
  <c r="T148" i="1"/>
  <c r="R179" i="1"/>
  <c r="B138" i="1"/>
  <c r="E141" i="1"/>
  <c r="E151" i="1"/>
  <c r="E147" i="1" s="1"/>
  <c r="G159" i="1"/>
  <c r="L167" i="1"/>
  <c r="J153" i="1"/>
  <c r="I162" i="1"/>
  <c r="C151" i="1"/>
  <c r="U169" i="1"/>
  <c r="U199" i="1" s="1"/>
  <c r="H165" i="1"/>
  <c r="F187" i="1"/>
  <c r="P188" i="1"/>
  <c r="V169" i="1"/>
  <c r="V199" i="1" s="1"/>
  <c r="T153" i="1"/>
  <c r="S162" i="1"/>
  <c r="H148" i="1"/>
  <c r="H140" i="1"/>
  <c r="Q149" i="1"/>
  <c r="L179" i="1"/>
  <c r="N158" i="1"/>
  <c r="U156" i="1"/>
  <c r="I148" i="1"/>
  <c r="W83" i="1"/>
  <c r="R152" i="1"/>
  <c r="B135" i="1"/>
  <c r="V186" i="1"/>
  <c r="I93" i="1"/>
  <c r="M163" i="1"/>
  <c r="E152" i="1"/>
  <c r="S152" i="1"/>
  <c r="K138" i="1"/>
  <c r="V94" i="1"/>
  <c r="P141" i="1"/>
  <c r="G165" i="1"/>
  <c r="S141" i="1"/>
  <c r="G186" i="1"/>
  <c r="V134" i="1"/>
  <c r="J134" i="1"/>
  <c r="V179" i="1"/>
  <c r="Q175" i="1"/>
  <c r="U141" i="1"/>
  <c r="H143" i="1"/>
  <c r="D186" i="1"/>
  <c r="F89" i="1"/>
  <c r="S94" i="1"/>
  <c r="Q166" i="1"/>
  <c r="T140" i="1"/>
  <c r="L161" i="1"/>
  <c r="L196" i="1" s="1"/>
  <c r="I95" i="1"/>
  <c r="C162" i="1"/>
  <c r="W158" i="1"/>
  <c r="G142" i="1"/>
  <c r="G170" i="1" s="1"/>
  <c r="P93" i="1"/>
  <c r="F171" i="1"/>
  <c r="H158" i="1"/>
  <c r="C160" i="1"/>
  <c r="C195" i="1" s="1"/>
  <c r="S175" i="1"/>
  <c r="K83" i="1"/>
  <c r="Q161" i="1"/>
  <c r="Q196" i="1" s="1"/>
  <c r="T138" i="1"/>
  <c r="I83" i="1"/>
  <c r="O163" i="1"/>
  <c r="B149" i="1"/>
  <c r="W90" i="1"/>
  <c r="O140" i="1"/>
  <c r="K161" i="1"/>
  <c r="K196" i="1" s="1"/>
  <c r="Q148" i="1"/>
  <c r="U83" i="1"/>
  <c r="W140" i="1"/>
  <c r="C179" i="1"/>
  <c r="K156" i="1"/>
  <c r="T176" i="1"/>
  <c r="N142" i="1"/>
  <c r="N170" i="1" s="1"/>
  <c r="B140" i="1"/>
  <c r="V143" i="1"/>
  <c r="C167" i="1"/>
  <c r="K140" i="1"/>
  <c r="U151" i="1"/>
  <c r="U147" i="1" s="1"/>
  <c r="E179" i="1"/>
  <c r="V187" i="1"/>
  <c r="Q186" i="1"/>
  <c r="M160" i="1"/>
  <c r="M195" i="1" s="1"/>
  <c r="E160" i="1"/>
  <c r="E195" i="1" s="1"/>
  <c r="D153" i="1"/>
  <c r="L176" i="1"/>
  <c r="S163" i="1"/>
  <c r="D133" i="1"/>
  <c r="U90" i="1"/>
  <c r="E158" i="1"/>
  <c r="J187" i="1"/>
  <c r="Q142" i="1"/>
  <c r="Q170" i="1" s="1"/>
  <c r="C80" i="1"/>
  <c r="Q95" i="1"/>
  <c r="N186" i="1"/>
  <c r="G133" i="1"/>
  <c r="J142" i="1"/>
  <c r="J170" i="1" s="1"/>
  <c r="M158" i="1"/>
  <c r="O133" i="1"/>
  <c r="P187" i="1"/>
  <c r="V158" i="1"/>
  <c r="M133" i="1"/>
  <c r="O176" i="1"/>
  <c r="R95" i="1"/>
  <c r="B134" i="1"/>
  <c r="V152" i="1"/>
  <c r="W162" i="1"/>
  <c r="S186" i="1"/>
  <c r="O175" i="1"/>
  <c r="H94" i="1"/>
  <c r="D162" i="1"/>
  <c r="R148" i="1"/>
  <c r="K133" i="1"/>
  <c r="L90" i="1"/>
  <c r="J140" i="1"/>
  <c r="S169" i="1"/>
  <c r="S199" i="1" s="1"/>
  <c r="V180" i="1"/>
  <c r="E93" i="1"/>
  <c r="T143" i="1"/>
  <c r="O93" i="1"/>
  <c r="B160" i="1"/>
  <c r="B195" i="1" s="1"/>
  <c r="L151" i="1"/>
  <c r="L147" i="1" s="1"/>
  <c r="L138" i="1"/>
  <c r="V142" i="1"/>
  <c r="V170" i="1" s="1"/>
  <c r="N93" i="1"/>
  <c r="R89" i="1"/>
  <c r="O158" i="1"/>
  <c r="U166" i="1"/>
  <c r="O169" i="1"/>
  <c r="O199" i="1" s="1"/>
  <c r="N134" i="1"/>
  <c r="G187" i="1"/>
  <c r="U163" i="1"/>
  <c r="R162" i="1"/>
  <c r="Q171" i="1"/>
  <c r="K135" i="1"/>
  <c r="P152" i="1"/>
  <c r="C158" i="1"/>
  <c r="U159" i="1"/>
  <c r="N180" i="1"/>
  <c r="P161" i="1"/>
  <c r="P196" i="1" s="1"/>
  <c r="G151" i="1"/>
  <c r="G147" i="1" s="1"/>
  <c r="M141" i="1"/>
  <c r="D79" i="1"/>
  <c r="C83" i="1"/>
  <c r="P160" i="1"/>
  <c r="P195" i="1" s="1"/>
  <c r="F141" i="1"/>
  <c r="E167" i="1"/>
  <c r="V140" i="1"/>
  <c r="U167" i="1"/>
  <c r="O142" i="1"/>
  <c r="O170" i="1" s="1"/>
  <c r="V175" i="1"/>
  <c r="K165" i="1"/>
  <c r="E134" i="1"/>
  <c r="E142" i="1"/>
  <c r="E170" i="1" s="1"/>
  <c r="V161" i="1"/>
  <c r="V196" i="1" s="1"/>
  <c r="R176" i="1"/>
  <c r="T156" i="1"/>
  <c r="U176" i="1"/>
  <c r="P167" i="1"/>
  <c r="I171" i="1"/>
  <c r="I175" i="1"/>
  <c r="K90" i="1"/>
  <c r="R159" i="1"/>
  <c r="O89" i="1"/>
  <c r="I140" i="1"/>
  <c r="K166" i="1"/>
  <c r="D135" i="1"/>
  <c r="N135" i="1"/>
  <c r="B179" i="1"/>
  <c r="H161" i="1"/>
  <c r="H196" i="1" s="1"/>
  <c r="K158" i="1"/>
  <c r="N171" i="1"/>
  <c r="D140" i="1"/>
  <c r="N156" i="1"/>
  <c r="J138" i="1"/>
  <c r="S158" i="1"/>
  <c r="T141" i="1"/>
  <c r="B156" i="1"/>
  <c r="Q143" i="1"/>
  <c r="Q83" i="1"/>
  <c r="P179" i="1"/>
  <c r="J163" i="1"/>
  <c r="I167" i="1"/>
  <c r="Q134" i="1"/>
  <c r="B158" i="1"/>
  <c r="W188" i="1"/>
  <c r="H90" i="1"/>
  <c r="R135" i="1"/>
  <c r="C171" i="1"/>
  <c r="L169" i="1"/>
  <c r="L199" i="1" s="1"/>
  <c r="P156" i="1"/>
  <c r="E156" i="1"/>
  <c r="T152" i="1"/>
  <c r="K141" i="1"/>
  <c r="P153" i="1"/>
  <c r="V156" i="1"/>
  <c r="E180" i="1"/>
  <c r="I163" i="1"/>
  <c r="W95" i="1"/>
  <c r="O94" i="1"/>
  <c r="N176" i="1"/>
  <c r="Q162" i="1"/>
  <c r="U135" i="1"/>
  <c r="D179" i="1"/>
  <c r="T133" i="1"/>
  <c r="H160" i="1"/>
  <c r="E187" i="1"/>
  <c r="O134" i="1"/>
  <c r="P142" i="1"/>
  <c r="P170" i="1" s="1"/>
  <c r="V90" i="1"/>
  <c r="E171" i="1"/>
  <c r="S165" i="1"/>
  <c r="Q141" i="1"/>
  <c r="M94" i="1"/>
  <c r="K152" i="1"/>
  <c r="R151" i="1"/>
  <c r="R147" i="1" s="1"/>
  <c r="E133" i="1"/>
  <c r="C148" i="1"/>
  <c r="Q93" i="1"/>
  <c r="O156" i="1"/>
  <c r="B159" i="1"/>
  <c r="H167" i="1"/>
  <c r="V159" i="1"/>
  <c r="C138" i="1"/>
  <c r="K89" i="1"/>
  <c r="M89" i="1"/>
  <c r="L160" i="1"/>
  <c r="L195" i="1" s="1"/>
  <c r="M176" i="1"/>
  <c r="W149" i="1"/>
  <c r="H180" i="1"/>
  <c r="S134" i="1"/>
  <c r="S187" i="1"/>
  <c r="J95" i="1"/>
  <c r="K167" i="1"/>
  <c r="O153" i="1"/>
  <c r="O162" i="1"/>
  <c r="W171" i="1"/>
  <c r="I180" i="1"/>
  <c r="D149" i="1"/>
  <c r="S135" i="1"/>
  <c r="U158" i="1"/>
  <c r="S153" i="1"/>
  <c r="C180" i="1"/>
  <c r="F90" i="1"/>
  <c r="V135" i="1"/>
  <c r="G176" i="1"/>
  <c r="G89" i="1"/>
  <c r="T175" i="1"/>
  <c r="B186" i="1"/>
  <c r="C141" i="1"/>
  <c r="C165" i="1"/>
  <c r="C95" i="1"/>
  <c r="B153" i="1"/>
  <c r="V171" i="1"/>
  <c r="F138" i="1"/>
  <c r="S166" i="1"/>
  <c r="N169" i="1"/>
  <c r="N199" i="1" s="1"/>
  <c r="F140" i="1"/>
  <c r="H163" i="1"/>
  <c r="L171" i="1"/>
  <c r="R186" i="1"/>
  <c r="H169" i="1"/>
  <c r="H199" i="1" s="1"/>
  <c r="E148" i="1"/>
  <c r="L165" i="1"/>
  <c r="W165" i="1"/>
  <c r="C147" i="1"/>
  <c r="I188" i="1"/>
  <c r="I176" i="1"/>
  <c r="J162" i="1"/>
  <c r="N179" i="1"/>
  <c r="M188" i="1"/>
  <c r="Q187" i="1"/>
  <c r="J167" i="1"/>
  <c r="U175" i="1"/>
  <c r="P148" i="1"/>
  <c r="F159" i="1"/>
  <c r="H156" i="1"/>
  <c r="B141" i="1"/>
  <c r="H186" i="1"/>
  <c r="R161" i="1"/>
  <c r="R196" i="1" s="1"/>
  <c r="E163" i="1"/>
  <c r="W179" i="1"/>
  <c r="H133" i="1"/>
  <c r="U142" i="1"/>
  <c r="U170" i="1" s="1"/>
  <c r="T160" i="1"/>
  <c r="T195" i="1" s="1"/>
  <c r="G141" i="1"/>
  <c r="I165" i="1"/>
  <c r="C186" i="1"/>
  <c r="M165" i="1"/>
  <c r="O148" i="1"/>
  <c r="Q176" i="1"/>
  <c r="N160" i="1"/>
  <c r="L163" i="1"/>
  <c r="J160" i="1"/>
  <c r="J195" i="1" s="1"/>
  <c r="J179" i="1"/>
  <c r="R166" i="1"/>
  <c r="I133" i="1"/>
  <c r="N175" i="1"/>
  <c r="N177" i="1" s="1"/>
  <c r="O225" i="1" s="1"/>
  <c r="I158" i="1"/>
  <c r="N133" i="1"/>
  <c r="N136" i="1" s="1"/>
  <c r="K188" i="1"/>
  <c r="H93" i="1"/>
  <c r="D151" i="1"/>
  <c r="I156" i="1"/>
  <c r="V148" i="1"/>
  <c r="J188" i="1"/>
  <c r="N94" i="1"/>
  <c r="H141" i="1"/>
  <c r="E176" i="1"/>
  <c r="E177" i="1" s="1"/>
  <c r="F225" i="1" s="1"/>
  <c r="E90" i="1"/>
  <c r="O152" i="1"/>
  <c r="S176" i="1"/>
  <c r="G83" i="1"/>
  <c r="I143" i="1"/>
  <c r="F161" i="1"/>
  <c r="F196" i="1" s="1"/>
  <c r="H153" i="1"/>
  <c r="G90" i="1"/>
  <c r="L142" i="1"/>
  <c r="L170" i="1" s="1"/>
  <c r="U149" i="1"/>
  <c r="L83" i="1"/>
  <c r="N152" i="1"/>
  <c r="U179" i="1"/>
  <c r="F94" i="1"/>
  <c r="J151" i="1"/>
  <c r="J147" i="1" s="1"/>
  <c r="F93" i="1"/>
  <c r="B165" i="1"/>
  <c r="E83" i="1"/>
  <c r="D160" i="1"/>
  <c r="D195" i="1" s="1"/>
  <c r="D167" i="1"/>
  <c r="E95" i="1"/>
  <c r="I89" i="1"/>
  <c r="P95" i="1"/>
  <c r="H152" i="1"/>
  <c r="K142" i="1"/>
  <c r="K170" i="1" s="1"/>
  <c r="U94" i="1"/>
  <c r="O149" i="1"/>
  <c r="D147" i="1"/>
  <c r="W175" i="1"/>
  <c r="D148" i="1"/>
  <c r="R171" i="1"/>
  <c r="G175" i="1"/>
  <c r="M143" i="1"/>
  <c r="Q151" i="1"/>
  <c r="Q147" i="1" s="1"/>
  <c r="B133" i="1"/>
  <c r="G149" i="1"/>
  <c r="K94" i="1"/>
  <c r="P83" i="1"/>
  <c r="S90" i="1"/>
  <c r="V188" i="1"/>
  <c r="M138" i="1"/>
  <c r="S161" i="1"/>
  <c r="S196" i="1" s="1"/>
  <c r="Q167" i="1"/>
  <c r="W159" i="1"/>
  <c r="J165" i="1"/>
  <c r="V95" i="1"/>
  <c r="S149" i="1"/>
  <c r="M152" i="1"/>
  <c r="H176" i="1"/>
  <c r="T158" i="1"/>
  <c r="N159" i="1"/>
  <c r="M186" i="1"/>
  <c r="E140" i="1"/>
  <c r="K187" i="1"/>
  <c r="M149" i="1"/>
  <c r="D83" i="1"/>
  <c r="K175" i="1"/>
  <c r="W93" i="1"/>
  <c r="Q133" i="1"/>
  <c r="W180" i="1"/>
  <c r="P186" i="1"/>
  <c r="R153" i="1"/>
  <c r="I94" i="1"/>
  <c r="U186" i="1"/>
  <c r="E165" i="1"/>
  <c r="I135" i="1"/>
  <c r="F156" i="1"/>
  <c r="O159" i="1"/>
  <c r="T134" i="1"/>
  <c r="C188" i="1"/>
  <c r="S159" i="1"/>
  <c r="E159" i="1"/>
  <c r="K148" i="1"/>
  <c r="L186" i="1"/>
  <c r="C176" i="1"/>
  <c r="J169" i="1"/>
  <c r="J199" i="1" s="1"/>
  <c r="T163" i="1"/>
  <c r="H149" i="1"/>
  <c r="L188" i="1"/>
  <c r="H179" i="1"/>
  <c r="R93" i="1"/>
  <c r="K186" i="1"/>
  <c r="T162" i="1"/>
  <c r="W156" i="1"/>
  <c r="F95" i="1"/>
  <c r="N187" i="1"/>
  <c r="C163" i="1"/>
  <c r="O160" i="1"/>
  <c r="O195" i="1" s="1"/>
  <c r="F158" i="1"/>
  <c r="T169" i="1"/>
  <c r="T199" i="1" s="1"/>
  <c r="R142" i="1"/>
  <c r="R170" i="1" s="1"/>
  <c r="M166" i="1"/>
  <c r="D175" i="1"/>
  <c r="J94" i="1"/>
  <c r="C166" i="1"/>
  <c r="H95" i="1"/>
  <c r="H187" i="1"/>
  <c r="K151" i="1"/>
  <c r="K147" i="1" s="1"/>
  <c r="S160" i="1"/>
  <c r="S195" i="1" s="1"/>
  <c r="N141" i="1"/>
  <c r="O186" i="1"/>
  <c r="H171" i="1"/>
  <c r="F175" i="1"/>
  <c r="W161" i="1"/>
  <c r="L141" i="1"/>
  <c r="O180" i="1"/>
  <c r="O166" i="1"/>
  <c r="F135" i="1"/>
  <c r="O187" i="1"/>
  <c r="R163" i="1"/>
  <c r="Q153" i="1"/>
  <c r="G166" i="1"/>
  <c r="P180" i="1"/>
  <c r="K169" i="1"/>
  <c r="K199" i="1" s="1"/>
  <c r="O90" i="1"/>
  <c r="D93" i="1"/>
  <c r="N161" i="1"/>
  <c r="N196" i="1" s="1"/>
  <c r="S95" i="1"/>
  <c r="U93" i="1"/>
  <c r="J175" i="1"/>
  <c r="G135" i="1"/>
  <c r="V165" i="1"/>
  <c r="S138" i="1"/>
  <c r="L156" i="1"/>
  <c r="T179" i="1"/>
  <c r="N143" i="1"/>
  <c r="U134" i="1"/>
  <c r="P90" i="1"/>
  <c r="P138" i="1"/>
  <c r="F133" i="1"/>
  <c r="T171" i="1"/>
  <c r="D187" i="1"/>
  <c r="U153" i="1"/>
  <c r="N90" i="1"/>
  <c r="P135" i="1"/>
  <c r="I169" i="1"/>
  <c r="I199" i="1" s="1"/>
  <c r="T167" i="1"/>
  <c r="M142" i="1"/>
  <c r="J143" i="1"/>
  <c r="V141" i="1"/>
  <c r="O165" i="1"/>
  <c r="G94" i="1"/>
  <c r="J90" i="1"/>
  <c r="L93" i="1"/>
  <c r="G180" i="1"/>
  <c r="U171" i="1"/>
  <c r="AQ25" i="1"/>
  <c r="BV38" i="1"/>
  <c r="BW25" i="1"/>
  <c r="BE38" i="1"/>
  <c r="BA25" i="1"/>
  <c r="BN25" i="1"/>
  <c r="BD25" i="1"/>
  <c r="AS38" i="1"/>
  <c r="AR38" i="1"/>
  <c r="BP38" i="1"/>
  <c r="AW25" i="1"/>
  <c r="BC25" i="1"/>
  <c r="BB38" i="1"/>
  <c r="AW38" i="1"/>
  <c r="BG25" i="1"/>
  <c r="BM25" i="1"/>
  <c r="BI38" i="1"/>
  <c r="BT38" i="1"/>
  <c r="AZ25" i="1"/>
  <c r="AI25" i="1"/>
  <c r="BF38" i="1"/>
  <c r="AO25" i="1"/>
  <c r="BV25" i="1"/>
  <c r="BF25" i="1"/>
  <c r="AX38" i="1"/>
  <c r="BH62" i="1"/>
  <c r="AP25" i="1"/>
  <c r="BE25" i="1"/>
  <c r="BO25" i="1"/>
  <c r="AZ38" i="1"/>
  <c r="BJ38" i="1"/>
  <c r="BJ42" i="1" s="1"/>
  <c r="AU63" i="1"/>
  <c r="BD38" i="1"/>
  <c r="AY38" i="1"/>
  <c r="BR38" i="1"/>
  <c r="BK25" i="1"/>
  <c r="BQ25" i="1"/>
  <c r="AP38" i="1"/>
  <c r="BS25" i="1"/>
  <c r="AO38" i="1"/>
  <c r="BW38" i="1"/>
  <c r="AQ38" i="1"/>
  <c r="AV38" i="1"/>
  <c r="BM38" i="1"/>
  <c r="BP25" i="1"/>
  <c r="BG38" i="1"/>
  <c r="BH38" i="1"/>
  <c r="AT38" i="1"/>
  <c r="AN38" i="1"/>
  <c r="BS38" i="1"/>
  <c r="BU38" i="1"/>
  <c r="BO38" i="1"/>
  <c r="BJ25" i="1"/>
  <c r="BJ26" i="1" s="1"/>
  <c r="BJ32" i="1" s="1"/>
  <c r="BC38" i="1"/>
  <c r="BK38" i="1"/>
  <c r="BQ38" i="1"/>
  <c r="AU38" i="1"/>
  <c r="BN38" i="1"/>
  <c r="BA38" i="1"/>
  <c r="AI38" i="1"/>
  <c r="AN25" i="1"/>
  <c r="BH25" i="1"/>
  <c r="AW63" i="1"/>
  <c r="AV25" i="1"/>
  <c r="AR25" i="1"/>
  <c r="BR25" i="1"/>
  <c r="AT25" i="1"/>
  <c r="BT25" i="1"/>
  <c r="BI25" i="1"/>
  <c r="BU25" i="1"/>
  <c r="AX25" i="1"/>
  <c r="AS25" i="1"/>
  <c r="AU25" i="1"/>
  <c r="BB25" i="1"/>
  <c r="AV63" i="1"/>
  <c r="AY25" i="1"/>
  <c r="BH159" i="1"/>
  <c r="BI159" i="1" s="1"/>
  <c r="BV153" i="1"/>
  <c r="BW153" i="1" s="1"/>
  <c r="BV159" i="1"/>
  <c r="BW159" i="1" s="1"/>
  <c r="BH153" i="1"/>
  <c r="BI153" i="1" s="1"/>
  <c r="AV48" i="1"/>
  <c r="AV210" i="1" s="1"/>
  <c r="BA37" i="1"/>
  <c r="BF39" i="1"/>
  <c r="AY52" i="1"/>
  <c r="BU67" i="1"/>
  <c r="AQ37" i="1"/>
  <c r="BE29" i="1"/>
  <c r="AP63" i="1"/>
  <c r="AQ52" i="1"/>
  <c r="AU39" i="1"/>
  <c r="BG63" i="1"/>
  <c r="AW41" i="1"/>
  <c r="AY40" i="1"/>
  <c r="AW37" i="1"/>
  <c r="BJ55" i="1"/>
  <c r="AR61" i="1"/>
  <c r="BV62" i="1"/>
  <c r="AQ39" i="1"/>
  <c r="BM55" i="1"/>
  <c r="BK63" i="1"/>
  <c r="BK30" i="1"/>
  <c r="BF36" i="1"/>
  <c r="AW67" i="1"/>
  <c r="BJ89" i="1"/>
  <c r="BG55" i="1"/>
  <c r="BH179" i="1"/>
  <c r="BI179" i="1" s="1"/>
  <c r="BU24" i="1"/>
  <c r="BQ36" i="1"/>
  <c r="AQ31" i="1"/>
  <c r="BS41" i="1"/>
  <c r="AX31" i="1"/>
  <c r="BS48" i="1"/>
  <c r="BS210" i="1" s="1"/>
  <c r="BH156" i="1"/>
  <c r="BI156" i="1" s="1"/>
  <c r="BJ218" i="1" s="1"/>
  <c r="BC39" i="1"/>
  <c r="BB37" i="1"/>
  <c r="AI31" i="1"/>
  <c r="BM52" i="1"/>
  <c r="BG62" i="1"/>
  <c r="AS67" i="1"/>
  <c r="BB51" i="1"/>
  <c r="BB67" i="1"/>
  <c r="AR62" i="1"/>
  <c r="AU30" i="1"/>
  <c r="BD24" i="1"/>
  <c r="BD11" i="1" s="1"/>
  <c r="AP31" i="1"/>
  <c r="BB63" i="1"/>
  <c r="BV141" i="1"/>
  <c r="BW141" i="1" s="1"/>
  <c r="BM39" i="1"/>
  <c r="BK62" i="1"/>
  <c r="BK36" i="1"/>
  <c r="AT51" i="1"/>
  <c r="BW52" i="1"/>
  <c r="BI40" i="1"/>
  <c r="BJ61" i="1"/>
  <c r="AS48" i="1"/>
  <c r="AT52" i="1"/>
  <c r="BQ41" i="1"/>
  <c r="AT37" i="1"/>
  <c r="BT31" i="1"/>
  <c r="BH175" i="1"/>
  <c r="BI29" i="1"/>
  <c r="BE30" i="1"/>
  <c r="AY39" i="1"/>
  <c r="BH180" i="1"/>
  <c r="BI180" i="1" s="1"/>
  <c r="BH89" i="1"/>
  <c r="AP62" i="1"/>
  <c r="BH158" i="1"/>
  <c r="AY48" i="1"/>
  <c r="AY210" i="1" s="1"/>
  <c r="AR30" i="1"/>
  <c r="BP55" i="1"/>
  <c r="BE62" i="1"/>
  <c r="AQ61" i="1"/>
  <c r="BB40" i="1"/>
  <c r="BW29" i="1"/>
  <c r="BC37" i="1"/>
  <c r="BD67" i="1"/>
  <c r="BO55" i="1"/>
  <c r="AI55" i="1"/>
  <c r="BI31" i="1"/>
  <c r="BQ24" i="1"/>
  <c r="BQ11" i="1" s="1"/>
  <c r="BF67" i="1"/>
  <c r="AV39" i="1"/>
  <c r="AT31" i="1"/>
  <c r="BT67" i="1"/>
  <c r="AQ36" i="1"/>
  <c r="BS62" i="1"/>
  <c r="BB48" i="1"/>
  <c r="BH162" i="1"/>
  <c r="BI162" i="1" s="1"/>
  <c r="BV135" i="1"/>
  <c r="BT40" i="1"/>
  <c r="BQ63" i="1"/>
  <c r="BV134" i="1"/>
  <c r="BW134" i="1" s="1"/>
  <c r="BN24" i="1"/>
  <c r="BN11" i="1" s="1"/>
  <c r="BR51" i="1"/>
  <c r="BU62" i="1"/>
  <c r="AX61" i="1"/>
  <c r="AN30" i="1"/>
  <c r="AT30" i="1"/>
  <c r="BK40" i="1"/>
  <c r="BJ51" i="1"/>
  <c r="AP39" i="1"/>
  <c r="AX30" i="1"/>
  <c r="BR39" i="1"/>
  <c r="BM62" i="1"/>
  <c r="BP67" i="1"/>
  <c r="BA55" i="1"/>
  <c r="BM31" i="1"/>
  <c r="BQ52" i="1"/>
  <c r="AZ67" i="1"/>
  <c r="BE55" i="1"/>
  <c r="AI63" i="1"/>
  <c r="BU63" i="1"/>
  <c r="BB62" i="1"/>
  <c r="BF41" i="1"/>
  <c r="BD41" i="1"/>
  <c r="BM36" i="1"/>
  <c r="BT36" i="1"/>
  <c r="BQ48" i="1"/>
  <c r="BQ210" i="1" s="1"/>
  <c r="AS39" i="1"/>
  <c r="AJ89" i="1"/>
  <c r="BP62" i="1"/>
  <c r="AW29" i="1"/>
  <c r="AV30" i="1"/>
  <c r="BI30" i="1"/>
  <c r="AS41" i="1"/>
  <c r="BI61" i="1"/>
  <c r="BP29" i="1"/>
  <c r="AZ41" i="1"/>
  <c r="AY55" i="1"/>
  <c r="BH36" i="1"/>
  <c r="BA41" i="1"/>
  <c r="BF37" i="1"/>
  <c r="BC52" i="1"/>
  <c r="BW37" i="1"/>
  <c r="BR48" i="1"/>
  <c r="AX36" i="1"/>
  <c r="BS29" i="1"/>
  <c r="BQ40" i="1"/>
  <c r="BE40" i="1"/>
  <c r="BP24" i="1"/>
  <c r="AO37" i="1"/>
  <c r="BV167" i="1"/>
  <c r="BW167" i="1" s="1"/>
  <c r="BA29" i="1"/>
  <c r="BV67" i="1"/>
  <c r="AY29" i="1"/>
  <c r="BI62" i="1"/>
  <c r="BH163" i="1"/>
  <c r="BI163" i="1" s="1"/>
  <c r="BN41" i="1"/>
  <c r="AS36" i="1"/>
  <c r="AW31" i="1"/>
  <c r="AU61" i="1"/>
  <c r="AI29" i="1"/>
  <c r="AT24" i="1"/>
  <c r="AT11" i="1" s="1"/>
  <c r="BT63" i="1"/>
  <c r="BE67" i="1"/>
  <c r="BR41" i="1"/>
  <c r="BA36" i="1"/>
  <c r="AI36" i="1"/>
  <c r="BD37" i="1"/>
  <c r="AN55" i="1"/>
  <c r="BW62" i="1"/>
  <c r="AY24" i="1"/>
  <c r="AY11" i="1" s="1"/>
  <c r="BW31" i="1"/>
  <c r="AM61" i="1"/>
  <c r="AT36" i="1"/>
  <c r="BE39" i="1"/>
  <c r="AR29" i="1"/>
  <c r="BM30" i="1"/>
  <c r="BC51" i="1"/>
  <c r="BG48" i="1"/>
  <c r="BG210" i="1" s="1"/>
  <c r="AZ55" i="1"/>
  <c r="BH40" i="1"/>
  <c r="BJ67" i="1"/>
  <c r="BS67" i="1"/>
  <c r="BR62" i="1"/>
  <c r="BE63" i="1"/>
  <c r="AY41" i="1"/>
  <c r="BV166" i="1"/>
  <c r="BW166" i="1" s="1"/>
  <c r="BV55" i="1"/>
  <c r="BQ67" i="1"/>
  <c r="AI62" i="1"/>
  <c r="AN63" i="1"/>
  <c r="AQ63" i="1"/>
  <c r="BW36" i="1"/>
  <c r="AO31" i="1"/>
  <c r="AW30" i="1"/>
  <c r="BR31" i="1"/>
  <c r="BH37" i="1"/>
  <c r="BH39" i="1"/>
  <c r="AI41" i="1"/>
  <c r="BO63" i="1"/>
  <c r="BO37" i="1"/>
  <c r="AP48" i="1"/>
  <c r="AQ48" i="1"/>
  <c r="BT41" i="1"/>
  <c r="AY63" i="1"/>
  <c r="BV170" i="1"/>
  <c r="BW170" i="1" s="1"/>
  <c r="AZ40" i="1"/>
  <c r="BK51" i="1"/>
  <c r="BH90" i="1"/>
  <c r="BH48" i="1"/>
  <c r="BH210" i="1" s="1"/>
  <c r="AT41" i="1"/>
  <c r="BV148" i="1"/>
  <c r="BR67" i="1"/>
  <c r="BP63" i="1"/>
  <c r="AN51" i="1"/>
  <c r="BS40" i="1"/>
  <c r="AX67" i="1"/>
  <c r="AZ29" i="1"/>
  <c r="BB39" i="1"/>
  <c r="AW52" i="1"/>
  <c r="BD31" i="1"/>
  <c r="BN48" i="1"/>
  <c r="BM24" i="1"/>
  <c r="BM11" i="1" s="1"/>
  <c r="AO30" i="1"/>
  <c r="BK37" i="1"/>
  <c r="BN30" i="1"/>
  <c r="BH24" i="1"/>
  <c r="BA52" i="1"/>
  <c r="BH133" i="1"/>
  <c r="BA67" i="1"/>
  <c r="BH67" i="1"/>
  <c r="AP51" i="1"/>
  <c r="BI37" i="1"/>
  <c r="BS51" i="1"/>
  <c r="BN29" i="1"/>
  <c r="AY51" i="1"/>
  <c r="AV36" i="1"/>
  <c r="BW63" i="1"/>
  <c r="BO41" i="1"/>
  <c r="BO39" i="1"/>
  <c r="BB29" i="1"/>
  <c r="BI63" i="1"/>
  <c r="AN52" i="1"/>
  <c r="AU29" i="1"/>
  <c r="BT55" i="1"/>
  <c r="BQ61" i="1"/>
  <c r="BG40" i="1"/>
  <c r="BU52" i="1"/>
  <c r="BV138" i="1"/>
  <c r="BW138" i="1" s="1"/>
  <c r="BQ51" i="1"/>
  <c r="BO48" i="1"/>
  <c r="BO210" i="1" s="1"/>
  <c r="BG41" i="1"/>
  <c r="BV175" i="1"/>
  <c r="AM89" i="1"/>
  <c r="BO67" i="1"/>
  <c r="AO55" i="1"/>
  <c r="BV41" i="1"/>
  <c r="BH134" i="1"/>
  <c r="BI134" i="1" s="1"/>
  <c r="BS24" i="1"/>
  <c r="BH52" i="1"/>
  <c r="AZ30" i="1"/>
  <c r="BV163" i="1"/>
  <c r="BW163" i="1" s="1"/>
  <c r="BG39" i="1"/>
  <c r="AQ41" i="1"/>
  <c r="AP24" i="1"/>
  <c r="AO29" i="1"/>
  <c r="BD51" i="1"/>
  <c r="BD55" i="1"/>
  <c r="BW61" i="1"/>
  <c r="BR30" i="1"/>
  <c r="AT55" i="1"/>
  <c r="BT39" i="1"/>
  <c r="BU37" i="1"/>
  <c r="AN62" i="1"/>
  <c r="AZ24" i="1"/>
  <c r="AZ11" i="1" s="1"/>
  <c r="AN40" i="1"/>
  <c r="BV31" i="1"/>
  <c r="AQ30" i="1"/>
  <c r="BP48" i="1"/>
  <c r="BI39" i="1"/>
  <c r="BA61" i="1"/>
  <c r="AZ63" i="1"/>
  <c r="BV165" i="1"/>
  <c r="BW165" i="1" s="1"/>
  <c r="BW48" i="1"/>
  <c r="BW210" i="1" s="1"/>
  <c r="AV31" i="1"/>
  <c r="AO41" i="1"/>
  <c r="BO51" i="1"/>
  <c r="BM51" i="1"/>
  <c r="AP29" i="1"/>
  <c r="AS30" i="1"/>
  <c r="BG31" i="1"/>
  <c r="BV179" i="1"/>
  <c r="BW179" i="1" s="1"/>
  <c r="BV89" i="1"/>
  <c r="AQ29" i="1"/>
  <c r="AX39" i="1"/>
  <c r="BV158" i="1"/>
  <c r="BW158" i="1" s="1"/>
  <c r="BK24" i="1"/>
  <c r="BK11" i="1" s="1"/>
  <c r="AR63" i="1"/>
  <c r="AU31" i="1"/>
  <c r="BT29" i="1"/>
  <c r="AI24" i="1"/>
  <c r="BU55" i="1"/>
  <c r="BC62" i="1"/>
  <c r="BA63" i="1"/>
  <c r="BD63" i="1"/>
  <c r="BW30" i="1"/>
  <c r="BV37" i="1"/>
  <c r="BG36" i="1"/>
  <c r="AO61" i="1"/>
  <c r="BN62" i="1"/>
  <c r="AW48" i="1"/>
  <c r="AW210" i="1" s="1"/>
  <c r="BC29" i="1"/>
  <c r="AM90" i="1"/>
  <c r="BS61" i="1"/>
  <c r="BU36" i="1"/>
  <c r="BU51" i="1"/>
  <c r="BN63" i="1"/>
  <c r="BH167" i="1"/>
  <c r="BI167" i="1" s="1"/>
  <c r="BR63" i="1"/>
  <c r="BA24" i="1"/>
  <c r="AZ36" i="1"/>
  <c r="BO52" i="1"/>
  <c r="AI39" i="1"/>
  <c r="BE51" i="1"/>
  <c r="AW24" i="1"/>
  <c r="AW11" i="1" s="1"/>
  <c r="BP30" i="1"/>
  <c r="BR61" i="1"/>
  <c r="AR40" i="1"/>
  <c r="BF51" i="1"/>
  <c r="BV180" i="1"/>
  <c r="BW180" i="1" s="1"/>
  <c r="BT37" i="1"/>
  <c r="AR37" i="1"/>
  <c r="BO62" i="1"/>
  <c r="BA51" i="1"/>
  <c r="AZ31" i="1"/>
  <c r="AV62" i="1"/>
  <c r="BQ39" i="1"/>
  <c r="AX48" i="1"/>
  <c r="AX210" i="1" s="1"/>
  <c r="AO24" i="1"/>
  <c r="AO11" i="1" s="1"/>
  <c r="BV40" i="1"/>
  <c r="AJ90" i="1"/>
  <c r="BC36" i="1"/>
  <c r="BI36" i="1"/>
  <c r="BA48" i="1"/>
  <c r="BS37" i="1"/>
  <c r="AO67" i="1"/>
  <c r="BB24" i="1"/>
  <c r="BB11" i="1" s="1"/>
  <c r="AV37" i="1"/>
  <c r="BW51" i="1"/>
  <c r="BK48" i="1"/>
  <c r="AO39" i="1"/>
  <c r="AW40" i="1"/>
  <c r="BE36" i="1"/>
  <c r="BR52" i="1"/>
  <c r="BS55" i="1"/>
  <c r="AV51" i="1"/>
  <c r="BU41" i="1"/>
  <c r="BH135" i="1"/>
  <c r="BR24" i="1"/>
  <c r="BH170" i="1"/>
  <c r="BI170" i="1" s="1"/>
  <c r="BM41" i="1"/>
  <c r="BN61" i="1"/>
  <c r="AU24" i="1"/>
  <c r="AU11" i="1" s="1"/>
  <c r="BC67" i="1"/>
  <c r="AX63" i="1"/>
  <c r="BI48" i="1"/>
  <c r="BM61" i="1"/>
  <c r="BW39" i="1"/>
  <c r="AP40" i="1"/>
  <c r="BA62" i="1"/>
  <c r="BN55" i="1"/>
  <c r="AR48" i="1"/>
  <c r="AR210" i="1" s="1"/>
  <c r="BI51" i="1"/>
  <c r="BU30" i="1"/>
  <c r="AK90" i="1"/>
  <c r="BT48" i="1"/>
  <c r="AI67" i="1"/>
  <c r="BJ63" i="1"/>
  <c r="AX29" i="1"/>
  <c r="AR51" i="1"/>
  <c r="BI52" i="1"/>
  <c r="AP55" i="1"/>
  <c r="AZ39" i="1"/>
  <c r="BQ62" i="1"/>
  <c r="AN29" i="1"/>
  <c r="AR67" i="1"/>
  <c r="BV133" i="1"/>
  <c r="AV67" i="1"/>
  <c r="AN41" i="1"/>
  <c r="AQ67" i="1"/>
  <c r="BK55" i="1"/>
  <c r="BH30" i="1"/>
  <c r="AV55" i="1"/>
  <c r="BC31" i="1"/>
  <c r="AO62" i="1"/>
  <c r="AT48" i="1"/>
  <c r="AT210" i="1" s="1"/>
  <c r="BH143" i="1"/>
  <c r="BI143" i="1" s="1"/>
  <c r="AW39" i="1"/>
  <c r="BD52" i="1"/>
  <c r="BH165" i="1"/>
  <c r="AV40" i="1"/>
  <c r="AI40" i="1"/>
  <c r="AT67" i="1"/>
  <c r="AN67" i="1"/>
  <c r="BR37" i="1"/>
  <c r="AR41" i="1"/>
  <c r="BR40" i="1"/>
  <c r="BH168" i="1"/>
  <c r="BI168" i="1" s="1"/>
  <c r="BP41" i="1"/>
  <c r="BF55" i="1"/>
  <c r="BU31" i="1"/>
  <c r="BR55" i="1"/>
  <c r="BH55" i="1"/>
  <c r="AI61" i="1"/>
  <c r="AU52" i="1"/>
  <c r="BH171" i="1"/>
  <c r="BI171" i="1" s="1"/>
  <c r="AR36" i="1"/>
  <c r="BV149" i="1"/>
  <c r="BQ29" i="1"/>
  <c r="BU61" i="1"/>
  <c r="BG29" i="1"/>
  <c r="BH63" i="1"/>
  <c r="BI24" i="1"/>
  <c r="BW67" i="1"/>
  <c r="AS24" i="1"/>
  <c r="BH148" i="1"/>
  <c r="BB52" i="1"/>
  <c r="BW40" i="1"/>
  <c r="BK41" i="1"/>
  <c r="BA39" i="1"/>
  <c r="BG51" i="1"/>
  <c r="BU29" i="1"/>
  <c r="AN36" i="1"/>
  <c r="BP31" i="1"/>
  <c r="BJ52" i="1"/>
  <c r="BJ268" i="1" s="1"/>
  <c r="BO61" i="1"/>
  <c r="BU48" i="1"/>
  <c r="BH142" i="1"/>
  <c r="BI142" i="1" s="1"/>
  <c r="AO52" i="1"/>
  <c r="AQ24" i="1"/>
  <c r="AQ40" i="1"/>
  <c r="BV162" i="1"/>
  <c r="BW162" i="1" s="1"/>
  <c r="BP61" i="1"/>
  <c r="BV169" i="1"/>
  <c r="BC24" i="1"/>
  <c r="BB31" i="1"/>
  <c r="BV168" i="1"/>
  <c r="BW168" i="1" s="1"/>
  <c r="BH169" i="1"/>
  <c r="BR36" i="1"/>
  <c r="BN52" i="1"/>
  <c r="BA30" i="1"/>
  <c r="AP37" i="1"/>
  <c r="AR39" i="1"/>
  <c r="BS31" i="1"/>
  <c r="AX51" i="1"/>
  <c r="BV48" i="1"/>
  <c r="BV210" i="1" s="1"/>
  <c r="BD48" i="1"/>
  <c r="BD210" i="1" s="1"/>
  <c r="BF63" i="1"/>
  <c r="BD39" i="1"/>
  <c r="BD36" i="1"/>
  <c r="BD30" i="1"/>
  <c r="AS63" i="1"/>
  <c r="BV156" i="1"/>
  <c r="BW156" i="1" s="1"/>
  <c r="BX218" i="1" s="1"/>
  <c r="BS63" i="1"/>
  <c r="AO51" i="1"/>
  <c r="AV41" i="1"/>
  <c r="BF48" i="1"/>
  <c r="BF210" i="1" s="1"/>
  <c r="BA31" i="1"/>
  <c r="BK67" i="1"/>
  <c r="BV161" i="1"/>
  <c r="BK39" i="1"/>
  <c r="BS30" i="1"/>
  <c r="AW62" i="1"/>
  <c r="AV24" i="1"/>
  <c r="AO48" i="1"/>
  <c r="AO210" i="1" s="1"/>
  <c r="AX37" i="1"/>
  <c r="AR52" i="1"/>
  <c r="BR29" i="1"/>
  <c r="AI30" i="1"/>
  <c r="BU40" i="1"/>
  <c r="BV176" i="1"/>
  <c r="BT62" i="1"/>
  <c r="BT24" i="1"/>
  <c r="BT11" i="1" s="1"/>
  <c r="AM62" i="1"/>
  <c r="AV52" i="1"/>
  <c r="BN39" i="1"/>
  <c r="AP67" i="1"/>
  <c r="AV29" i="1"/>
  <c r="BH29" i="1"/>
  <c r="BQ55" i="1"/>
  <c r="AY61" i="1"/>
  <c r="AR55" i="1"/>
  <c r="BM29" i="1"/>
  <c r="BW41" i="1"/>
  <c r="AV61" i="1"/>
  <c r="BT61" i="1"/>
  <c r="AP52" i="1"/>
  <c r="AZ48" i="1"/>
  <c r="BH138" i="1"/>
  <c r="BI138" i="1" s="1"/>
  <c r="BK52" i="1"/>
  <c r="BH149" i="1"/>
  <c r="AY62" i="1"/>
  <c r="BQ31" i="1"/>
  <c r="BE37" i="1"/>
  <c r="BV39" i="1"/>
  <c r="BD61" i="1"/>
  <c r="BM67" i="1"/>
  <c r="BM63" i="1"/>
  <c r="BV61" i="1"/>
  <c r="BH140" i="1"/>
  <c r="BV142" i="1"/>
  <c r="BW142" i="1" s="1"/>
  <c r="BH147" i="1"/>
  <c r="BI67" i="1"/>
  <c r="AT40" i="1"/>
  <c r="BD40" i="1"/>
  <c r="BF24" i="1"/>
  <c r="BF11" i="1" s="1"/>
  <c r="AX24" i="1"/>
  <c r="AX11" i="1" s="1"/>
  <c r="AT61" i="1"/>
  <c r="BV151" i="1"/>
  <c r="BW151" i="1" s="1"/>
  <c r="BP39" i="1"/>
  <c r="BC41" i="1"/>
  <c r="AK89" i="1"/>
  <c r="BP40" i="1"/>
  <c r="BF29" i="1"/>
  <c r="BM37" i="1"/>
  <c r="AO36" i="1"/>
  <c r="BV63" i="1"/>
  <c r="BK29" i="1"/>
  <c r="AO40" i="1"/>
  <c r="AZ62" i="1"/>
  <c r="BW55" i="1"/>
  <c r="AY37" i="1"/>
  <c r="AS31" i="1"/>
  <c r="AY36" i="1"/>
  <c r="AU55" i="1"/>
  <c r="AQ62" i="1"/>
  <c r="BJ90" i="1"/>
  <c r="BV140" i="1"/>
  <c r="BW140" i="1" s="1"/>
  <c r="BM40" i="1"/>
  <c r="AQ55" i="1"/>
  <c r="AX52" i="1"/>
  <c r="BG37" i="1"/>
  <c r="BF30" i="1"/>
  <c r="AU37" i="1"/>
  <c r="BE52" i="1"/>
  <c r="AZ52" i="1"/>
  <c r="BF62" i="1"/>
  <c r="BS52" i="1"/>
  <c r="BV143" i="1"/>
  <c r="BW143" i="1" s="1"/>
  <c r="BG30" i="1"/>
  <c r="BF52" i="1"/>
  <c r="BC63" i="1"/>
  <c r="BE48" i="1"/>
  <c r="BE210" i="1" s="1"/>
  <c r="BE41" i="1"/>
  <c r="BE24" i="1"/>
  <c r="BT51" i="1"/>
  <c r="BN37" i="1"/>
  <c r="BC48" i="1"/>
  <c r="BC210" i="1" s="1"/>
  <c r="BI55" i="1"/>
  <c r="AW36" i="1"/>
  <c r="BH160" i="1"/>
  <c r="AP61" i="1"/>
  <c r="AS29" i="1"/>
  <c r="BS39" i="1"/>
  <c r="AT39" i="1"/>
  <c r="AW51" i="1"/>
  <c r="BG24" i="1"/>
  <c r="BG11" i="1" s="1"/>
  <c r="BP36" i="1"/>
  <c r="AR31" i="1"/>
  <c r="AW61" i="1"/>
  <c r="BF61" i="1"/>
  <c r="BV29" i="1"/>
  <c r="AI37" i="1"/>
  <c r="AT62" i="1"/>
  <c r="BH51" i="1"/>
  <c r="BV160" i="1"/>
  <c r="AP36" i="1"/>
  <c r="AS51" i="1"/>
  <c r="BO31" i="1"/>
  <c r="BP51" i="1"/>
  <c r="BC30" i="1"/>
  <c r="BB61" i="1"/>
  <c r="BE31" i="1"/>
  <c r="BV52" i="1"/>
  <c r="AP41" i="1"/>
  <c r="AX62" i="1"/>
  <c r="AU51" i="1"/>
  <c r="AZ37" i="1"/>
  <c r="BD29" i="1"/>
  <c r="AS37" i="1"/>
  <c r="BN31" i="1"/>
  <c r="BM48" i="1"/>
  <c r="BJ48" i="1"/>
  <c r="AM63" i="1"/>
  <c r="BQ37" i="1"/>
  <c r="AU41" i="1"/>
  <c r="AX40" i="1"/>
  <c r="BS36" i="1"/>
  <c r="BB55" i="1"/>
  <c r="BC40" i="1"/>
  <c r="AT63" i="1"/>
  <c r="AW55" i="1"/>
  <c r="BV51" i="1"/>
  <c r="BH61" i="1"/>
  <c r="AN39" i="1"/>
  <c r="AX41" i="1"/>
  <c r="AP30" i="1"/>
  <c r="BP37" i="1"/>
  <c r="AQ51" i="1"/>
  <c r="BV90" i="1"/>
  <c r="AM67" i="1"/>
  <c r="BH31" i="1"/>
  <c r="AU36" i="1"/>
  <c r="BA40" i="1"/>
  <c r="BV171" i="1"/>
  <c r="BW171" i="1" s="1"/>
  <c r="BE61" i="1"/>
  <c r="AS55" i="1"/>
  <c r="AI51" i="1"/>
  <c r="BV147" i="1"/>
  <c r="AY67" i="1"/>
  <c r="BN51" i="1"/>
  <c r="BO29" i="1"/>
  <c r="BG61" i="1"/>
  <c r="BI41" i="1"/>
  <c r="AY31" i="1"/>
  <c r="BU39" i="1"/>
  <c r="BF40" i="1"/>
  <c r="BB36" i="1"/>
  <c r="BV36" i="1"/>
  <c r="BG52" i="1"/>
  <c r="BT52" i="1"/>
  <c r="AN31" i="1"/>
  <c r="BO30" i="1"/>
  <c r="BT30" i="1"/>
  <c r="AZ61" i="1"/>
  <c r="AS62" i="1"/>
  <c r="BH41" i="1"/>
  <c r="BO36" i="1"/>
  <c r="BH151" i="1"/>
  <c r="BI151" i="1" s="1"/>
  <c r="BC61" i="1"/>
  <c r="BH176" i="1"/>
  <c r="BO40" i="1"/>
  <c r="AN48" i="1"/>
  <c r="AN24" i="1"/>
  <c r="AN11" i="1" s="1"/>
  <c r="BK61" i="1"/>
  <c r="BV30" i="1"/>
  <c r="AS52" i="1"/>
  <c r="AO63" i="1"/>
  <c r="AI89" i="1"/>
  <c r="BB41" i="1"/>
  <c r="BN36" i="1"/>
  <c r="AN37" i="1"/>
  <c r="AU40" i="1"/>
  <c r="BH141" i="1"/>
  <c r="BI141" i="1" s="1"/>
  <c r="AU48" i="1"/>
  <c r="AU210" i="1" s="1"/>
  <c r="AI52" i="1"/>
  <c r="BW24" i="1"/>
  <c r="BW11" i="1" s="1"/>
  <c r="BO24" i="1"/>
  <c r="BO11" i="1" s="1"/>
  <c r="BG67" i="1"/>
  <c r="BC55" i="1"/>
  <c r="AR24" i="1"/>
  <c r="BN40" i="1"/>
  <c r="BP52" i="1"/>
  <c r="BK31" i="1"/>
  <c r="AS40" i="1"/>
  <c r="AY30" i="1"/>
  <c r="AU67" i="1"/>
  <c r="BB30" i="1"/>
  <c r="AX55" i="1"/>
  <c r="BD62" i="1"/>
  <c r="BQ30" i="1"/>
  <c r="BH166" i="1"/>
  <c r="BI166" i="1" s="1"/>
  <c r="BF31" i="1"/>
  <c r="BJ62" i="1"/>
  <c r="AN61" i="1"/>
  <c r="BN67" i="1"/>
  <c r="AI48" i="1"/>
  <c r="AI210" i="1" s="1"/>
  <c r="BV24" i="1"/>
  <c r="AZ51" i="1"/>
  <c r="AT29" i="1"/>
  <c r="AS61" i="1"/>
  <c r="AU62" i="1"/>
  <c r="CQ210" i="1"/>
  <c r="CQ148" i="1"/>
  <c r="DA93" i="1"/>
  <c r="CX81" i="1"/>
  <c r="CY79" i="1"/>
  <c r="AB140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X85" i="3"/>
  <c r="V93" i="3"/>
  <c r="U90" i="3"/>
  <c r="T71" i="3"/>
  <c r="AM77" i="3"/>
  <c r="AL74" i="3"/>
  <c r="AN68" i="3"/>
  <c r="M79" i="3"/>
  <c r="I73" i="3"/>
  <c r="AO91" i="3"/>
  <c r="U72" i="3"/>
  <c r="J67" i="3"/>
  <c r="V59" i="3"/>
  <c r="AA68" i="3"/>
  <c r="AO87" i="3"/>
  <c r="AC62" i="3"/>
  <c r="AI60" i="3"/>
  <c r="Q82" i="3"/>
  <c r="T63" i="3"/>
  <c r="U64" i="3"/>
  <c r="AE88" i="3"/>
  <c r="K97" i="3"/>
  <c r="L90" i="3"/>
  <c r="N79" i="3"/>
  <c r="L75" i="3"/>
  <c r="V70" i="3"/>
  <c r="AM90" i="3"/>
  <c r="Q79" i="3"/>
  <c r="AA78" i="3"/>
  <c r="S50" i="3"/>
  <c r="P77" i="3"/>
  <c r="AC89" i="3"/>
  <c r="AH97" i="3"/>
  <c r="AE76" i="3"/>
  <c r="AC49" i="3"/>
  <c r="Y77" i="3"/>
  <c r="P59" i="3"/>
  <c r="AJ94" i="3"/>
  <c r="U48" i="3"/>
  <c r="S96" i="3"/>
  <c r="AO69" i="3"/>
  <c r="L96" i="3"/>
  <c r="N67" i="3"/>
  <c r="H87" i="3"/>
  <c r="Q47" i="3"/>
  <c r="W92" i="3"/>
  <c r="T66" i="3"/>
  <c r="AH62" i="3"/>
  <c r="S67" i="3"/>
  <c r="AA69" i="3"/>
  <c r="AK91" i="3"/>
  <c r="AC88" i="3"/>
  <c r="Z69" i="3"/>
  <c r="AL97" i="3"/>
  <c r="X72" i="3"/>
  <c r="W63" i="3"/>
  <c r="AI84" i="3"/>
  <c r="AN71" i="3"/>
  <c r="V79" i="3"/>
  <c r="Z70" i="3"/>
  <c r="Y96" i="3"/>
  <c r="K89" i="3"/>
  <c r="I48" i="3"/>
  <c r="S47" i="3"/>
  <c r="P50" i="3"/>
  <c r="Y47" i="3"/>
  <c r="AM88" i="3"/>
  <c r="AJ59" i="3"/>
  <c r="K55" i="3"/>
  <c r="K64" i="3"/>
  <c r="AI71" i="3"/>
  <c r="AI94" i="3"/>
  <c r="AJ69" i="3"/>
  <c r="O76" i="3"/>
  <c r="Y83" i="3"/>
  <c r="S63" i="3"/>
  <c r="K58" i="3"/>
  <c r="L82" i="3"/>
  <c r="AL89" i="3"/>
  <c r="P69" i="3"/>
  <c r="H70" i="3"/>
  <c r="S71" i="3"/>
  <c r="P88" i="3"/>
  <c r="P84" i="3"/>
  <c r="J60" i="3"/>
  <c r="N91" i="3"/>
  <c r="U69" i="3"/>
  <c r="AH70" i="3"/>
  <c r="V61" i="3"/>
  <c r="Q97" i="3"/>
  <c r="Y91" i="3"/>
  <c r="N89" i="3"/>
  <c r="AA63" i="3"/>
  <c r="J59" i="3"/>
  <c r="AM64" i="3"/>
  <c r="AA86" i="3"/>
  <c r="AH87" i="3"/>
  <c r="AQ60" i="3"/>
  <c r="AG91" i="3"/>
  <c r="L69" i="3"/>
  <c r="AJ72" i="3"/>
  <c r="AN78" i="3"/>
  <c r="S79" i="3"/>
  <c r="AH71" i="3"/>
  <c r="O71" i="3"/>
  <c r="AH73" i="3"/>
  <c r="L64" i="3"/>
  <c r="O48" i="3"/>
  <c r="AA91" i="3"/>
  <c r="W81" i="3"/>
  <c r="AJ76" i="3"/>
  <c r="I93" i="3"/>
  <c r="AQ92" i="3"/>
  <c r="Z82" i="3"/>
  <c r="AI54" i="3"/>
  <c r="N64" i="3"/>
  <c r="AJ82" i="3"/>
  <c r="AL66" i="3"/>
  <c r="V69" i="3"/>
  <c r="AJ81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N75" i="3"/>
  <c r="U82" i="3"/>
  <c r="T89" i="3"/>
  <c r="W54" i="3"/>
  <c r="I91" i="3"/>
  <c r="L68" i="3"/>
  <c r="AM78" i="3"/>
  <c r="AL60" i="3"/>
  <c r="I97" i="3"/>
  <c r="T62" i="3"/>
  <c r="L50" i="3"/>
  <c r="AC72" i="3"/>
  <c r="W71" i="3"/>
  <c r="AC54" i="3"/>
  <c r="I67" i="3"/>
  <c r="AH54" i="3"/>
  <c r="L55" i="3"/>
  <c r="J65" i="3"/>
  <c r="U50" i="3"/>
  <c r="Y50" i="3"/>
  <c r="K57" i="3"/>
  <c r="Q49" i="3"/>
  <c r="Z91" i="3"/>
  <c r="AK77" i="3"/>
  <c r="Q87" i="3"/>
  <c r="M96" i="3"/>
  <c r="AE72" i="3"/>
  <c r="Z80" i="3"/>
  <c r="V54" i="3"/>
  <c r="Z75" i="3"/>
  <c r="R62" i="3"/>
  <c r="AM48" i="3"/>
  <c r="L54" i="3"/>
  <c r="L48" i="3"/>
  <c r="Q67" i="3"/>
  <c r="X58" i="3"/>
  <c r="U73" i="3"/>
  <c r="AL95" i="3"/>
  <c r="T60" i="3"/>
  <c r="AI55" i="3"/>
  <c r="M56" i="3"/>
  <c r="P64" i="3"/>
  <c r="I70" i="3"/>
  <c r="O85" i="3"/>
  <c r="S91" i="3"/>
  <c r="N80" i="3"/>
  <c r="AA75" i="3"/>
  <c r="T68" i="3"/>
  <c r="AM80" i="3"/>
  <c r="O66" i="3"/>
  <c r="J85" i="3"/>
  <c r="M95" i="3"/>
  <c r="M59" i="3"/>
  <c r="N71" i="3"/>
  <c r="AL93" i="3"/>
  <c r="I80" i="3"/>
  <c r="Q86" i="3"/>
  <c r="AA88" i="3"/>
  <c r="AI97" i="3"/>
  <c r="AE68" i="3"/>
  <c r="H84" i="3"/>
  <c r="AQ94" i="3"/>
  <c r="AG85" i="3"/>
  <c r="I49" i="3"/>
  <c r="N48" i="3"/>
  <c r="U57" i="3"/>
  <c r="AK97" i="3"/>
  <c r="L62" i="3"/>
  <c r="L78" i="3"/>
  <c r="M57" i="3"/>
  <c r="AO88" i="3"/>
  <c r="AQ91" i="3"/>
  <c r="O64" i="3"/>
  <c r="K92" i="3"/>
  <c r="K93" i="3"/>
  <c r="K85" i="3"/>
  <c r="N86" i="3"/>
  <c r="AM67" i="3"/>
  <c r="AA95" i="3"/>
  <c r="H47" i="3"/>
  <c r="AQ58" i="3"/>
  <c r="S58" i="3"/>
  <c r="AM91" i="3"/>
  <c r="S65" i="3"/>
  <c r="I54" i="3"/>
  <c r="AQ82" i="3"/>
  <c r="U94" i="3"/>
  <c r="X56" i="3"/>
  <c r="AL79" i="3"/>
  <c r="AO80" i="3"/>
  <c r="S60" i="3"/>
  <c r="S83" i="3"/>
  <c r="AK68" i="3"/>
  <c r="P47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T91" i="3"/>
  <c r="R77" i="3"/>
  <c r="P81" i="3"/>
  <c r="AN87" i="3"/>
  <c r="W72" i="3"/>
  <c r="AM70" i="3"/>
  <c r="AG89" i="3"/>
  <c r="R57" i="3"/>
  <c r="U70" i="3"/>
  <c r="AH93" i="3"/>
  <c r="H68" i="3"/>
  <c r="O81" i="3"/>
  <c r="W55" i="3"/>
  <c r="N59" i="3"/>
  <c r="AO86" i="3"/>
  <c r="X67" i="3"/>
  <c r="AQ56" i="3"/>
  <c r="AQ88" i="3"/>
  <c r="AL87" i="3"/>
  <c r="R61" i="3"/>
  <c r="AM68" i="3"/>
  <c r="AL91" i="3"/>
  <c r="J49" i="3"/>
  <c r="AO64" i="3"/>
  <c r="AG65" i="3"/>
  <c r="AH82" i="3"/>
  <c r="J55" i="3"/>
  <c r="AM49" i="3"/>
  <c r="AK92" i="3"/>
  <c r="P74" i="3"/>
  <c r="W95" i="3"/>
  <c r="J91" i="3"/>
  <c r="O50" i="3"/>
  <c r="N77" i="3"/>
  <c r="AL83" i="3"/>
  <c r="W78" i="3"/>
  <c r="R80" i="3"/>
  <c r="S80" i="3"/>
  <c r="AI82" i="3"/>
  <c r="AC74" i="3"/>
  <c r="AE89" i="3"/>
  <c r="T95" i="3"/>
  <c r="AG96" i="3"/>
  <c r="K83" i="3"/>
  <c r="AE57" i="3"/>
  <c r="O61" i="3"/>
  <c r="M75" i="3"/>
  <c r="K66" i="3"/>
  <c r="M77" i="3"/>
  <c r="AE78" i="3"/>
  <c r="T85" i="3"/>
  <c r="AQ71" i="3"/>
  <c r="AL48" i="3"/>
  <c r="R97" i="3"/>
  <c r="L59" i="3"/>
  <c r="AO50" i="3"/>
  <c r="S87" i="3"/>
  <c r="S73" i="3"/>
  <c r="Z64" i="3"/>
  <c r="N50" i="3"/>
  <c r="M92" i="3"/>
  <c r="AK93" i="3"/>
  <c r="R74" i="3"/>
  <c r="H85" i="3"/>
  <c r="X89" i="3"/>
  <c r="Z58" i="3"/>
  <c r="AJ47" i="3"/>
  <c r="AO62" i="3"/>
  <c r="AO84" i="3"/>
  <c r="AQ78" i="3"/>
  <c r="AA85" i="3"/>
  <c r="AH55" i="3"/>
  <c r="Q88" i="3"/>
  <c r="AJ58" i="3"/>
  <c r="AK65" i="3"/>
  <c r="I55" i="3"/>
  <c r="J74" i="3"/>
  <c r="I78" i="3"/>
  <c r="H92" i="3"/>
  <c r="P61" i="3"/>
  <c r="W56" i="3"/>
  <c r="AK89" i="3"/>
  <c r="AA87" i="3"/>
  <c r="AG49" i="3"/>
  <c r="AH64" i="3"/>
  <c r="S85" i="3"/>
  <c r="Q71" i="3"/>
  <c r="X80" i="3"/>
  <c r="O63" i="3"/>
  <c r="X49" i="3"/>
  <c r="AC75" i="3"/>
  <c r="O86" i="3"/>
  <c r="Z48" i="3"/>
  <c r="AN94" i="3"/>
  <c r="AJ66" i="3"/>
  <c r="Y64" i="3"/>
  <c r="X65" i="3"/>
  <c r="AJ48" i="3"/>
  <c r="AE83" i="3"/>
  <c r="Q89" i="3"/>
  <c r="N70" i="3"/>
  <c r="M88" i="3"/>
  <c r="U93" i="3"/>
  <c r="AH58" i="3"/>
  <c r="AI75" i="3"/>
  <c r="AJ95" i="3"/>
  <c r="AA59" i="3"/>
  <c r="AK85" i="3"/>
  <c r="AH66" i="3"/>
  <c r="R47" i="3"/>
  <c r="V97" i="3"/>
  <c r="W65" i="3"/>
  <c r="AJ74" i="3"/>
  <c r="AI95" i="3"/>
  <c r="H91" i="3"/>
  <c r="O57" i="3"/>
  <c r="M76" i="3"/>
  <c r="Z97" i="3"/>
  <c r="R78" i="3"/>
  <c r="V66" i="3"/>
  <c r="Y61" i="3"/>
  <c r="AL94" i="3"/>
  <c r="J73" i="3"/>
  <c r="J70" i="3"/>
  <c r="AA81" i="3"/>
  <c r="AH79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AK70" i="3"/>
  <c r="O73" i="3"/>
  <c r="AJ86" i="3"/>
  <c r="X95" i="3"/>
  <c r="J62" i="3"/>
  <c r="AQ90" i="3"/>
  <c r="N74" i="3"/>
  <c r="AG72" i="3"/>
  <c r="K88" i="3"/>
  <c r="AQ69" i="3"/>
  <c r="Z59" i="3"/>
  <c r="AM95" i="3"/>
  <c r="Q65" i="3"/>
  <c r="X48" i="3"/>
  <c r="AH92" i="3"/>
  <c r="Z95" i="3"/>
  <c r="AE77" i="3"/>
  <c r="X74" i="3"/>
  <c r="AL80" i="3"/>
  <c r="AA67" i="3"/>
  <c r="R81" i="3"/>
  <c r="O96" i="3"/>
  <c r="AC77" i="3"/>
  <c r="N73" i="3"/>
  <c r="J88" i="3"/>
  <c r="AA47" i="3"/>
  <c r="J64" i="3"/>
  <c r="U81" i="3"/>
  <c r="K68" i="3"/>
  <c r="R64" i="3"/>
  <c r="U71" i="3"/>
  <c r="Z94" i="3"/>
  <c r="AM65" i="3"/>
  <c r="AH78" i="3"/>
  <c r="R65" i="3"/>
  <c r="AN97" i="3"/>
  <c r="V75" i="3"/>
  <c r="V94" i="3"/>
  <c r="AO85" i="3"/>
  <c r="Q95" i="3"/>
  <c r="K65" i="3"/>
  <c r="AN64" i="3"/>
  <c r="J95" i="3"/>
  <c r="V92" i="3"/>
  <c r="AM87" i="3"/>
  <c r="AH89" i="3"/>
  <c r="Y59" i="3"/>
  <c r="J57" i="3"/>
  <c r="R59" i="3"/>
  <c r="I60" i="3"/>
  <c r="T90" i="3"/>
  <c r="K96" i="3"/>
  <c r="AK78" i="3"/>
  <c r="O68" i="3"/>
  <c r="AI81" i="3"/>
  <c r="AM79" i="3"/>
  <c r="Y68" i="3"/>
  <c r="K70" i="3"/>
  <c r="V76" i="3"/>
  <c r="L66" i="3"/>
  <c r="AE84" i="3"/>
  <c r="AN60" i="3"/>
  <c r="AG73" i="3"/>
  <c r="W75" i="3"/>
  <c r="AG56" i="3"/>
  <c r="AM81" i="3"/>
  <c r="L63" i="3"/>
  <c r="Q68" i="3"/>
  <c r="U58" i="3"/>
  <c r="AH96" i="3"/>
  <c r="AJ75" i="3"/>
  <c r="AC57" i="3"/>
  <c r="S76" i="3"/>
  <c r="L93" i="3"/>
  <c r="AK54" i="3"/>
  <c r="Q94" i="3"/>
  <c r="I58" i="3"/>
  <c r="AM89" i="3"/>
  <c r="O47" i="3"/>
  <c r="Q75" i="3"/>
  <c r="AH56" i="3"/>
  <c r="AL61" i="3"/>
  <c r="Y84" i="3"/>
  <c r="AO49" i="3"/>
  <c r="J92" i="3"/>
  <c r="K54" i="3"/>
  <c r="AI69" i="3"/>
  <c r="H96" i="3"/>
  <c r="AE90" i="3"/>
  <c r="Z65" i="3"/>
  <c r="J97" i="3"/>
  <c r="K94" i="3"/>
  <c r="R83" i="3"/>
  <c r="O70" i="3"/>
  <c r="X76" i="3"/>
  <c r="AQ66" i="3"/>
  <c r="R49" i="3"/>
  <c r="Q90" i="3"/>
  <c r="Y60" i="3"/>
  <c r="Y48" i="3"/>
  <c r="AJ61" i="3"/>
  <c r="AN90" i="3"/>
  <c r="AA76" i="3"/>
  <c r="K72" i="3"/>
  <c r="AH77" i="3"/>
  <c r="AC69" i="3"/>
  <c r="P87" i="3"/>
  <c r="P62" i="3"/>
  <c r="O62" i="3"/>
  <c r="S95" i="3"/>
  <c r="AM96" i="3"/>
  <c r="AG90" i="3"/>
  <c r="S75" i="3"/>
  <c r="AN48" i="3"/>
  <c r="Z68" i="3"/>
  <c r="X86" i="3"/>
  <c r="T47" i="3"/>
  <c r="AI96" i="3"/>
  <c r="AN67" i="3"/>
  <c r="P56" i="3"/>
  <c r="Y74" i="3"/>
  <c r="Z54" i="3"/>
  <c r="X97" i="3"/>
  <c r="R79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I82" i="3"/>
  <c r="N60" i="3"/>
  <c r="AJ78" i="3"/>
  <c r="X87" i="3"/>
  <c r="S64" i="3"/>
  <c r="AQ50" i="3"/>
  <c r="T56" i="3"/>
  <c r="S62" i="3"/>
  <c r="AJ92" i="3"/>
  <c r="AI78" i="3"/>
  <c r="O78" i="3"/>
  <c r="H82" i="3"/>
  <c r="U68" i="3"/>
  <c r="AG76" i="3"/>
  <c r="S66" i="3"/>
  <c r="X93" i="3"/>
  <c r="T50" i="3"/>
  <c r="O75" i="3"/>
  <c r="U54" i="3"/>
  <c r="I76" i="3"/>
  <c r="AA60" i="3"/>
  <c r="AM66" i="3"/>
  <c r="J89" i="3"/>
  <c r="M62" i="3"/>
  <c r="X77" i="3"/>
  <c r="AL76" i="3"/>
  <c r="V74" i="3"/>
  <c r="AL72" i="3"/>
  <c r="AJ73" i="3"/>
  <c r="V68" i="3"/>
  <c r="T77" i="3"/>
  <c r="AM54" i="3"/>
  <c r="V58" i="3"/>
  <c r="AE60" i="3"/>
  <c r="U89" i="3"/>
  <c r="AA84" i="3"/>
  <c r="AK88" i="3"/>
  <c r="AC64" i="3"/>
  <c r="AM83" i="3"/>
  <c r="H97" i="3"/>
  <c r="W86" i="3"/>
  <c r="X59" i="3"/>
  <c r="AQ87" i="3"/>
  <c r="T67" i="3"/>
  <c r="AN49" i="3"/>
  <c r="AG74" i="3"/>
  <c r="K60" i="3"/>
  <c r="AM72" i="3"/>
  <c r="Y76" i="3"/>
  <c r="S92" i="3"/>
  <c r="AI67" i="3"/>
  <c r="AM55" i="3"/>
  <c r="AC80" i="3"/>
  <c r="T83" i="3"/>
  <c r="AE87" i="3"/>
  <c r="W79" i="3"/>
  <c r="AC66" i="3"/>
  <c r="N56" i="3"/>
  <c r="AH49" i="3"/>
  <c r="AO78" i="3"/>
  <c r="AH69" i="3"/>
  <c r="S70" i="3"/>
  <c r="H60" i="3"/>
  <c r="AN59" i="3"/>
  <c r="X83" i="3"/>
  <c r="AJ88" i="3"/>
  <c r="V72" i="3"/>
  <c r="P55" i="3"/>
  <c r="AK96" i="3"/>
  <c r="J80" i="3"/>
  <c r="J56" i="3"/>
  <c r="AE85" i="3"/>
  <c r="AJ67" i="3"/>
  <c r="V87" i="3"/>
  <c r="M60" i="3"/>
  <c r="AO58" i="3"/>
  <c r="AG70" i="3"/>
  <c r="AO68" i="3"/>
  <c r="S93" i="3"/>
  <c r="AG95" i="3"/>
  <c r="AN88" i="3"/>
  <c r="AM56" i="3"/>
  <c r="L58" i="3"/>
  <c r="J75" i="3"/>
  <c r="AO92" i="3"/>
  <c r="L95" i="3"/>
  <c r="T73" i="3"/>
  <c r="J84" i="3"/>
  <c r="P58" i="3"/>
  <c r="AE67" i="3"/>
  <c r="K80" i="3"/>
  <c r="M69" i="3"/>
  <c r="AJ65" i="3"/>
  <c r="AN62" i="3"/>
  <c r="AI56" i="3"/>
  <c r="AC71" i="3"/>
  <c r="AH50" i="3"/>
  <c r="Y69" i="3"/>
  <c r="P66" i="3"/>
  <c r="X90" i="3"/>
  <c r="AH84" i="3"/>
  <c r="H55" i="3"/>
  <c r="AC79" i="3"/>
  <c r="O9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J63" i="3"/>
  <c r="AQ68" i="3"/>
  <c r="AA65" i="3"/>
  <c r="O87" i="3"/>
  <c r="AE75" i="3"/>
  <c r="AE55" i="3"/>
  <c r="AQ54" i="3"/>
  <c r="K84" i="3"/>
  <c r="Y81" i="3"/>
  <c r="T61" i="3"/>
  <c r="V91" i="3"/>
  <c r="R68" i="3"/>
  <c r="W83" i="3"/>
  <c r="AI48" i="3"/>
  <c r="P63" i="3"/>
  <c r="X66" i="3"/>
  <c r="P65" i="3"/>
  <c r="AK73" i="3"/>
  <c r="X75" i="3"/>
  <c r="AO57" i="3"/>
  <c r="M81" i="3"/>
  <c r="I83" i="3"/>
  <c r="H75" i="3"/>
  <c r="AO97" i="3"/>
  <c r="AG61" i="3"/>
  <c r="U86" i="3"/>
  <c r="R93" i="3"/>
  <c r="K90" i="3"/>
  <c r="Q72" i="3"/>
  <c r="I92" i="3"/>
  <c r="T74" i="3"/>
  <c r="AE59" i="3"/>
  <c r="AE91" i="3"/>
  <c r="AO60" i="3"/>
  <c r="I95" i="3"/>
  <c r="AH80" i="3"/>
  <c r="H54" i="3"/>
  <c r="AI59" i="3"/>
  <c r="AG57" i="3"/>
  <c r="AL55" i="3"/>
  <c r="M70" i="3"/>
  <c r="V90" i="3"/>
  <c r="M90" i="3"/>
  <c r="U49" i="3"/>
  <c r="AQ93" i="3"/>
  <c r="AK69" i="3"/>
  <c r="H58" i="3"/>
  <c r="AE79" i="3"/>
  <c r="W59" i="3"/>
  <c r="M48" i="3"/>
  <c r="AQ72" i="3"/>
  <c r="AO71" i="3"/>
  <c r="K62" i="3"/>
  <c r="S69" i="3"/>
  <c r="H69" i="3"/>
  <c r="L94" i="3"/>
  <c r="J81" i="3"/>
  <c r="AO82" i="3"/>
  <c r="Y87" i="3"/>
  <c r="X94" i="3"/>
  <c r="K91" i="3"/>
  <c r="S48" i="3"/>
  <c r="Q73" i="3"/>
  <c r="M72" i="3"/>
  <c r="O58" i="3"/>
  <c r="AM58" i="3"/>
  <c r="V47" i="3"/>
  <c r="Y67" i="3"/>
  <c r="AG82" i="3"/>
  <c r="H76" i="3"/>
  <c r="X54" i="3"/>
  <c r="Z76" i="3"/>
  <c r="R54" i="3"/>
  <c r="AC86" i="3"/>
  <c r="I77" i="3"/>
  <c r="Q74" i="3"/>
  <c r="AI87" i="3"/>
  <c r="O83" i="3"/>
  <c r="J90" i="3"/>
  <c r="AI88" i="3"/>
  <c r="W89" i="3"/>
  <c r="AJ50" i="3"/>
  <c r="AE56" i="3"/>
  <c r="AI49" i="3"/>
  <c r="N54" i="3"/>
  <c r="L79" i="3"/>
  <c r="V67" i="3"/>
  <c r="AH94" i="3"/>
  <c r="H93" i="3"/>
  <c r="AG94" i="3"/>
  <c r="P72" i="3"/>
  <c r="AM63" i="3"/>
  <c r="M94" i="3"/>
  <c r="O90" i="3"/>
  <c r="X63" i="3"/>
  <c r="W96" i="3"/>
  <c r="AL96" i="3"/>
  <c r="AC65" i="3"/>
  <c r="Y94" i="3"/>
  <c r="T58" i="3"/>
  <c r="I57" i="3"/>
  <c r="AJ54" i="3"/>
  <c r="Y63" i="3"/>
  <c r="AI57" i="3"/>
  <c r="AA83" i="3"/>
  <c r="T75" i="3"/>
  <c r="AE69" i="3"/>
  <c r="N97" i="3"/>
  <c r="U84" i="3"/>
  <c r="Z72" i="3"/>
  <c r="W76" i="3"/>
  <c r="I87" i="3"/>
  <c r="L84" i="3"/>
  <c r="H67" i="3"/>
  <c r="AO76" i="3"/>
  <c r="AN89" i="3"/>
  <c r="AI68" i="3"/>
  <c r="Q93" i="3"/>
  <c r="Z57" i="3"/>
  <c r="AQ95" i="3"/>
  <c r="AI64" i="3"/>
  <c r="Z49" i="3"/>
  <c r="Y80" i="3"/>
  <c r="AN76" i="3"/>
  <c r="Q55" i="3"/>
  <c r="AC58" i="3"/>
  <c r="Z89" i="3"/>
  <c r="AN77" i="3"/>
  <c r="X68" i="3"/>
  <c r="Z56" i="3"/>
  <c r="N66" i="3"/>
  <c r="AN66" i="3"/>
  <c r="AK56" i="3"/>
  <c r="J48" i="3"/>
  <c r="AH48" i="3"/>
  <c r="P79" i="3"/>
  <c r="AG47" i="3"/>
  <c r="AQ81" i="3"/>
  <c r="AI83" i="3"/>
  <c r="U83" i="3"/>
  <c r="L76" i="3"/>
  <c r="M64" i="3"/>
  <c r="I86" i="3"/>
  <c r="AK48" i="3"/>
  <c r="T54" i="3"/>
  <c r="V64" i="3"/>
  <c r="H65" i="3"/>
  <c r="U95" i="3"/>
  <c r="Y92" i="3"/>
  <c r="M61" i="3"/>
  <c r="Y89" i="3"/>
  <c r="Z96" i="3"/>
  <c r="AN96" i="3"/>
  <c r="Q61" i="3"/>
  <c r="U92" i="3"/>
  <c r="X81" i="3"/>
  <c r="AA48" i="3"/>
  <c r="AG71" i="3"/>
  <c r="AJ70" i="3"/>
  <c r="AK59" i="3"/>
  <c r="AM75" i="3"/>
  <c r="R84" i="3"/>
  <c r="U85" i="3"/>
  <c r="AA92" i="3"/>
  <c r="L88" i="3"/>
  <c r="I66" i="3"/>
  <c r="W74" i="3"/>
  <c r="S84" i="3"/>
  <c r="T49" i="3"/>
  <c r="W62" i="3"/>
  <c r="L56" i="3"/>
  <c r="AA74" i="3"/>
  <c r="R50" i="3"/>
  <c r="AI58" i="3"/>
  <c r="K79" i="3"/>
  <c r="AG58" i="3"/>
  <c r="AQ97" i="3"/>
  <c r="H80" i="3"/>
  <c r="R55" i="3"/>
  <c r="AJ79" i="3"/>
  <c r="AM62" i="3"/>
  <c r="AH61" i="3"/>
  <c r="AN84" i="3"/>
  <c r="X61" i="3"/>
  <c r="W47" i="3"/>
  <c r="Q58" i="3"/>
  <c r="W48" i="3"/>
  <c r="J69" i="3"/>
  <c r="T84" i="3"/>
  <c r="AE47" i="3"/>
  <c r="AN83" i="3"/>
  <c r="AN58" i="3"/>
  <c r="L60" i="3"/>
  <c r="AC48" i="3"/>
  <c r="AL69" i="3"/>
  <c r="Q66" i="3"/>
  <c r="Y90" i="3"/>
  <c r="H81" i="3"/>
  <c r="AK80" i="3"/>
  <c r="Q60" i="3"/>
  <c r="W80" i="3"/>
  <c r="H50" i="3"/>
  <c r="M66" i="3"/>
  <c r="I81" i="3"/>
  <c r="Y79" i="3"/>
  <c r="O55" i="3"/>
  <c r="T65" i="3"/>
  <c r="AA56" i="3"/>
  <c r="AQ48" i="3"/>
  <c r="AL47" i="3"/>
  <c r="M91" i="3"/>
  <c r="AO89" i="3"/>
  <c r="X50" i="3"/>
  <c r="AE58" i="3"/>
  <c r="K63" i="3"/>
  <c r="AG55" i="3"/>
  <c r="AO81" i="3"/>
  <c r="Q64" i="3"/>
  <c r="Q76" i="3"/>
  <c r="AC67" i="3"/>
  <c r="O74" i="3"/>
  <c r="W50" i="3"/>
  <c r="AO95" i="3"/>
  <c r="AC85" i="3"/>
  <c r="N85" i="3"/>
  <c r="AL50" i="3"/>
  <c r="I84" i="3"/>
  <c r="O95" i="3"/>
  <c r="J66" i="3"/>
  <c r="U66" i="3"/>
  <c r="H79" i="3"/>
  <c r="O84" i="3"/>
  <c r="S59" i="3"/>
  <c r="V71" i="3"/>
  <c r="AJ55" i="3"/>
  <c r="P67" i="3"/>
  <c r="Y93" i="3"/>
  <c r="W94" i="3"/>
  <c r="Z63" i="3"/>
  <c r="AN75" i="3"/>
  <c r="AL68" i="3"/>
  <c r="V96" i="3"/>
  <c r="AI63" i="3"/>
  <c r="AE49" i="3"/>
  <c r="U67" i="3"/>
  <c r="Z86" i="3"/>
  <c r="H74" i="3"/>
  <c r="J77" i="3"/>
  <c r="I74" i="3"/>
  <c r="W61" i="3"/>
  <c r="K78" i="3"/>
  <c r="U60" i="3"/>
  <c r="AI47" i="3"/>
  <c r="P80" i="3"/>
  <c r="AG83" i="3"/>
  <c r="H77" i="3"/>
  <c r="AC76" i="3"/>
  <c r="Y88" i="3"/>
  <c r="N84" i="3"/>
  <c r="AN72" i="3"/>
  <c r="AH90" i="3"/>
  <c r="AH76" i="3"/>
  <c r="AC87" i="3"/>
  <c r="P218" i="1" l="1"/>
  <c r="I177" i="1"/>
  <c r="J225" i="1" s="1"/>
  <c r="L136" i="1"/>
  <c r="R150" i="1"/>
  <c r="C136" i="1"/>
  <c r="U177" i="1"/>
  <c r="U164" i="1"/>
  <c r="U198" i="1" s="1"/>
  <c r="U197" i="1" s="1"/>
  <c r="BU247" i="1"/>
  <c r="BU11" i="1"/>
  <c r="BP247" i="1"/>
  <c r="BP11" i="1"/>
  <c r="BH247" i="1"/>
  <c r="BH11" i="1"/>
  <c r="BS247" i="1"/>
  <c r="BS11" i="1"/>
  <c r="AP247" i="1"/>
  <c r="AP11" i="1"/>
  <c r="BA247" i="1"/>
  <c r="BA11" i="1"/>
  <c r="BR247" i="1"/>
  <c r="BR11" i="1"/>
  <c r="BI247" i="1"/>
  <c r="BI11" i="1"/>
  <c r="AS247" i="1"/>
  <c r="AS11" i="1"/>
  <c r="AQ247" i="1"/>
  <c r="AQ11" i="1"/>
  <c r="BC247" i="1"/>
  <c r="BC11" i="1"/>
  <c r="AV247" i="1"/>
  <c r="AV11" i="1"/>
  <c r="BE247" i="1"/>
  <c r="BE11" i="1"/>
  <c r="AR247" i="1"/>
  <c r="AR11" i="1"/>
  <c r="BV247" i="1"/>
  <c r="BV11" i="1"/>
  <c r="T218" i="1"/>
  <c r="Q218" i="1"/>
  <c r="D144" i="1"/>
  <c r="D136" i="1"/>
  <c r="O136" i="1"/>
  <c r="C144" i="1"/>
  <c r="I164" i="1"/>
  <c r="I198" i="1" s="1"/>
  <c r="I197" i="1" s="1"/>
  <c r="O177" i="1"/>
  <c r="E136" i="1"/>
  <c r="B81" i="1"/>
  <c r="S218" i="1"/>
  <c r="N150" i="1"/>
  <c r="M136" i="1"/>
  <c r="F144" i="1"/>
  <c r="F53" i="1" s="1"/>
  <c r="L150" i="1"/>
  <c r="V177" i="1"/>
  <c r="W225" i="1" s="1"/>
  <c r="C218" i="1"/>
  <c r="V218" i="1"/>
  <c r="M177" i="1"/>
  <c r="S189" i="1"/>
  <c r="T177" i="1"/>
  <c r="B189" i="1"/>
  <c r="C150" i="1"/>
  <c r="Q189" i="1"/>
  <c r="H136" i="1"/>
  <c r="S177" i="1"/>
  <c r="T225" i="1" s="1"/>
  <c r="R144" i="1"/>
  <c r="R53" i="1" s="1"/>
  <c r="V144" i="1"/>
  <c r="S164" i="1"/>
  <c r="T136" i="1"/>
  <c r="H189" i="1"/>
  <c r="C189" i="1"/>
  <c r="I136" i="1"/>
  <c r="J150" i="1"/>
  <c r="M164" i="1"/>
  <c r="M198" i="1" s="1"/>
  <c r="M197" i="1" s="1"/>
  <c r="U150" i="1"/>
  <c r="B172" i="1"/>
  <c r="B201" i="1" s="1"/>
  <c r="B200" i="1" s="1"/>
  <c r="S150" i="1"/>
  <c r="B150" i="1"/>
  <c r="K218" i="1"/>
  <c r="H177" i="1"/>
  <c r="C81" i="1"/>
  <c r="S144" i="1"/>
  <c r="S172" i="1"/>
  <c r="C164" i="1"/>
  <c r="K177" i="1"/>
  <c r="D177" i="1"/>
  <c r="F177" i="1"/>
  <c r="M218" i="1"/>
  <c r="F136" i="1"/>
  <c r="T150" i="1"/>
  <c r="B136" i="1"/>
  <c r="G150" i="1"/>
  <c r="T144" i="1"/>
  <c r="M189" i="1"/>
  <c r="O144" i="1"/>
  <c r="L218" i="1"/>
  <c r="B144" i="1"/>
  <c r="N189" i="1"/>
  <c r="D81" i="1"/>
  <c r="D123" i="1" s="1"/>
  <c r="K164" i="1"/>
  <c r="K144" i="1"/>
  <c r="F164" i="1"/>
  <c r="J177" i="1"/>
  <c r="G136" i="1"/>
  <c r="D189" i="1"/>
  <c r="J144" i="1"/>
  <c r="N218" i="1"/>
  <c r="E189" i="1"/>
  <c r="R218" i="1"/>
  <c r="L164" i="1"/>
  <c r="D218" i="1"/>
  <c r="G164" i="1"/>
  <c r="G198" i="1" s="1"/>
  <c r="G197" i="1" s="1"/>
  <c r="K136" i="1"/>
  <c r="C177" i="1"/>
  <c r="P164" i="1"/>
  <c r="W144" i="1"/>
  <c r="D164" i="1"/>
  <c r="U136" i="1"/>
  <c r="F172" i="1"/>
  <c r="F201" i="1" s="1"/>
  <c r="R164" i="1"/>
  <c r="C172" i="1"/>
  <c r="W189" i="1"/>
  <c r="E218" i="1"/>
  <c r="J164" i="1"/>
  <c r="E150" i="1"/>
  <c r="H172" i="1"/>
  <c r="H201" i="1" s="1"/>
  <c r="H200" i="1" s="1"/>
  <c r="H144" i="1"/>
  <c r="U218" i="1"/>
  <c r="I150" i="1"/>
  <c r="V189" i="1"/>
  <c r="P144" i="1"/>
  <c r="G189" i="1"/>
  <c r="J136" i="1"/>
  <c r="Q177" i="1"/>
  <c r="N172" i="1"/>
  <c r="N201" i="1" s="1"/>
  <c r="N200" i="1" s="1"/>
  <c r="V164" i="1"/>
  <c r="O164" i="1"/>
  <c r="I144" i="1"/>
  <c r="I184" i="1" s="1"/>
  <c r="I125" i="1" s="1"/>
  <c r="O218" i="1"/>
  <c r="D150" i="1"/>
  <c r="G177" i="1"/>
  <c r="Q150" i="1"/>
  <c r="T164" i="1"/>
  <c r="E144" i="1"/>
  <c r="M150" i="1"/>
  <c r="Q136" i="1"/>
  <c r="P189" i="1"/>
  <c r="E164" i="1"/>
  <c r="L189" i="1"/>
  <c r="K189" i="1"/>
  <c r="K150" i="1"/>
  <c r="N144" i="1"/>
  <c r="O189" i="1"/>
  <c r="L144" i="1"/>
  <c r="P136" i="1"/>
  <c r="B164" i="1"/>
  <c r="T189" i="1"/>
  <c r="J189" i="1"/>
  <c r="P150" i="1"/>
  <c r="G144" i="1"/>
  <c r="U144" i="1"/>
  <c r="D172" i="1"/>
  <c r="H218" i="1"/>
  <c r="S136" i="1"/>
  <c r="W150" i="1"/>
  <c r="F189" i="1"/>
  <c r="O150" i="1"/>
  <c r="L177" i="1"/>
  <c r="R177" i="1"/>
  <c r="I189" i="1"/>
  <c r="R136" i="1"/>
  <c r="Q164" i="1"/>
  <c r="V136" i="1"/>
  <c r="Q144" i="1"/>
  <c r="K172" i="1"/>
  <c r="N195" i="1"/>
  <c r="N164" i="1"/>
  <c r="P172" i="1"/>
  <c r="P201" i="1" s="1"/>
  <c r="P200" i="1" s="1"/>
  <c r="T172" i="1"/>
  <c r="J172" i="1"/>
  <c r="E172" i="1"/>
  <c r="G172" i="1"/>
  <c r="O172" i="1"/>
  <c r="U172" i="1"/>
  <c r="L172" i="1"/>
  <c r="L191" i="1"/>
  <c r="H195" i="1"/>
  <c r="H164" i="1"/>
  <c r="R189" i="1"/>
  <c r="J218" i="1"/>
  <c r="I218" i="1"/>
  <c r="U189" i="1"/>
  <c r="G218" i="1"/>
  <c r="F218" i="1"/>
  <c r="X218" i="1"/>
  <c r="W218" i="1"/>
  <c r="M170" i="1"/>
  <c r="M172" i="1" s="1"/>
  <c r="M144" i="1"/>
  <c r="V150" i="1"/>
  <c r="I172" i="1"/>
  <c r="H150" i="1"/>
  <c r="Q172" i="1"/>
  <c r="V172" i="1"/>
  <c r="R172" i="1"/>
  <c r="BH150" i="1"/>
  <c r="BH154" i="1" s="1"/>
  <c r="L70" i="1"/>
  <c r="AX156" i="1"/>
  <c r="AY156" i="1" s="1"/>
  <c r="AZ169" i="1"/>
  <c r="AZ199" i="1" s="1"/>
  <c r="BA199" i="1" s="1"/>
  <c r="BR142" i="1"/>
  <c r="BS142" i="1" s="1"/>
  <c r="AZ170" i="1"/>
  <c r="BA170" i="1" s="1"/>
  <c r="BT147" i="1"/>
  <c r="BP171" i="1"/>
  <c r="BQ171" i="1" s="1"/>
  <c r="BP89" i="1"/>
  <c r="BF141" i="1"/>
  <c r="BG141" i="1" s="1"/>
  <c r="AP162" i="1"/>
  <c r="AQ162" i="1" s="1"/>
  <c r="BI89" i="1"/>
  <c r="AX160" i="1"/>
  <c r="AX195" i="1" s="1"/>
  <c r="BR175" i="1"/>
  <c r="BF90" i="1"/>
  <c r="AZ168" i="1"/>
  <c r="BA168" i="1" s="1"/>
  <c r="BD151" i="1"/>
  <c r="BE151" i="1" s="1"/>
  <c r="AZ133" i="1"/>
  <c r="BA133" i="1" s="1"/>
  <c r="BN180" i="1"/>
  <c r="BO180" i="1" s="1"/>
  <c r="BF163" i="1"/>
  <c r="BG163" i="1" s="1"/>
  <c r="BT167" i="1"/>
  <c r="BU167" i="1" s="1"/>
  <c r="BN135" i="1"/>
  <c r="AX134" i="1"/>
  <c r="AY134" i="1" s="1"/>
  <c r="BW90" i="1"/>
  <c r="BN142" i="1"/>
  <c r="BO142" i="1" s="1"/>
  <c r="AX167" i="1"/>
  <c r="AY167" i="1" s="1"/>
  <c r="AP141" i="1"/>
  <c r="AQ141" i="1" s="1"/>
  <c r="AT147" i="1"/>
  <c r="AZ147" i="1"/>
  <c r="BF170" i="1"/>
  <c r="BG170" i="1" s="1"/>
  <c r="BR143" i="1"/>
  <c r="BS143" i="1" s="1"/>
  <c r="BD163" i="1"/>
  <c r="BE163" i="1" s="1"/>
  <c r="AP159" i="1"/>
  <c r="AQ159" i="1" s="1"/>
  <c r="AV151" i="1"/>
  <c r="AW151" i="1" s="1"/>
  <c r="BB151" i="1"/>
  <c r="BC151" i="1" s="1"/>
  <c r="AN133" i="1"/>
  <c r="AR180" i="1"/>
  <c r="AS180" i="1" s="1"/>
  <c r="AQ89" i="1"/>
  <c r="AT167" i="1"/>
  <c r="AU167" i="1" s="1"/>
  <c r="AX90" i="1"/>
  <c r="BA89" i="1"/>
  <c r="BF167" i="1"/>
  <c r="BG167" i="1" s="1"/>
  <c r="BN138" i="1"/>
  <c r="BO138" i="1" s="1"/>
  <c r="BP143" i="1"/>
  <c r="BQ143" i="1" s="1"/>
  <c r="BF140" i="1"/>
  <c r="BG140" i="1" s="1"/>
  <c r="BF179" i="1"/>
  <c r="BG179" i="1" s="1"/>
  <c r="AZ176" i="1"/>
  <c r="AW89" i="1"/>
  <c r="BP142" i="1"/>
  <c r="BQ142" i="1" s="1"/>
  <c r="BD168" i="1"/>
  <c r="BE168" i="1" s="1"/>
  <c r="BG89" i="1"/>
  <c r="AZ158" i="1"/>
  <c r="BA158" i="1" s="1"/>
  <c r="BD176" i="1"/>
  <c r="BT133" i="1"/>
  <c r="BU133" i="1" s="1"/>
  <c r="BN168" i="1"/>
  <c r="BO168" i="1" s="1"/>
  <c r="BD165" i="1"/>
  <c r="BE165" i="1" s="1"/>
  <c r="BT168" i="1"/>
  <c r="BU168" i="1" s="1"/>
  <c r="BM90" i="1"/>
  <c r="BN143" i="1"/>
  <c r="BO143" i="1" s="1"/>
  <c r="BR148" i="1"/>
  <c r="BP160" i="1"/>
  <c r="BP195" i="1" s="1"/>
  <c r="BQ195" i="1" s="1"/>
  <c r="AT175" i="1"/>
  <c r="BF180" i="1"/>
  <c r="BG180" i="1" s="1"/>
  <c r="AZ151" i="1"/>
  <c r="BA151" i="1" s="1"/>
  <c r="BT162" i="1"/>
  <c r="BU162" i="1" s="1"/>
  <c r="BP140" i="1"/>
  <c r="BQ140" i="1" s="1"/>
  <c r="BP158" i="1"/>
  <c r="BQ158" i="1" s="1"/>
  <c r="BT90" i="1"/>
  <c r="AR159" i="1"/>
  <c r="AS159" i="1" s="1"/>
  <c r="BF134" i="1"/>
  <c r="BG134" i="1" s="1"/>
  <c r="AX89" i="1"/>
  <c r="AX163" i="1"/>
  <c r="AY163" i="1" s="1"/>
  <c r="AX168" i="1"/>
  <c r="AY168" i="1" s="1"/>
  <c r="BB140" i="1"/>
  <c r="BF133" i="1"/>
  <c r="BG133" i="1" s="1"/>
  <c r="AZ163" i="1"/>
  <c r="BA163" i="1" s="1"/>
  <c r="BP147" i="1"/>
  <c r="AV160" i="1"/>
  <c r="AV195" i="1" s="1"/>
  <c r="AW195" i="1" s="1"/>
  <c r="BW89" i="1"/>
  <c r="BN171" i="1"/>
  <c r="BO171" i="1" s="1"/>
  <c r="BR165" i="1"/>
  <c r="BS165" i="1" s="1"/>
  <c r="BP135" i="1"/>
  <c r="BR89" i="1"/>
  <c r="BB90" i="1"/>
  <c r="BD90" i="1"/>
  <c r="AT141" i="1"/>
  <c r="AU141" i="1" s="1"/>
  <c r="BN141" i="1"/>
  <c r="BO141" i="1" s="1"/>
  <c r="BB162" i="1"/>
  <c r="BC162" i="1" s="1"/>
  <c r="BF148" i="1"/>
  <c r="AT138" i="1"/>
  <c r="AU138" i="1" s="1"/>
  <c r="BB148" i="1"/>
  <c r="AN138" i="1"/>
  <c r="AO138" i="1" s="1"/>
  <c r="BB142" i="1"/>
  <c r="BC142" i="1" s="1"/>
  <c r="BP156" i="1"/>
  <c r="BQ156" i="1" s="1"/>
  <c r="AP156" i="1"/>
  <c r="AV156" i="1"/>
  <c r="AV166" i="1"/>
  <c r="AW166" i="1" s="1"/>
  <c r="AN134" i="1"/>
  <c r="AO134" i="1" s="1"/>
  <c r="AN90" i="1"/>
  <c r="BE90" i="1"/>
  <c r="AX138" i="1"/>
  <c r="AY138" i="1" s="1"/>
  <c r="AX176" i="1"/>
  <c r="BB135" i="1"/>
  <c r="AZ161" i="1"/>
  <c r="AZ196" i="1" s="1"/>
  <c r="BA196" i="1" s="1"/>
  <c r="BT160" i="1"/>
  <c r="BT195" i="1" s="1"/>
  <c r="BU195" i="1" s="1"/>
  <c r="AP135" i="1"/>
  <c r="BR167" i="1"/>
  <c r="BS167" i="1" s="1"/>
  <c r="AT149" i="1"/>
  <c r="AX166" i="1"/>
  <c r="AY166" i="1" s="1"/>
  <c r="BN162" i="1"/>
  <c r="BO162" i="1" s="1"/>
  <c r="BN148" i="1"/>
  <c r="AY90" i="1"/>
  <c r="BR160" i="1"/>
  <c r="BR195" i="1" s="1"/>
  <c r="BS195" i="1" s="1"/>
  <c r="BB176" i="1"/>
  <c r="BD147" i="1"/>
  <c r="BT169" i="1"/>
  <c r="BT199" i="1" s="1"/>
  <c r="BU199" i="1" s="1"/>
  <c r="BA90" i="1"/>
  <c r="BR162" i="1"/>
  <c r="BS162" i="1" s="1"/>
  <c r="BB143" i="1"/>
  <c r="BC143" i="1" s="1"/>
  <c r="BP161" i="1"/>
  <c r="BP196" i="1" s="1"/>
  <c r="BQ196" i="1" s="1"/>
  <c r="AT160" i="1"/>
  <c r="AT195" i="1" s="1"/>
  <c r="AU195" i="1" s="1"/>
  <c r="BC89" i="1"/>
  <c r="BD167" i="1"/>
  <c r="BE167" i="1" s="1"/>
  <c r="BR161" i="1"/>
  <c r="BR196" i="1" s="1"/>
  <c r="BS196" i="1" s="1"/>
  <c r="BT175" i="1"/>
  <c r="AV165" i="1"/>
  <c r="AW165" i="1" s="1"/>
  <c r="BN158" i="1"/>
  <c r="BO158" i="1" s="1"/>
  <c r="AZ160" i="1"/>
  <c r="AZ195" i="1" s="1"/>
  <c r="BA195" i="1" s="1"/>
  <c r="AP140" i="1"/>
  <c r="AQ140" i="1" s="1"/>
  <c r="BP133" i="1"/>
  <c r="BQ133" i="1" s="1"/>
  <c r="BD142" i="1"/>
  <c r="BE142" i="1" s="1"/>
  <c r="BP148" i="1"/>
  <c r="AP166" i="1"/>
  <c r="AQ166" i="1" s="1"/>
  <c r="BD180" i="1"/>
  <c r="BE180" i="1" s="1"/>
  <c r="AV175" i="1"/>
  <c r="AV133" i="1"/>
  <c r="AW133" i="1" s="1"/>
  <c r="AR135" i="1"/>
  <c r="AR158" i="1"/>
  <c r="AS158" i="1" s="1"/>
  <c r="AZ156" i="1"/>
  <c r="BA156" i="1" s="1"/>
  <c r="AP179" i="1"/>
  <c r="AQ179" i="1" s="1"/>
  <c r="AP158" i="1"/>
  <c r="AN153" i="1"/>
  <c r="AO153" i="1" s="1"/>
  <c r="AV141" i="1"/>
  <c r="AW141" i="1" s="1"/>
  <c r="AV142" i="1"/>
  <c r="AW142" i="1" s="1"/>
  <c r="AR170" i="1"/>
  <c r="AS170" i="1" s="1"/>
  <c r="AV149" i="1"/>
  <c r="AR134" i="1"/>
  <c r="AS134" i="1" s="1"/>
  <c r="AR168" i="1"/>
  <c r="AS168" i="1" s="1"/>
  <c r="BP175" i="1"/>
  <c r="AN166" i="1"/>
  <c r="AO166" i="1" s="1"/>
  <c r="AR140" i="1"/>
  <c r="AN176" i="1"/>
  <c r="AV180" i="1"/>
  <c r="AW180" i="1" s="1"/>
  <c r="AR169" i="1"/>
  <c r="AR199" i="1" s="1"/>
  <c r="AN142" i="1"/>
  <c r="AO142" i="1" s="1"/>
  <c r="AR138" i="1"/>
  <c r="AS138" i="1" s="1"/>
  <c r="AR162" i="1"/>
  <c r="AS162" i="1" s="1"/>
  <c r="BB147" i="1"/>
  <c r="AV89" i="1"/>
  <c r="AU89" i="1"/>
  <c r="AR176" i="1"/>
  <c r="AV169" i="1"/>
  <c r="AV199" i="1" s="1"/>
  <c r="AT165" i="1"/>
  <c r="AU165" i="1" s="1"/>
  <c r="AT169" i="1"/>
  <c r="AT199" i="1" s="1"/>
  <c r="AU199" i="1" s="1"/>
  <c r="AR89" i="1"/>
  <c r="BO90" i="1"/>
  <c r="BT156" i="1"/>
  <c r="AP149" i="1"/>
  <c r="BF166" i="1"/>
  <c r="BG166" i="1" s="1"/>
  <c r="BN89" i="1"/>
  <c r="AV176" i="1"/>
  <c r="AR160" i="1"/>
  <c r="AR195" i="1" s="1"/>
  <c r="AS195" i="1" s="1"/>
  <c r="BP165" i="1"/>
  <c r="BQ165" i="1" s="1"/>
  <c r="AV167" i="1"/>
  <c r="AW167" i="1" s="1"/>
  <c r="BT143" i="1"/>
  <c r="BU143" i="1" s="1"/>
  <c r="AR163" i="1"/>
  <c r="AS163" i="1" s="1"/>
  <c r="BB161" i="1"/>
  <c r="BB196" i="1" s="1"/>
  <c r="BC196" i="1" s="1"/>
  <c r="AT134" i="1"/>
  <c r="AU134" i="1" s="1"/>
  <c r="BO89" i="1"/>
  <c r="AX179" i="1"/>
  <c r="AY179" i="1" s="1"/>
  <c r="BB156" i="1"/>
  <c r="BC156" i="1" s="1"/>
  <c r="BD133" i="1"/>
  <c r="BR151" i="1"/>
  <c r="BS151" i="1" s="1"/>
  <c r="BB169" i="1"/>
  <c r="BB199" i="1" s="1"/>
  <c r="BF176" i="1"/>
  <c r="BP169" i="1"/>
  <c r="BP199" i="1" s="1"/>
  <c r="BQ199" i="1" s="1"/>
  <c r="AX171" i="1"/>
  <c r="AY171" i="1" s="1"/>
  <c r="BN175" i="1"/>
  <c r="AZ142" i="1"/>
  <c r="BA142" i="1" s="1"/>
  <c r="AX147" i="1"/>
  <c r="BN160" i="1"/>
  <c r="BN195" i="1" s="1"/>
  <c r="BO195" i="1" s="1"/>
  <c r="BR134" i="1"/>
  <c r="BS134" i="1" s="1"/>
  <c r="BF161" i="1"/>
  <c r="BF196" i="1" s="1"/>
  <c r="BG196" i="1" s="1"/>
  <c r="BS89" i="1"/>
  <c r="BQ90" i="1"/>
  <c r="AT151" i="1"/>
  <c r="AU151" i="1" s="1"/>
  <c r="AT142" i="1"/>
  <c r="AU142" i="1" s="1"/>
  <c r="AZ138" i="1"/>
  <c r="BA138" i="1" s="1"/>
  <c r="BD179" i="1"/>
  <c r="BE179" i="1" s="1"/>
  <c r="BD138" i="1"/>
  <c r="BE138" i="1" s="1"/>
  <c r="BT135" i="1"/>
  <c r="BB170" i="1"/>
  <c r="BC170" i="1" s="1"/>
  <c r="BF147" i="1"/>
  <c r="AX135" i="1"/>
  <c r="AX151" i="1"/>
  <c r="AY151" i="1" s="1"/>
  <c r="AX161" i="1"/>
  <c r="AX196" i="1" s="1"/>
  <c r="AY196" i="1" s="1"/>
  <c r="AZ149" i="1"/>
  <c r="AZ171" i="1"/>
  <c r="BA171" i="1" s="1"/>
  <c r="BF169" i="1"/>
  <c r="BF199" i="1" s="1"/>
  <c r="BG199" i="1" s="1"/>
  <c r="BF151" i="1"/>
  <c r="BG151" i="1" s="1"/>
  <c r="BD166" i="1"/>
  <c r="BE166" i="1" s="1"/>
  <c r="BN166" i="1"/>
  <c r="BO166" i="1" s="1"/>
  <c r="AQ90" i="1"/>
  <c r="BR90" i="1"/>
  <c r="AZ143" i="1"/>
  <c r="BA143" i="1" s="1"/>
  <c r="BD162" i="1"/>
  <c r="BE162" i="1" s="1"/>
  <c r="BD140" i="1"/>
  <c r="BE140" i="1" s="1"/>
  <c r="BT151" i="1"/>
  <c r="BU151" i="1" s="1"/>
  <c r="BP90" i="1"/>
  <c r="AV170" i="1"/>
  <c r="AW170" i="1" s="1"/>
  <c r="BN90" i="1"/>
  <c r="BR180" i="1"/>
  <c r="BS180" i="1" s="1"/>
  <c r="AN180" i="1"/>
  <c r="AO180" i="1" s="1"/>
  <c r="AT166" i="1"/>
  <c r="AO89" i="1"/>
  <c r="AX165" i="1"/>
  <c r="AX148" i="1"/>
  <c r="AX153" i="1"/>
  <c r="AY153" i="1" s="1"/>
  <c r="BE89" i="1"/>
  <c r="BN149" i="1"/>
  <c r="BN179" i="1"/>
  <c r="BO179" i="1" s="1"/>
  <c r="BN140" i="1"/>
  <c r="BN161" i="1"/>
  <c r="BN196" i="1" s="1"/>
  <c r="BO196" i="1" s="1"/>
  <c r="BN170" i="1"/>
  <c r="BO170" i="1" s="1"/>
  <c r="AY89" i="1"/>
  <c r="BR158" i="1"/>
  <c r="BS158" i="1" s="1"/>
  <c r="BB165" i="1"/>
  <c r="BC165" i="1" s="1"/>
  <c r="BB167" i="1"/>
  <c r="BC167" i="1" s="1"/>
  <c r="AZ167" i="1"/>
  <c r="BA167" i="1" s="1"/>
  <c r="BF158" i="1"/>
  <c r="BG158" i="1" s="1"/>
  <c r="BD161" i="1"/>
  <c r="BD196" i="1" s="1"/>
  <c r="BE196" i="1" s="1"/>
  <c r="BT170" i="1"/>
  <c r="BU170" i="1" s="1"/>
  <c r="BT176" i="1"/>
  <c r="BP159" i="1"/>
  <c r="BQ159" i="1" s="1"/>
  <c r="BP167" i="1"/>
  <c r="BQ167" i="1" s="1"/>
  <c r="AP134" i="1"/>
  <c r="AQ134" i="1" s="1"/>
  <c r="AZ134" i="1"/>
  <c r="BA134" i="1" s="1"/>
  <c r="AX142" i="1"/>
  <c r="AY142" i="1" s="1"/>
  <c r="AX158" i="1"/>
  <c r="AY158" i="1" s="1"/>
  <c r="BN163" i="1"/>
  <c r="BO163" i="1" s="1"/>
  <c r="BR149" i="1"/>
  <c r="BR171" i="1"/>
  <c r="BS171" i="1" s="1"/>
  <c r="BR166" i="1"/>
  <c r="BS166" i="1" s="1"/>
  <c r="BB138" i="1"/>
  <c r="BC138" i="1" s="1"/>
  <c r="AZ148" i="1"/>
  <c r="AP165" i="1"/>
  <c r="AQ165" i="1" s="1"/>
  <c r="AW90" i="1"/>
  <c r="AS89" i="1"/>
  <c r="AT143" i="1"/>
  <c r="AU143" i="1" s="1"/>
  <c r="AT161" i="1"/>
  <c r="AT196" i="1" s="1"/>
  <c r="AU196" i="1" s="1"/>
  <c r="AT171" i="1"/>
  <c r="AU171" i="1" s="1"/>
  <c r="AT162" i="1"/>
  <c r="AU162" i="1" s="1"/>
  <c r="AT170" i="1"/>
  <c r="AU170" i="1" s="1"/>
  <c r="AT133" i="1"/>
  <c r="BB166" i="1"/>
  <c r="BC166" i="1" s="1"/>
  <c r="AZ179" i="1"/>
  <c r="BA179" i="1" s="1"/>
  <c r="AZ166" i="1"/>
  <c r="BA166" i="1" s="1"/>
  <c r="BF135" i="1"/>
  <c r="BD135" i="1"/>
  <c r="BD156" i="1"/>
  <c r="BE156" i="1" s="1"/>
  <c r="AP90" i="1"/>
  <c r="BG90" i="1"/>
  <c r="BF138" i="1"/>
  <c r="BG138" i="1" s="1"/>
  <c r="AZ180" i="1"/>
  <c r="BA180" i="1" s="1"/>
  <c r="BF156" i="1"/>
  <c r="BG156" i="1" s="1"/>
  <c r="BH218" i="1" s="1"/>
  <c r="BD158" i="1"/>
  <c r="BE158" i="1" s="1"/>
  <c r="BP138" i="1"/>
  <c r="BQ138" i="1" s="1"/>
  <c r="BK89" i="1"/>
  <c r="AP138" i="1"/>
  <c r="AQ138" i="1" s="1"/>
  <c r="AT159" i="1"/>
  <c r="AU159" i="1" s="1"/>
  <c r="AT135" i="1"/>
  <c r="BN169" i="1"/>
  <c r="BN199" i="1" s="1"/>
  <c r="BO199" i="1" s="1"/>
  <c r="BB149" i="1"/>
  <c r="BB158" i="1"/>
  <c r="BC158" i="1" s="1"/>
  <c r="AZ165" i="1"/>
  <c r="BA165" i="1" s="1"/>
  <c r="BP162" i="1"/>
  <c r="BQ162" i="1" s="1"/>
  <c r="AN162" i="1"/>
  <c r="AO162" i="1" s="1"/>
  <c r="BT161" i="1"/>
  <c r="BT196" i="1" s="1"/>
  <c r="BU196" i="1" s="1"/>
  <c r="BD169" i="1"/>
  <c r="BD199" i="1" s="1"/>
  <c r="BE199" i="1" s="1"/>
  <c r="BF142" i="1"/>
  <c r="BG142" i="1" s="1"/>
  <c r="BT166" i="1"/>
  <c r="BU166" i="1" s="1"/>
  <c r="AN175" i="1"/>
  <c r="AZ153" i="1"/>
  <c r="BA153" i="1" s="1"/>
  <c r="AP142" i="1"/>
  <c r="AQ142" i="1" s="1"/>
  <c r="AP160" i="1"/>
  <c r="AP195" i="1" s="1"/>
  <c r="AQ195" i="1" s="1"/>
  <c r="AN168" i="1"/>
  <c r="AO168" i="1" s="1"/>
  <c r="BP141" i="1"/>
  <c r="BQ141" i="1" s="1"/>
  <c r="AV162" i="1"/>
  <c r="AW162" i="1" s="1"/>
  <c r="AR141" i="1"/>
  <c r="AS141" i="1" s="1"/>
  <c r="AR90" i="1"/>
  <c r="BT163" i="1"/>
  <c r="BU163" i="1" s="1"/>
  <c r="BP168" i="1"/>
  <c r="BQ168" i="1" s="1"/>
  <c r="AN179" i="1"/>
  <c r="AO179" i="1" s="1"/>
  <c r="AV90" i="1"/>
  <c r="AP143" i="1"/>
  <c r="AQ143" i="1" s="1"/>
  <c r="AV134" i="1"/>
  <c r="AW134" i="1" s="1"/>
  <c r="AV179" i="1"/>
  <c r="AW179" i="1" s="1"/>
  <c r="AR133" i="1"/>
  <c r="AV140" i="1"/>
  <c r="BD89" i="1"/>
  <c r="AP169" i="1"/>
  <c r="AP199" i="1" s="1"/>
  <c r="AQ199" i="1" s="1"/>
  <c r="BP149" i="1"/>
  <c r="AN163" i="1"/>
  <c r="AO163" i="1" s="1"/>
  <c r="AR153" i="1"/>
  <c r="AS153" i="1" s="1"/>
  <c r="BI90" i="1"/>
  <c r="AS90" i="1"/>
  <c r="AR166" i="1"/>
  <c r="AS166" i="1" s="1"/>
  <c r="AP176" i="1"/>
  <c r="AN170" i="1"/>
  <c r="AO170" i="1" s="1"/>
  <c r="AV143" i="1"/>
  <c r="AW143" i="1" s="1"/>
  <c r="BP170" i="1"/>
  <c r="BQ170" i="1" s="1"/>
  <c r="AN167" i="1"/>
  <c r="AO167" i="1" s="1"/>
  <c r="AN151" i="1"/>
  <c r="AO151" i="1" s="1"/>
  <c r="AR143" i="1"/>
  <c r="AS143" i="1" s="1"/>
  <c r="AV168" i="1"/>
  <c r="AW168" i="1" s="1"/>
  <c r="BQ89" i="1"/>
  <c r="BS90" i="1"/>
  <c r="AR165" i="1"/>
  <c r="AS165" i="1" s="1"/>
  <c r="AP89" i="1"/>
  <c r="BR140" i="1"/>
  <c r="BS140" i="1" s="1"/>
  <c r="AV158" i="1"/>
  <c r="AW158" i="1" s="1"/>
  <c r="AN159" i="1"/>
  <c r="AO159" i="1" s="1"/>
  <c r="AN148" i="1"/>
  <c r="AR179" i="1"/>
  <c r="AS179" i="1" s="1"/>
  <c r="AV161" i="1"/>
  <c r="AV196" i="1" s="1"/>
  <c r="AW196" i="1" s="1"/>
  <c r="AN158" i="1"/>
  <c r="AR142" i="1"/>
  <c r="AS142" i="1" s="1"/>
  <c r="AX169" i="1"/>
  <c r="AX199" i="1" s="1"/>
  <c r="AY199" i="1" s="1"/>
  <c r="BB89" i="1"/>
  <c r="AZ162" i="1"/>
  <c r="BA162" i="1" s="1"/>
  <c r="BD175" i="1"/>
  <c r="BR170" i="1"/>
  <c r="BS170" i="1" s="1"/>
  <c r="BT148" i="1"/>
  <c r="BK90" i="1"/>
  <c r="AX133" i="1"/>
  <c r="AX170" i="1"/>
  <c r="AY170" i="1" s="1"/>
  <c r="BB141" i="1"/>
  <c r="BC141" i="1" s="1"/>
  <c r="BF160" i="1"/>
  <c r="BF195" i="1" s="1"/>
  <c r="BG195" i="1" s="1"/>
  <c r="BT141" i="1"/>
  <c r="BU141" i="1" s="1"/>
  <c r="AX140" i="1"/>
  <c r="BR156" i="1"/>
  <c r="BT140" i="1"/>
  <c r="AP171" i="1"/>
  <c r="AQ171" i="1" s="1"/>
  <c r="AT180" i="1"/>
  <c r="AU180" i="1" s="1"/>
  <c r="AT168" i="1"/>
  <c r="AU168" i="1" s="1"/>
  <c r="BC90" i="1"/>
  <c r="AZ140" i="1"/>
  <c r="BA140" i="1" s="1"/>
  <c r="BF168" i="1"/>
  <c r="BG168" i="1" s="1"/>
  <c r="BD160" i="1"/>
  <c r="BD195" i="1" s="1"/>
  <c r="BE195" i="1" s="1"/>
  <c r="AT90" i="1"/>
  <c r="BB160" i="1"/>
  <c r="BB195" i="1" s="1"/>
  <c r="BC195" i="1" s="1"/>
  <c r="BT171" i="1"/>
  <c r="BU171" i="1" s="1"/>
  <c r="BB163" i="1"/>
  <c r="BC163" i="1" s="1"/>
  <c r="AN156" i="1"/>
  <c r="BP166" i="1"/>
  <c r="BQ166" i="1" s="1"/>
  <c r="AN149" i="1"/>
  <c r="BT89" i="1"/>
  <c r="AP161" i="1"/>
  <c r="AP196" i="1" s="1"/>
  <c r="AQ196" i="1" s="1"/>
  <c r="AV147" i="1"/>
  <c r="BD143" i="1"/>
  <c r="BE143" i="1" s="1"/>
  <c r="AX175" i="1"/>
  <c r="AX180" i="1"/>
  <c r="AY180" i="1" s="1"/>
  <c r="AX141" i="1"/>
  <c r="AY141" i="1" s="1"/>
  <c r="BB179" i="1"/>
  <c r="BC179" i="1" s="1"/>
  <c r="BU89" i="1"/>
  <c r="AZ90" i="1"/>
  <c r="BF162" i="1"/>
  <c r="BG162" i="1" s="1"/>
  <c r="BF143" i="1"/>
  <c r="BG143" i="1" s="1"/>
  <c r="BD149" i="1"/>
  <c r="BN156" i="1"/>
  <c r="BR168" i="1"/>
  <c r="BS168" i="1" s="1"/>
  <c r="BR135" i="1"/>
  <c r="BR141" i="1"/>
  <c r="BS141" i="1" s="1"/>
  <c r="BR133" i="1"/>
  <c r="BB180" i="1"/>
  <c r="BC180" i="1" s="1"/>
  <c r="AZ135" i="1"/>
  <c r="BF165" i="1"/>
  <c r="BG165" i="1" s="1"/>
  <c r="BD134" i="1"/>
  <c r="BE134" i="1" s="1"/>
  <c r="BT180" i="1"/>
  <c r="BU180" i="1" s="1"/>
  <c r="BP176" i="1"/>
  <c r="AP148" i="1"/>
  <c r="AV148" i="1"/>
  <c r="BN147" i="1"/>
  <c r="BR163" i="1"/>
  <c r="BS163" i="1" s="1"/>
  <c r="AX149" i="1"/>
  <c r="AX162" i="1"/>
  <c r="AY162" i="1" s="1"/>
  <c r="BN176" i="1"/>
  <c r="BN134" i="1"/>
  <c r="BO134" i="1" s="1"/>
  <c r="BN165" i="1"/>
  <c r="BO165" i="1" s="1"/>
  <c r="BR176" i="1"/>
  <c r="BR138" i="1"/>
  <c r="BS138" i="1" s="1"/>
  <c r="BB175" i="1"/>
  <c r="BF149" i="1"/>
  <c r="BT134" i="1"/>
  <c r="BU134" i="1" s="1"/>
  <c r="BP179" i="1"/>
  <c r="BQ179" i="1" s="1"/>
  <c r="BP163" i="1"/>
  <c r="BQ163" i="1" s="1"/>
  <c r="BM89" i="1"/>
  <c r="AX143" i="1"/>
  <c r="AY143" i="1" s="1"/>
  <c r="BN167" i="1"/>
  <c r="BO167" i="1" s="1"/>
  <c r="BN133" i="1"/>
  <c r="BO133" i="1" s="1"/>
  <c r="BR147" i="1"/>
  <c r="BR179" i="1"/>
  <c r="BS179" i="1" s="1"/>
  <c r="BR169" i="1"/>
  <c r="BR199" i="1" s="1"/>
  <c r="BS199" i="1" s="1"/>
  <c r="BB171" i="1"/>
  <c r="BC171" i="1" s="1"/>
  <c r="AZ175" i="1"/>
  <c r="BD171" i="1"/>
  <c r="BE171" i="1" s="1"/>
  <c r="BT149" i="1"/>
  <c r="AP167" i="1"/>
  <c r="AQ167" i="1" s="1"/>
  <c r="AT156" i="1"/>
  <c r="AU156" i="1" s="1"/>
  <c r="AT176" i="1"/>
  <c r="AT140" i="1"/>
  <c r="AU140" i="1" s="1"/>
  <c r="AT158" i="1"/>
  <c r="BN151" i="1"/>
  <c r="BO151" i="1" s="1"/>
  <c r="BB168" i="1"/>
  <c r="BC168" i="1" s="1"/>
  <c r="BU90" i="1"/>
  <c r="AZ141" i="1"/>
  <c r="BA141" i="1" s="1"/>
  <c r="BF171" i="1"/>
  <c r="BG171" i="1" s="1"/>
  <c r="BP134" i="1"/>
  <c r="BQ134" i="1" s="1"/>
  <c r="BF175" i="1"/>
  <c r="BF89" i="1"/>
  <c r="BD141" i="1"/>
  <c r="BE141" i="1" s="1"/>
  <c r="BT138" i="1"/>
  <c r="BU138" i="1" s="1"/>
  <c r="AP168" i="1"/>
  <c r="AQ168" i="1" s="1"/>
  <c r="AT179" i="1"/>
  <c r="AU179" i="1" s="1"/>
  <c r="AT163" i="1"/>
  <c r="AU163" i="1" s="1"/>
  <c r="BT142" i="1"/>
  <c r="BU142" i="1" s="1"/>
  <c r="AU90" i="1"/>
  <c r="BB134" i="1"/>
  <c r="BC134" i="1" s="1"/>
  <c r="AZ89" i="1"/>
  <c r="BT158" i="1"/>
  <c r="BU158" i="1" s="1"/>
  <c r="AP180" i="1"/>
  <c r="AQ180" i="1" s="1"/>
  <c r="BB133" i="1"/>
  <c r="AN161" i="1"/>
  <c r="AN196" i="1" s="1"/>
  <c r="AO196" i="1" s="1"/>
  <c r="BD170" i="1"/>
  <c r="BE170" i="1" s="1"/>
  <c r="BT179" i="1"/>
  <c r="BU179" i="1" s="1"/>
  <c r="BP151" i="1"/>
  <c r="BQ151" i="1" s="1"/>
  <c r="AP151" i="1"/>
  <c r="AQ151" i="1" s="1"/>
  <c r="AN140" i="1"/>
  <c r="BP180" i="1"/>
  <c r="BQ180" i="1" s="1"/>
  <c r="AP133" i="1"/>
  <c r="AQ133" i="1" s="1"/>
  <c r="AN135" i="1"/>
  <c r="AV138" i="1"/>
  <c r="AW138" i="1" s="1"/>
  <c r="AR151" i="1"/>
  <c r="AS151" i="1" s="1"/>
  <c r="AR156" i="1"/>
  <c r="AS156" i="1" s="1"/>
  <c r="AR149" i="1"/>
  <c r="AP175" i="1"/>
  <c r="AP163" i="1"/>
  <c r="AQ163" i="1" s="1"/>
  <c r="AN169" i="1"/>
  <c r="AN199" i="1" s="1"/>
  <c r="AO199" i="1" s="1"/>
  <c r="AV171" i="1"/>
  <c r="AW171" i="1" s="1"/>
  <c r="AP147" i="1"/>
  <c r="AR148" i="1"/>
  <c r="AR147" i="1"/>
  <c r="AR150" i="1" s="1"/>
  <c r="AR175" i="1"/>
  <c r="BD148" i="1"/>
  <c r="AN160" i="1"/>
  <c r="AN195" i="1" s="1"/>
  <c r="AO195" i="1" s="1"/>
  <c r="AV135" i="1"/>
  <c r="AR161" i="1"/>
  <c r="BT165" i="1"/>
  <c r="BU165" i="1" s="1"/>
  <c r="AN165" i="1"/>
  <c r="AO165" i="1" s="1"/>
  <c r="AR171" i="1"/>
  <c r="AS171" i="1" s="1"/>
  <c r="AP170" i="1"/>
  <c r="AQ170" i="1" s="1"/>
  <c r="AN143" i="1"/>
  <c r="AO143" i="1" s="1"/>
  <c r="AN171" i="1"/>
  <c r="AO171" i="1" s="1"/>
  <c r="AR167" i="1"/>
  <c r="AS167" i="1" s="1"/>
  <c r="AN147" i="1"/>
  <c r="AT148" i="1"/>
  <c r="AT89" i="1"/>
  <c r="AN89" i="1"/>
  <c r="AN141" i="1"/>
  <c r="AO141" i="1" s="1"/>
  <c r="AO90" i="1"/>
  <c r="AV163" i="1"/>
  <c r="AW163" i="1" s="1"/>
  <c r="BH177" i="1"/>
  <c r="BI158" i="1"/>
  <c r="BH164" i="1"/>
  <c r="BH198" i="1" s="1"/>
  <c r="BI165" i="1"/>
  <c r="BH172" i="1"/>
  <c r="BH201" i="1" s="1"/>
  <c r="BI140" i="1"/>
  <c r="BI144" i="1" s="1"/>
  <c r="BH144" i="1"/>
  <c r="AV153" i="1"/>
  <c r="AW153" i="1" s="1"/>
  <c r="AV159" i="1"/>
  <c r="AZ26" i="1"/>
  <c r="AZ32" i="1" s="1"/>
  <c r="AP153" i="1"/>
  <c r="AQ153" i="1" s="1"/>
  <c r="BF153" i="1"/>
  <c r="BG153" i="1" s="1"/>
  <c r="AT153" i="1"/>
  <c r="AU153" i="1" s="1"/>
  <c r="BP153" i="1"/>
  <c r="BQ153" i="1" s="1"/>
  <c r="BD153" i="1"/>
  <c r="BE153" i="1" s="1"/>
  <c r="BN153" i="1"/>
  <c r="BO153" i="1" s="1"/>
  <c r="BR153" i="1"/>
  <c r="BS153" i="1" s="1"/>
  <c r="BT153" i="1"/>
  <c r="BU153" i="1" s="1"/>
  <c r="BB153" i="1"/>
  <c r="BC153" i="1" s="1"/>
  <c r="BT159" i="1"/>
  <c r="BB159" i="1"/>
  <c r="BF159" i="1"/>
  <c r="AX159" i="1"/>
  <c r="BD159" i="1"/>
  <c r="AZ159" i="1"/>
  <c r="BR159" i="1"/>
  <c r="BN159" i="1"/>
  <c r="AN268" i="1"/>
  <c r="AI53" i="1"/>
  <c r="BV177" i="1"/>
  <c r="BW225" i="1" s="1"/>
  <c r="AP268" i="1"/>
  <c r="BK268" i="1"/>
  <c r="BO42" i="1"/>
  <c r="AU114" i="1"/>
  <c r="AU115" i="1" s="1"/>
  <c r="BH268" i="1"/>
  <c r="BI268" i="1"/>
  <c r="BU42" i="1"/>
  <c r="BD42" i="1"/>
  <c r="BK26" i="1"/>
  <c r="AT247" i="1"/>
  <c r="AP210" i="1"/>
  <c r="AP269" i="1"/>
  <c r="AY26" i="1"/>
  <c r="AM64" i="1"/>
  <c r="BO268" i="1"/>
  <c r="BR42" i="1"/>
  <c r="BW42" i="1"/>
  <c r="BF268" i="1"/>
  <c r="AX42" i="1"/>
  <c r="BI133" i="1"/>
  <c r="BH136" i="1"/>
  <c r="BH108" i="1" s="1"/>
  <c r="BH112" i="1" s="1"/>
  <c r="AZ247" i="1"/>
  <c r="BC114" i="1"/>
  <c r="BC115" i="1" s="1"/>
  <c r="AY268" i="1"/>
  <c r="AW26" i="1"/>
  <c r="AW32" i="1" s="1"/>
  <c r="BN269" i="1"/>
  <c r="AP26" i="1"/>
  <c r="BJ114" i="1"/>
  <c r="BJ115" i="1" s="1"/>
  <c r="BJ118" i="1" s="1"/>
  <c r="AI199" i="1"/>
  <c r="AI201" i="1"/>
  <c r="AI198" i="1"/>
  <c r="AN210" i="1"/>
  <c r="AN49" i="1"/>
  <c r="C191" i="1"/>
  <c r="C70" i="1"/>
  <c r="V225" i="1"/>
  <c r="AW42" i="1"/>
  <c r="AU42" i="1"/>
  <c r="BQ268" i="1"/>
  <c r="BN114" i="1"/>
  <c r="BN115" i="1" s="1"/>
  <c r="BM26" i="1"/>
  <c r="AO269" i="1"/>
  <c r="BA26" i="1"/>
  <c r="BA32" i="1" s="1"/>
  <c r="BW269" i="1"/>
  <c r="BR114" i="1"/>
  <c r="BR115" i="1" s="1"/>
  <c r="BP268" i="1"/>
  <c r="BQ26" i="1"/>
  <c r="BQ247" i="1"/>
  <c r="BS114" i="1"/>
  <c r="BS115" i="1" s="1"/>
  <c r="BB210" i="1"/>
  <c r="BB269" i="1"/>
  <c r="BN268" i="1"/>
  <c r="BO114" i="1"/>
  <c r="BO115" i="1" s="1"/>
  <c r="BO118" i="1" s="1"/>
  <c r="BN247" i="1"/>
  <c r="BM247" i="1"/>
  <c r="BP114" i="1"/>
  <c r="BP115" i="1" s="1"/>
  <c r="BK42" i="1"/>
  <c r="BU268" i="1"/>
  <c r="BU26" i="1"/>
  <c r="F154" i="1"/>
  <c r="F49" i="1"/>
  <c r="N191" i="1"/>
  <c r="N70" i="1"/>
  <c r="N264" i="1"/>
  <c r="R154" i="1"/>
  <c r="R49" i="1"/>
  <c r="BD26" i="1"/>
  <c r="BD269" i="1"/>
  <c r="BD247" i="1"/>
  <c r="BG114" i="1"/>
  <c r="BG115" i="1" s="1"/>
  <c r="AI219" i="1"/>
  <c r="AI217" i="1" s="1"/>
  <c r="AI42" i="1"/>
  <c r="BV269" i="1"/>
  <c r="BJ43" i="1"/>
  <c r="BV26" i="1"/>
  <c r="BV32" i="1" s="1"/>
  <c r="BO26" i="1"/>
  <c r="BK53" i="1"/>
  <c r="AR269" i="1"/>
  <c r="BU114" i="1"/>
  <c r="BU115" i="1" s="1"/>
  <c r="BW144" i="1"/>
  <c r="BW114" i="1"/>
  <c r="BW115" i="1" s="1"/>
  <c r="AZ114" i="1"/>
  <c r="AZ115" i="1" s="1"/>
  <c r="AZ118" i="1" s="1"/>
  <c r="BG42" i="1"/>
  <c r="BA268" i="1"/>
  <c r="AY269" i="1"/>
  <c r="AT26" i="1"/>
  <c r="AT32" i="1" s="1"/>
  <c r="AZ42" i="1"/>
  <c r="AS42" i="1"/>
  <c r="BO247" i="1"/>
  <c r="AS268" i="1"/>
  <c r="BA42" i="1"/>
  <c r="AZ268" i="1"/>
  <c r="BE42" i="1"/>
  <c r="BV164" i="1"/>
  <c r="BV198" i="1" s="1"/>
  <c r="BR26" i="1"/>
  <c r="AR42" i="1"/>
  <c r="BD268" i="1"/>
  <c r="BI42" i="1"/>
  <c r="BM53" i="1"/>
  <c r="BQ42" i="1"/>
  <c r="AR26" i="1"/>
  <c r="AS26" i="1"/>
  <c r="AT42" i="1"/>
  <c r="BP42" i="1"/>
  <c r="BT269" i="1"/>
  <c r="AP42" i="1"/>
  <c r="AI26" i="1"/>
  <c r="BV195" i="1"/>
  <c r="BW195" i="1" s="1"/>
  <c r="BX114" i="1"/>
  <c r="BX115" i="1" s="1"/>
  <c r="BG269" i="1"/>
  <c r="BV114" i="1"/>
  <c r="BV115" i="1" s="1"/>
  <c r="AL114" i="1"/>
  <c r="AL115" i="1" s="1"/>
  <c r="AL120" i="1" s="1"/>
  <c r="AT268" i="1"/>
  <c r="AT114" i="1"/>
  <c r="AT115" i="1" s="1"/>
  <c r="BT114" i="1"/>
  <c r="BT115" i="1" s="1"/>
  <c r="AW269" i="1"/>
  <c r="BS268" i="1"/>
  <c r="AX268" i="1"/>
  <c r="AO268" i="1"/>
  <c r="AN42" i="1"/>
  <c r="BT42" i="1"/>
  <c r="AQ42" i="1"/>
  <c r="AV42" i="1"/>
  <c r="BH42" i="1"/>
  <c r="BI26" i="1"/>
  <c r="BP26" i="1"/>
  <c r="AY42" i="1"/>
  <c r="BF42" i="1"/>
  <c r="BN42" i="1"/>
  <c r="AU26" i="1"/>
  <c r="AY247" i="1"/>
  <c r="BV268" i="1"/>
  <c r="AI196" i="1"/>
  <c r="BV144" i="1"/>
  <c r="BS26" i="1"/>
  <c r="BQ114" i="1"/>
  <c r="BQ115" i="1" s="1"/>
  <c r="BQ118" i="1" s="1"/>
  <c r="BV199" i="1"/>
  <c r="BE26" i="1"/>
  <c r="BY114" i="1"/>
  <c r="BY115" i="1" s="1"/>
  <c r="BE268" i="1"/>
  <c r="BL114" i="1"/>
  <c r="BL115" i="1" s="1"/>
  <c r="AT269" i="1"/>
  <c r="BT268" i="1"/>
  <c r="BM269" i="1"/>
  <c r="BM219" i="1"/>
  <c r="BM217" i="1" s="1"/>
  <c r="BM49" i="1"/>
  <c r="BM210" i="1"/>
  <c r="BP269" i="1"/>
  <c r="BP210" i="1"/>
  <c r="BR269" i="1"/>
  <c r="BR210" i="1"/>
  <c r="BC26" i="1"/>
  <c r="AU269" i="1"/>
  <c r="BV196" i="1"/>
  <c r="BW196" i="1" s="1"/>
  <c r="BH114" i="1"/>
  <c r="BH115" i="1" s="1"/>
  <c r="BH119" i="1" s="1"/>
  <c r="BF269" i="1"/>
  <c r="BD114" i="1"/>
  <c r="BD115" i="1" s="1"/>
  <c r="AI49" i="1"/>
  <c r="BH26" i="1"/>
  <c r="BH196" i="1"/>
  <c r="BI196" i="1" s="1"/>
  <c r="AX114" i="1"/>
  <c r="AX115" i="1" s="1"/>
  <c r="BQ269" i="1"/>
  <c r="BK114" i="1"/>
  <c r="BK115" i="1" s="1"/>
  <c r="BK120" i="1" s="1"/>
  <c r="AX269" i="1"/>
  <c r="AR114" i="1"/>
  <c r="AR115" i="1" s="1"/>
  <c r="AQ268" i="1"/>
  <c r="AS114" i="1"/>
  <c r="AS115" i="1" s="1"/>
  <c r="AQ26" i="1"/>
  <c r="BT210" i="1"/>
  <c r="BH195" i="1"/>
  <c r="BI195" i="1" s="1"/>
  <c r="AR268" i="1"/>
  <c r="BU210" i="1"/>
  <c r="BU269" i="1"/>
  <c r="BW133" i="1"/>
  <c r="BV136" i="1"/>
  <c r="BK269" i="1"/>
  <c r="BK210" i="1"/>
  <c r="BK49" i="1"/>
  <c r="BK219" i="1"/>
  <c r="BK217" i="1" s="1"/>
  <c r="BK247" i="1"/>
  <c r="BM114" i="1"/>
  <c r="BM115" i="1" s="1"/>
  <c r="BM268" i="1"/>
  <c r="BS42" i="1"/>
  <c r="AN26" i="1"/>
  <c r="AN247" i="1"/>
  <c r="AN114" i="1"/>
  <c r="AN115" i="1" s="1"/>
  <c r="AO114" i="1"/>
  <c r="AO115" i="1" s="1"/>
  <c r="AU247" i="1"/>
  <c r="BO269" i="1"/>
  <c r="BF114" i="1"/>
  <c r="BF115" i="1" s="1"/>
  <c r="BF26" i="1"/>
  <c r="AV26" i="1"/>
  <c r="AY114" i="1"/>
  <c r="AY115" i="1" s="1"/>
  <c r="AW114" i="1"/>
  <c r="AW115" i="1" s="1"/>
  <c r="AV268" i="1"/>
  <c r="AP114" i="1"/>
  <c r="AP115" i="1" s="1"/>
  <c r="AV114" i="1"/>
  <c r="AV115" i="1" s="1"/>
  <c r="BW26" i="1"/>
  <c r="BW247" i="1"/>
  <c r="BZ114" i="1"/>
  <c r="BZ115" i="1" s="1"/>
  <c r="BV150" i="1"/>
  <c r="AO42" i="1"/>
  <c r="BR268" i="1"/>
  <c r="BN49" i="1"/>
  <c r="BN210" i="1"/>
  <c r="AQ269" i="1"/>
  <c r="AQ210" i="1"/>
  <c r="BN26" i="1"/>
  <c r="BW268" i="1"/>
  <c r="BI269" i="1"/>
  <c r="BI210" i="1"/>
  <c r="BB247" i="1"/>
  <c r="BB26" i="1"/>
  <c r="BM42" i="1"/>
  <c r="BI114" i="1"/>
  <c r="BI115" i="1" s="1"/>
  <c r="BI119" i="1" s="1"/>
  <c r="BF247" i="1"/>
  <c r="BE114" i="1"/>
  <c r="BE115" i="1" s="1"/>
  <c r="BE120" i="1" s="1"/>
  <c r="AN269" i="1"/>
  <c r="BC268" i="1"/>
  <c r="AV269" i="1"/>
  <c r="BC269" i="1"/>
  <c r="BE269" i="1"/>
  <c r="AQ114" i="1"/>
  <c r="AQ115" i="1" s="1"/>
  <c r="AQ120" i="1" s="1"/>
  <c r="BH269" i="1"/>
  <c r="BV172" i="1"/>
  <c r="BV201" i="1" s="1"/>
  <c r="BB268" i="1"/>
  <c r="BV42" i="1"/>
  <c r="BJ269" i="1"/>
  <c r="BJ210" i="1"/>
  <c r="BG268" i="1"/>
  <c r="BG247" i="1"/>
  <c r="BC42" i="1"/>
  <c r="AX247" i="1"/>
  <c r="AX26" i="1"/>
  <c r="AZ269" i="1"/>
  <c r="AZ210" i="1"/>
  <c r="BT247" i="1"/>
  <c r="BT26" i="1"/>
  <c r="BH199" i="1"/>
  <c r="BI199" i="1" s="1"/>
  <c r="BG26" i="1"/>
  <c r="AU268" i="1"/>
  <c r="BA269" i="1"/>
  <c r="BA210" i="1"/>
  <c r="AO247" i="1"/>
  <c r="AO26" i="1"/>
  <c r="AW268" i="1"/>
  <c r="AW247" i="1"/>
  <c r="AI195" i="1"/>
  <c r="AI247" i="1"/>
  <c r="BB42" i="1"/>
  <c r="BA114" i="1"/>
  <c r="BA115" i="1" s="1"/>
  <c r="BB114" i="1"/>
  <c r="BB115" i="1" s="1"/>
  <c r="AS269" i="1"/>
  <c r="AS210" i="1"/>
  <c r="BS269" i="1"/>
  <c r="BI218" i="1"/>
  <c r="BW218" i="1"/>
  <c r="BJ44" i="1"/>
  <c r="BJ33" i="1"/>
  <c r="CQ150" i="1"/>
  <c r="DB93" i="1"/>
  <c r="CY81" i="1"/>
  <c r="CZ79" i="1"/>
  <c r="P213" i="1" l="1"/>
  <c r="C223" i="1"/>
  <c r="U212" i="1"/>
  <c r="U223" i="1"/>
  <c r="T49" i="1"/>
  <c r="T154" i="1"/>
  <c r="T260" i="1" s="1"/>
  <c r="R191" i="1"/>
  <c r="R70" i="1"/>
  <c r="H191" i="1"/>
  <c r="C265" i="1"/>
  <c r="C267" i="1" s="1"/>
  <c r="J212" i="1"/>
  <c r="E222" i="1"/>
  <c r="D222" i="1"/>
  <c r="D53" i="1"/>
  <c r="D145" i="1"/>
  <c r="D71" i="1" s="1"/>
  <c r="D265" i="1"/>
  <c r="D267" i="1" s="1"/>
  <c r="D70" i="1"/>
  <c r="D191" i="1"/>
  <c r="D223" i="1"/>
  <c r="O70" i="1"/>
  <c r="O223" i="1"/>
  <c r="O191" i="1"/>
  <c r="C53" i="1"/>
  <c r="C145" i="1"/>
  <c r="C71" i="1" s="1"/>
  <c r="P225" i="1"/>
  <c r="O264" i="1"/>
  <c r="P212" i="1"/>
  <c r="P214" i="1" s="1"/>
  <c r="P215" i="1" s="1"/>
  <c r="U265" i="1"/>
  <c r="U267" i="1" s="1"/>
  <c r="C173" i="1"/>
  <c r="D213" i="1"/>
  <c r="R223" i="1"/>
  <c r="E70" i="1"/>
  <c r="E223" i="1"/>
  <c r="E191" i="1"/>
  <c r="B82" i="1"/>
  <c r="B124" i="1"/>
  <c r="B123" i="1"/>
  <c r="N154" i="1"/>
  <c r="N49" i="1"/>
  <c r="M70" i="1"/>
  <c r="M191" i="1"/>
  <c r="M223" i="1"/>
  <c r="N223" i="1"/>
  <c r="L154" i="1"/>
  <c r="L49" i="1"/>
  <c r="N225" i="1"/>
  <c r="M264" i="1"/>
  <c r="U225" i="1"/>
  <c r="T264" i="1"/>
  <c r="C154" i="1"/>
  <c r="C49" i="1"/>
  <c r="H70" i="1"/>
  <c r="H223" i="1"/>
  <c r="V53" i="1"/>
  <c r="V184" i="1"/>
  <c r="V125" i="1" s="1"/>
  <c r="S198" i="1"/>
  <c r="S173" i="1"/>
  <c r="T70" i="1"/>
  <c r="T191" i="1"/>
  <c r="T223" i="1"/>
  <c r="I191" i="1"/>
  <c r="I70" i="1"/>
  <c r="I264" i="1"/>
  <c r="I223" i="1"/>
  <c r="J154" i="1"/>
  <c r="J49" i="1"/>
  <c r="U49" i="1"/>
  <c r="U154" i="1"/>
  <c r="S49" i="1"/>
  <c r="S154" i="1"/>
  <c r="B154" i="1"/>
  <c r="B49" i="1"/>
  <c r="I225" i="1"/>
  <c r="H264" i="1"/>
  <c r="C123" i="1"/>
  <c r="C124" i="1"/>
  <c r="C82" i="1"/>
  <c r="S265" i="1"/>
  <c r="S267" i="1" s="1"/>
  <c r="S184" i="1"/>
  <c r="S125" i="1" s="1"/>
  <c r="S53" i="1"/>
  <c r="S222" i="1"/>
  <c r="S201" i="1"/>
  <c r="S200" i="1" s="1"/>
  <c r="T213" i="1"/>
  <c r="E225" i="1"/>
  <c r="D264" i="1"/>
  <c r="D184" i="1"/>
  <c r="D125" i="1" s="1"/>
  <c r="D126" i="1" s="1"/>
  <c r="D129" i="1" s="1"/>
  <c r="G225" i="1"/>
  <c r="F264" i="1"/>
  <c r="F184" i="1"/>
  <c r="F125" i="1" s="1"/>
  <c r="F223" i="1"/>
  <c r="F191" i="1"/>
  <c r="F70" i="1"/>
  <c r="F145" i="1"/>
  <c r="F71" i="1" s="1"/>
  <c r="T184" i="1"/>
  <c r="T125" i="1" s="1"/>
  <c r="T222" i="1"/>
  <c r="O145" i="1"/>
  <c r="O71" i="1" s="1"/>
  <c r="O222" i="1"/>
  <c r="F198" i="1"/>
  <c r="F173" i="1"/>
  <c r="F181" i="1" s="1"/>
  <c r="G212" i="1"/>
  <c r="K225" i="1"/>
  <c r="J264" i="1"/>
  <c r="G191" i="1"/>
  <c r="G223" i="1"/>
  <c r="G70" i="1"/>
  <c r="J53" i="1"/>
  <c r="J184" i="1"/>
  <c r="J125" i="1" s="1"/>
  <c r="J145" i="1"/>
  <c r="J71" i="1" s="1"/>
  <c r="J265" i="1"/>
  <c r="J267" i="1" s="1"/>
  <c r="H184" i="1"/>
  <c r="H125" i="1" s="1"/>
  <c r="H145" i="1"/>
  <c r="H71" i="1" s="1"/>
  <c r="H53" i="1"/>
  <c r="H222" i="1"/>
  <c r="R225" i="1"/>
  <c r="Q264" i="1"/>
  <c r="P154" i="1"/>
  <c r="P260" i="1" s="1"/>
  <c r="P49" i="1"/>
  <c r="T201" i="1"/>
  <c r="T200" i="1" s="1"/>
  <c r="U213" i="1"/>
  <c r="U214" i="1" s="1"/>
  <c r="U215" i="1" s="1"/>
  <c r="H154" i="1"/>
  <c r="H49" i="1"/>
  <c r="V265" i="1"/>
  <c r="V267" i="1" s="1"/>
  <c r="R184" i="1"/>
  <c r="R125" i="1" s="1"/>
  <c r="R145" i="1"/>
  <c r="R71" i="1" s="1"/>
  <c r="S213" i="1"/>
  <c r="U70" i="1"/>
  <c r="K212" i="1"/>
  <c r="J198" i="1"/>
  <c r="J197" i="1" s="1"/>
  <c r="E198" i="1"/>
  <c r="E197" i="1" s="1"/>
  <c r="F212" i="1"/>
  <c r="E212" i="1"/>
  <c r="Q184" i="1"/>
  <c r="Q125" i="1" s="1"/>
  <c r="H213" i="1"/>
  <c r="K223" i="1"/>
  <c r="G154" i="1"/>
  <c r="G49" i="1"/>
  <c r="I49" i="1"/>
  <c r="I154" i="1"/>
  <c r="V212" i="1"/>
  <c r="V198" i="1"/>
  <c r="V197" i="1" s="1"/>
  <c r="T212" i="1"/>
  <c r="E145" i="1"/>
  <c r="E71" i="1" s="1"/>
  <c r="F265" i="1"/>
  <c r="F267" i="1" s="1"/>
  <c r="H265" i="1"/>
  <c r="H267" i="1" s="1"/>
  <c r="G222" i="1"/>
  <c r="G265" i="1"/>
  <c r="G267" i="1" s="1"/>
  <c r="BD177" i="1"/>
  <c r="BE225" i="1" s="1"/>
  <c r="Q212" i="1"/>
  <c r="E49" i="1"/>
  <c r="E154" i="1"/>
  <c r="J191" i="1"/>
  <c r="J70" i="1"/>
  <c r="J223" i="1"/>
  <c r="D49" i="1"/>
  <c r="D154" i="1"/>
  <c r="L201" i="1"/>
  <c r="L200" i="1" s="1"/>
  <c r="L173" i="1"/>
  <c r="C198" i="1"/>
  <c r="C197" i="1" s="1"/>
  <c r="D212" i="1"/>
  <c r="L225" i="1"/>
  <c r="K264" i="1"/>
  <c r="B191" i="1"/>
  <c r="B70" i="1"/>
  <c r="B264" i="1"/>
  <c r="T53" i="1"/>
  <c r="T145" i="1"/>
  <c r="T71" i="1" s="1"/>
  <c r="T265" i="1"/>
  <c r="T267" i="1" s="1"/>
  <c r="O53" i="1"/>
  <c r="O184" i="1"/>
  <c r="O125" i="1" s="1"/>
  <c r="B53" i="1"/>
  <c r="C222" i="1"/>
  <c r="C221" i="1" s="1"/>
  <c r="B184" i="1"/>
  <c r="B125" i="1" s="1"/>
  <c r="B145" i="1"/>
  <c r="B71" i="1" s="1"/>
  <c r="K265" i="1"/>
  <c r="K267" i="1" s="1"/>
  <c r="K222" i="1"/>
  <c r="K145" i="1"/>
  <c r="K71" i="1" s="1"/>
  <c r="K53" i="1"/>
  <c r="K184" i="1"/>
  <c r="K125" i="1" s="1"/>
  <c r="K70" i="1"/>
  <c r="L223" i="1"/>
  <c r="K191" i="1"/>
  <c r="C184" i="1"/>
  <c r="C125" i="1" s="1"/>
  <c r="D225" i="1"/>
  <c r="C264" i="1"/>
  <c r="W265" i="1"/>
  <c r="W267" i="1" s="1"/>
  <c r="W222" i="1"/>
  <c r="W53" i="1"/>
  <c r="X265" i="1"/>
  <c r="X267" i="1" s="1"/>
  <c r="X222" i="1"/>
  <c r="U264" i="1"/>
  <c r="U191" i="1"/>
  <c r="M154" i="1"/>
  <c r="M49" i="1"/>
  <c r="S145" i="1"/>
  <c r="S71" i="1" s="1"/>
  <c r="S223" i="1"/>
  <c r="S70" i="1"/>
  <c r="Q198" i="1"/>
  <c r="Q197" i="1" s="1"/>
  <c r="R212" i="1"/>
  <c r="H198" i="1"/>
  <c r="I212" i="1"/>
  <c r="J173" i="1"/>
  <c r="D82" i="1"/>
  <c r="D124" i="1"/>
  <c r="K198" i="1"/>
  <c r="K197" i="1" s="1"/>
  <c r="K173" i="1"/>
  <c r="D198" i="1"/>
  <c r="D197" i="1" s="1"/>
  <c r="D173" i="1"/>
  <c r="I53" i="1"/>
  <c r="I222" i="1"/>
  <c r="J222" i="1"/>
  <c r="Q70" i="1"/>
  <c r="Q191" i="1"/>
  <c r="K49" i="1"/>
  <c r="K154" i="1"/>
  <c r="M222" i="1"/>
  <c r="L145" i="1"/>
  <c r="L71" i="1" s="1"/>
  <c r="D201" i="1"/>
  <c r="E213" i="1"/>
  <c r="W154" i="1"/>
  <c r="X219" i="1" s="1"/>
  <c r="X217" i="1" s="1"/>
  <c r="W49" i="1"/>
  <c r="S225" i="1"/>
  <c r="R264" i="1"/>
  <c r="V223" i="1"/>
  <c r="V264" i="1"/>
  <c r="N212" i="1"/>
  <c r="O212" i="1"/>
  <c r="K213" i="1"/>
  <c r="J201" i="1"/>
  <c r="AN177" i="1"/>
  <c r="AO225" i="1" s="1"/>
  <c r="Q223" i="1"/>
  <c r="L198" i="1"/>
  <c r="L212" i="1"/>
  <c r="M212" i="1"/>
  <c r="P198" i="1"/>
  <c r="P173" i="1"/>
  <c r="R198" i="1"/>
  <c r="R197" i="1" s="1"/>
  <c r="S212" i="1"/>
  <c r="C201" i="1"/>
  <c r="C213" i="1"/>
  <c r="O198" i="1"/>
  <c r="O197" i="1" s="1"/>
  <c r="O173" i="1"/>
  <c r="I265" i="1"/>
  <c r="I267" i="1" s="1"/>
  <c r="I145" i="1"/>
  <c r="I71" i="1" s="1"/>
  <c r="Q49" i="1"/>
  <c r="Q154" i="1"/>
  <c r="R219" i="1" s="1"/>
  <c r="R217" i="1" s="1"/>
  <c r="P191" i="1"/>
  <c r="G145" i="1"/>
  <c r="G71" i="1" s="1"/>
  <c r="G53" i="1"/>
  <c r="G184" i="1"/>
  <c r="G125" i="1" s="1"/>
  <c r="U222" i="1"/>
  <c r="U184" i="1"/>
  <c r="U125" i="1" s="1"/>
  <c r="U53" i="1"/>
  <c r="U145" i="1"/>
  <c r="U71" i="1" s="1"/>
  <c r="V222" i="1"/>
  <c r="S264" i="1"/>
  <c r="S191" i="1"/>
  <c r="Q265" i="1"/>
  <c r="Q267" i="1" s="1"/>
  <c r="R265" i="1"/>
  <c r="R267" i="1" s="1"/>
  <c r="Q222" i="1"/>
  <c r="H212" i="1"/>
  <c r="H173" i="1"/>
  <c r="AV177" i="1"/>
  <c r="AW225" i="1" s="1"/>
  <c r="BN177" i="1"/>
  <c r="BO225" i="1" s="1"/>
  <c r="I173" i="1"/>
  <c r="I213" i="1"/>
  <c r="I201" i="1"/>
  <c r="J213" i="1"/>
  <c r="Q201" i="1"/>
  <c r="Q173" i="1"/>
  <c r="Q213" i="1"/>
  <c r="R213" i="1"/>
  <c r="BR150" i="1"/>
  <c r="AX177" i="1"/>
  <c r="AY225" i="1" s="1"/>
  <c r="BS144" i="1"/>
  <c r="P145" i="1"/>
  <c r="P71" i="1" s="1"/>
  <c r="P222" i="1"/>
  <c r="P184" i="1"/>
  <c r="P125" i="1" s="1"/>
  <c r="P265" i="1"/>
  <c r="P267" i="1" s="1"/>
  <c r="P53" i="1"/>
  <c r="H225" i="1"/>
  <c r="G264" i="1"/>
  <c r="T198" i="1"/>
  <c r="T173" i="1"/>
  <c r="F222" i="1"/>
  <c r="E184" i="1"/>
  <c r="E125" i="1" s="1"/>
  <c r="E53" i="1"/>
  <c r="O265" i="1"/>
  <c r="O267" i="1" s="1"/>
  <c r="N145" i="1"/>
  <c r="N71" i="1" s="1"/>
  <c r="N265" i="1"/>
  <c r="N267" i="1" s="1"/>
  <c r="N53" i="1"/>
  <c r="N222" i="1"/>
  <c r="N184" i="1"/>
  <c r="N125" i="1" s="1"/>
  <c r="L184" i="1"/>
  <c r="L125" i="1" s="1"/>
  <c r="L53" i="1"/>
  <c r="L265" i="1"/>
  <c r="L267" i="1" s="1"/>
  <c r="L222" i="1"/>
  <c r="P223" i="1"/>
  <c r="P70" i="1"/>
  <c r="P264" i="1"/>
  <c r="B173" i="1"/>
  <c r="B198" i="1"/>
  <c r="C212" i="1"/>
  <c r="O154" i="1"/>
  <c r="O49" i="1"/>
  <c r="M225" i="1"/>
  <c r="L264" i="1"/>
  <c r="V70" i="1"/>
  <c r="V145" i="1"/>
  <c r="V71" i="1" s="1"/>
  <c r="V191" i="1"/>
  <c r="Q145" i="1"/>
  <c r="Q71" i="1" s="1"/>
  <c r="R222" i="1"/>
  <c r="Q53" i="1"/>
  <c r="K201" i="1"/>
  <c r="L213" i="1"/>
  <c r="N198" i="1"/>
  <c r="N173" i="1"/>
  <c r="E201" i="1"/>
  <c r="F213" i="1"/>
  <c r="E173" i="1"/>
  <c r="G201" i="1"/>
  <c r="G173" i="1"/>
  <c r="G213" i="1"/>
  <c r="O201" i="1"/>
  <c r="O213" i="1"/>
  <c r="U201" i="1"/>
  <c r="U173" i="1"/>
  <c r="M265" i="1"/>
  <c r="M267" i="1" s="1"/>
  <c r="M53" i="1"/>
  <c r="M145" i="1"/>
  <c r="M71" i="1" s="1"/>
  <c r="M184" i="1"/>
  <c r="M125" i="1" s="1"/>
  <c r="V154" i="1"/>
  <c r="V49" i="1"/>
  <c r="V201" i="1"/>
  <c r="V173" i="1"/>
  <c r="V181" i="1" s="1"/>
  <c r="V213" i="1"/>
  <c r="AZ150" i="1"/>
  <c r="BP150" i="1"/>
  <c r="BT177" i="1"/>
  <c r="BU225" i="1" s="1"/>
  <c r="BP177" i="1"/>
  <c r="BQ225" i="1" s="1"/>
  <c r="BB177" i="1"/>
  <c r="AZ177" i="1"/>
  <c r="BA225" i="1" s="1"/>
  <c r="BE144" i="1"/>
  <c r="AR177" i="1"/>
  <c r="AS225" i="1" s="1"/>
  <c r="AQ156" i="1"/>
  <c r="AW156" i="1"/>
  <c r="AX218" i="1" s="1"/>
  <c r="AQ158" i="1"/>
  <c r="AP164" i="1"/>
  <c r="AP198" i="1" s="1"/>
  <c r="AP197" i="1" s="1"/>
  <c r="AS140" i="1"/>
  <c r="AS144" i="1" s="1"/>
  <c r="AR144" i="1"/>
  <c r="AU133" i="1"/>
  <c r="AT136" i="1"/>
  <c r="AT108" i="1" s="1"/>
  <c r="AS133" i="1"/>
  <c r="AR136" i="1"/>
  <c r="AX136" i="1"/>
  <c r="AY133" i="1"/>
  <c r="AY140" i="1"/>
  <c r="AY144" i="1" s="1"/>
  <c r="AX144" i="1"/>
  <c r="BO156" i="1"/>
  <c r="BN218" i="1"/>
  <c r="BT150" i="1"/>
  <c r="AT150" i="1"/>
  <c r="BF177" i="1"/>
  <c r="BG225" i="1" s="1"/>
  <c r="BF150" i="1"/>
  <c r="AV150" i="1"/>
  <c r="BD150" i="1"/>
  <c r="AP150" i="1"/>
  <c r="M213" i="1"/>
  <c r="N213" i="1"/>
  <c r="M173" i="1"/>
  <c r="M201" i="1"/>
  <c r="R201" i="1"/>
  <c r="R173" i="1"/>
  <c r="R181" i="1" s="1"/>
  <c r="AU158" i="1"/>
  <c r="AT164" i="1"/>
  <c r="BC133" i="1"/>
  <c r="BB136" i="1"/>
  <c r="BB108" i="1" s="1"/>
  <c r="AO140" i="1"/>
  <c r="AO144" i="1" s="1"/>
  <c r="AN144" i="1"/>
  <c r="AR196" i="1"/>
  <c r="AS196" i="1" s="1"/>
  <c r="AR164" i="1"/>
  <c r="AR198" i="1" s="1"/>
  <c r="AR154" i="1"/>
  <c r="AO133" i="1"/>
  <c r="AN136" i="1"/>
  <c r="BC140" i="1"/>
  <c r="BC144" i="1" s="1"/>
  <c r="BB144" i="1"/>
  <c r="BU156" i="1"/>
  <c r="BE133" i="1"/>
  <c r="BD136" i="1"/>
  <c r="AU166" i="1"/>
  <c r="AT172" i="1"/>
  <c r="AT201" i="1" s="1"/>
  <c r="AT200" i="1" s="1"/>
  <c r="AY165" i="1"/>
  <c r="AX172" i="1"/>
  <c r="AX201" i="1" s="1"/>
  <c r="AX200" i="1" s="1"/>
  <c r="BO140" i="1"/>
  <c r="BO144" i="1" s="1"/>
  <c r="BN144" i="1"/>
  <c r="AW140" i="1"/>
  <c r="AW144" i="1" s="1"/>
  <c r="AV144" i="1"/>
  <c r="AO158" i="1"/>
  <c r="AN164" i="1"/>
  <c r="BS156" i="1"/>
  <c r="BR218" i="1"/>
  <c r="BU140" i="1"/>
  <c r="BU144" i="1" s="1"/>
  <c r="BT144" i="1"/>
  <c r="AO156" i="1"/>
  <c r="AN218" i="1"/>
  <c r="BS133" i="1"/>
  <c r="BR136" i="1"/>
  <c r="BR108" i="1" s="1"/>
  <c r="BF218" i="1"/>
  <c r="AQ144" i="1"/>
  <c r="AT218" i="1"/>
  <c r="AI202" i="1"/>
  <c r="AN150" i="1"/>
  <c r="AP177" i="1"/>
  <c r="BT172" i="1"/>
  <c r="BT201" i="1" s="1"/>
  <c r="BT200" i="1" s="1"/>
  <c r="BN150" i="1"/>
  <c r="AX150" i="1"/>
  <c r="BB150" i="1"/>
  <c r="AT177" i="1"/>
  <c r="AU225" i="1" s="1"/>
  <c r="AZ136" i="1"/>
  <c r="BR177" i="1"/>
  <c r="AR172" i="1"/>
  <c r="BN136" i="1"/>
  <c r="AS218" i="1"/>
  <c r="BP172" i="1"/>
  <c r="BP201" i="1" s="1"/>
  <c r="BP200" i="1" s="1"/>
  <c r="BT136" i="1"/>
  <c r="BF144" i="1"/>
  <c r="BE218" i="1"/>
  <c r="BR172" i="1"/>
  <c r="BR201" i="1" s="1"/>
  <c r="BR200" i="1" s="1"/>
  <c r="BP164" i="1"/>
  <c r="BP198" i="1" s="1"/>
  <c r="BP197" i="1" s="1"/>
  <c r="AZ144" i="1"/>
  <c r="BQ218" i="1"/>
  <c r="BB172" i="1"/>
  <c r="BB201" i="1" s="1"/>
  <c r="BB200" i="1" s="1"/>
  <c r="AP144" i="1"/>
  <c r="AP136" i="1"/>
  <c r="AP108" i="1" s="1"/>
  <c r="BD172" i="1"/>
  <c r="BD201" i="1" s="1"/>
  <c r="BD200" i="1" s="1"/>
  <c r="BP136" i="1"/>
  <c r="BP108" i="1" s="1"/>
  <c r="BP110" i="1" s="1"/>
  <c r="BN172" i="1"/>
  <c r="BN201" i="1" s="1"/>
  <c r="AN172" i="1"/>
  <c r="AN201" i="1" s="1"/>
  <c r="BP144" i="1"/>
  <c r="BG144" i="1"/>
  <c r="BH222" i="1" s="1"/>
  <c r="BA144" i="1"/>
  <c r="AT144" i="1"/>
  <c r="AP172" i="1"/>
  <c r="BF172" i="1"/>
  <c r="BF201" i="1" s="1"/>
  <c r="BF200" i="1" s="1"/>
  <c r="AV172" i="1"/>
  <c r="AV201" i="1" s="1"/>
  <c r="AV200" i="1" s="1"/>
  <c r="BF136" i="1"/>
  <c r="BQ144" i="1"/>
  <c r="BR144" i="1"/>
  <c r="BR265" i="1" s="1"/>
  <c r="BD144" i="1"/>
  <c r="AZ172" i="1"/>
  <c r="AZ201" i="1" s="1"/>
  <c r="AZ200" i="1" s="1"/>
  <c r="AV136" i="1"/>
  <c r="AU144" i="1"/>
  <c r="AI200" i="1"/>
  <c r="AW159" i="1"/>
  <c r="AV164" i="1"/>
  <c r="BH173" i="1"/>
  <c r="BH181" i="1" s="1"/>
  <c r="BH145" i="1"/>
  <c r="AZ43" i="1"/>
  <c r="BK27" i="1"/>
  <c r="BC159" i="1"/>
  <c r="BB164" i="1"/>
  <c r="BG159" i="1"/>
  <c r="BF164" i="1"/>
  <c r="BE159" i="1"/>
  <c r="BD164" i="1"/>
  <c r="BO159" i="1"/>
  <c r="BN164" i="1"/>
  <c r="BU159" i="1"/>
  <c r="BT164" i="1"/>
  <c r="AY159" i="1"/>
  <c r="AX164" i="1"/>
  <c r="BS159" i="1"/>
  <c r="BR164" i="1"/>
  <c r="BA159" i="1"/>
  <c r="AZ164" i="1"/>
  <c r="AU218" i="1"/>
  <c r="AV218" i="1"/>
  <c r="BC118" i="1"/>
  <c r="BC120" i="1"/>
  <c r="BC119" i="1"/>
  <c r="O74" i="1"/>
  <c r="BF119" i="1"/>
  <c r="BF120" i="1"/>
  <c r="BF118" i="1"/>
  <c r="BB218" i="1"/>
  <c r="BA218" i="1"/>
  <c r="B84" i="1"/>
  <c r="B85" i="1"/>
  <c r="B103" i="1" s="1"/>
  <c r="BH110" i="1"/>
  <c r="BH111" i="1"/>
  <c r="BK43" i="1"/>
  <c r="AW43" i="1"/>
  <c r="AU119" i="1"/>
  <c r="AU120" i="1"/>
  <c r="AU118" i="1"/>
  <c r="AY218" i="1"/>
  <c r="AZ218" i="1"/>
  <c r="BE43" i="1"/>
  <c r="BK28" i="1"/>
  <c r="BL28" i="1"/>
  <c r="BK32" i="1"/>
  <c r="AM68" i="1"/>
  <c r="AM135" i="1"/>
  <c r="AM136" i="1" s="1"/>
  <c r="AM145" i="1" s="1"/>
  <c r="AM209" i="1"/>
  <c r="AM211" i="1" s="1"/>
  <c r="AM82" i="1"/>
  <c r="AM85" i="1" s="1"/>
  <c r="AS28" i="1"/>
  <c r="AT28" i="1"/>
  <c r="AT43" i="1"/>
  <c r="AY43" i="1"/>
  <c r="AP241" i="1"/>
  <c r="AQ28" i="1"/>
  <c r="AZ28" i="1"/>
  <c r="AY32" i="1"/>
  <c r="AP32" i="1"/>
  <c r="AP27" i="1"/>
  <c r="BJ119" i="1"/>
  <c r="BJ120" i="1"/>
  <c r="BA43" i="1"/>
  <c r="BQ43" i="1"/>
  <c r="AP43" i="1"/>
  <c r="AQ204" i="1"/>
  <c r="BM43" i="1"/>
  <c r="BN119" i="1"/>
  <c r="BN120" i="1"/>
  <c r="BN118" i="1"/>
  <c r="BQ27" i="1"/>
  <c r="BM241" i="1"/>
  <c r="BM27" i="1"/>
  <c r="BR118" i="1"/>
  <c r="BR120" i="1"/>
  <c r="BR119" i="1"/>
  <c r="BU27" i="1"/>
  <c r="BQ32" i="1"/>
  <c r="BQ44" i="1" s="1"/>
  <c r="BQ28" i="1"/>
  <c r="BC218" i="1"/>
  <c r="BD218" i="1"/>
  <c r="BS118" i="1"/>
  <c r="BS119" i="1"/>
  <c r="BS120" i="1"/>
  <c r="BO119" i="1"/>
  <c r="BO120" i="1"/>
  <c r="BP119" i="1"/>
  <c r="BP120" i="1"/>
  <c r="BP118" i="1"/>
  <c r="BU43" i="1"/>
  <c r="BU32" i="1"/>
  <c r="BU120" i="1"/>
  <c r="BU119" i="1"/>
  <c r="BV108" i="1"/>
  <c r="BV264" i="1"/>
  <c r="BM32" i="1"/>
  <c r="BM28" i="1"/>
  <c r="BA27" i="1"/>
  <c r="BA28" i="1"/>
  <c r="AI43" i="1"/>
  <c r="BA35" i="1"/>
  <c r="BH43" i="1"/>
  <c r="AS150" i="1"/>
  <c r="AS49" i="1"/>
  <c r="AS32" i="1"/>
  <c r="AW27" i="1"/>
  <c r="BJ27" i="1"/>
  <c r="BF32" i="1"/>
  <c r="BF44" i="1" s="1"/>
  <c r="BJ46" i="1" s="1"/>
  <c r="BV43" i="1"/>
  <c r="BC43" i="1"/>
  <c r="AY204" i="1"/>
  <c r="BT241" i="1"/>
  <c r="AY195" i="1"/>
  <c r="AS199" i="1"/>
  <c r="BY27" i="1"/>
  <c r="BU204" i="1"/>
  <c r="F262" i="1"/>
  <c r="F260" i="1"/>
  <c r="R260" i="1"/>
  <c r="R262" i="1"/>
  <c r="BD27" i="1"/>
  <c r="BE28" i="1"/>
  <c r="BG241" i="1"/>
  <c r="BH27" i="1"/>
  <c r="BD32" i="1"/>
  <c r="BD43" i="1"/>
  <c r="BD204" i="1"/>
  <c r="BG118" i="1"/>
  <c r="BG120" i="1"/>
  <c r="BG119" i="1"/>
  <c r="BV28" i="1"/>
  <c r="BV204" i="1"/>
  <c r="BJ265" i="1"/>
  <c r="BJ222" i="1"/>
  <c r="BI265" i="1"/>
  <c r="BO27" i="1"/>
  <c r="BP28" i="1"/>
  <c r="BO43" i="1"/>
  <c r="BO32" i="1"/>
  <c r="BR241" i="1"/>
  <c r="V74" i="1"/>
  <c r="BX222" i="1"/>
  <c r="BX265" i="1"/>
  <c r="BW222" i="1"/>
  <c r="BW120" i="1"/>
  <c r="BW118" i="1"/>
  <c r="AT27" i="1"/>
  <c r="AW241" i="1"/>
  <c r="AU28" i="1"/>
  <c r="AT204" i="1"/>
  <c r="BR43" i="1"/>
  <c r="BV27" i="1"/>
  <c r="BS28" i="1"/>
  <c r="BU241" i="1"/>
  <c r="AR32" i="1"/>
  <c r="AR44" i="1" s="1"/>
  <c r="AR45" i="1" s="1"/>
  <c r="AU241" i="1"/>
  <c r="AS241" i="1"/>
  <c r="AT33" i="1"/>
  <c r="AT44" i="1"/>
  <c r="BV33" i="1"/>
  <c r="BZ34" i="1"/>
  <c r="N74" i="1"/>
  <c r="AL260" i="1"/>
  <c r="AJ28" i="1"/>
  <c r="AM27" i="1"/>
  <c r="AL241" i="1"/>
  <c r="AI32" i="1"/>
  <c r="BX118" i="1"/>
  <c r="BX119" i="1"/>
  <c r="BX120" i="1"/>
  <c r="BV119" i="1"/>
  <c r="BV118" i="1"/>
  <c r="BV120" i="1"/>
  <c r="AT119" i="1"/>
  <c r="AT120" i="1"/>
  <c r="AT118" i="1"/>
  <c r="BT120" i="1"/>
  <c r="BT119" i="1"/>
  <c r="BT118" i="1"/>
  <c r="BA44" i="1"/>
  <c r="BA33" i="1"/>
  <c r="BI32" i="1"/>
  <c r="BI204" i="1"/>
  <c r="BJ204" i="1"/>
  <c r="BL260" i="1"/>
  <c r="BL241" i="1"/>
  <c r="AW33" i="1"/>
  <c r="AW44" i="1"/>
  <c r="BA34" i="1"/>
  <c r="BP32" i="1"/>
  <c r="BP204" i="1"/>
  <c r="BS241" i="1"/>
  <c r="BQ204" i="1"/>
  <c r="BC199" i="1"/>
  <c r="AY27" i="1"/>
  <c r="AU32" i="1"/>
  <c r="AU43" i="1"/>
  <c r="BV184" i="1"/>
  <c r="BV145" i="1"/>
  <c r="BS43" i="1"/>
  <c r="BW27" i="1"/>
  <c r="BS32" i="1"/>
  <c r="BT28" i="1"/>
  <c r="BS204" i="1"/>
  <c r="BX204" i="1"/>
  <c r="BW199" i="1"/>
  <c r="BV200" i="1"/>
  <c r="BE32" i="1"/>
  <c r="BE34" i="1" s="1"/>
  <c r="BE204" i="1"/>
  <c r="BI27" i="1"/>
  <c r="BF28" i="1"/>
  <c r="BE27" i="1"/>
  <c r="BY120" i="1"/>
  <c r="BY118" i="1"/>
  <c r="BC32" i="1"/>
  <c r="BC27" i="1"/>
  <c r="AW199" i="1"/>
  <c r="BD118" i="1"/>
  <c r="BD119" i="1"/>
  <c r="BD120" i="1"/>
  <c r="BK241" i="1"/>
  <c r="T74" i="1"/>
  <c r="BL204" i="1"/>
  <c r="BH204" i="1"/>
  <c r="AZ44" i="1"/>
  <c r="BF43" i="1"/>
  <c r="BR32" i="1"/>
  <c r="BV34" i="1" s="1"/>
  <c r="BG218" i="1"/>
  <c r="AX241" i="1"/>
  <c r="BF241" i="1"/>
  <c r="AV204" i="1"/>
  <c r="BF204" i="1"/>
  <c r="BK119" i="1"/>
  <c r="BK118" i="1"/>
  <c r="BS27" i="1"/>
  <c r="BR28" i="1"/>
  <c r="BT204" i="1"/>
  <c r="AY28" i="1"/>
  <c r="BI241" i="1"/>
  <c r="BG28" i="1"/>
  <c r="AZ33" i="1"/>
  <c r="BW265" i="1"/>
  <c r="BH184" i="1"/>
  <c r="BP43" i="1"/>
  <c r="AR43" i="1"/>
  <c r="BW119" i="1"/>
  <c r="BI222" i="1"/>
  <c r="AI197" i="1"/>
  <c r="BZ27" i="1"/>
  <c r="BZ204" i="1"/>
  <c r="BY119" i="1"/>
  <c r="AZ120" i="1"/>
  <c r="BK204" i="1"/>
  <c r="BH241" i="1"/>
  <c r="AR241" i="1"/>
  <c r="S74" i="1"/>
  <c r="W74" i="1"/>
  <c r="AV241" i="1"/>
  <c r="AS43" i="1"/>
  <c r="AZ119" i="1"/>
  <c r="AS204" i="1"/>
  <c r="AN43" i="1"/>
  <c r="BU118" i="1"/>
  <c r="Q74" i="1"/>
  <c r="BE119" i="1"/>
  <c r="BV241" i="1"/>
  <c r="AP28" i="1"/>
  <c r="BV197" i="1"/>
  <c r="BA241" i="1"/>
  <c r="AZ204" i="1"/>
  <c r="AU27" i="1"/>
  <c r="AY241" i="1"/>
  <c r="AU204" i="1"/>
  <c r="BV202" i="1"/>
  <c r="BZ205" i="1" s="1"/>
  <c r="BP27" i="1"/>
  <c r="BJ28" i="1"/>
  <c r="BT43" i="1"/>
  <c r="BQ119" i="1"/>
  <c r="BQ120" i="1"/>
  <c r="BI43" i="1"/>
  <c r="AX43" i="1"/>
  <c r="AL118" i="1"/>
  <c r="AL119" i="1"/>
  <c r="BE118" i="1"/>
  <c r="AQ241" i="1"/>
  <c r="BH197" i="1"/>
  <c r="AQ119" i="1"/>
  <c r="BM204" i="1"/>
  <c r="BL120" i="1"/>
  <c r="BL118" i="1"/>
  <c r="BL119" i="1"/>
  <c r="BB28" i="1"/>
  <c r="BB204" i="1"/>
  <c r="R74" i="1"/>
  <c r="BD241" i="1"/>
  <c r="BB32" i="1"/>
  <c r="BN27" i="1"/>
  <c r="BN204" i="1"/>
  <c r="BN32" i="1"/>
  <c r="BN28" i="1"/>
  <c r="BR27" i="1"/>
  <c r="BR204" i="1"/>
  <c r="BZ119" i="1"/>
  <c r="BZ118" i="1"/>
  <c r="BZ120" i="1"/>
  <c r="AN118" i="1"/>
  <c r="AN119" i="1"/>
  <c r="AN120" i="1"/>
  <c r="BM120" i="1"/>
  <c r="BM118" i="1"/>
  <c r="BM119" i="1"/>
  <c r="AR118" i="1"/>
  <c r="AR119" i="1"/>
  <c r="AR120" i="1"/>
  <c r="U74" i="1"/>
  <c r="BE241" i="1"/>
  <c r="BQ241" i="1"/>
  <c r="BO28" i="1"/>
  <c r="AP204" i="1"/>
  <c r="AQ118" i="1"/>
  <c r="BB43" i="1"/>
  <c r="BX27" i="1"/>
  <c r="BU28" i="1"/>
  <c r="BT32" i="1"/>
  <c r="BY204" i="1"/>
  <c r="BW241" i="1"/>
  <c r="AX204" i="1"/>
  <c r="AX28" i="1"/>
  <c r="AX32" i="1"/>
  <c r="BB27" i="1"/>
  <c r="AZ241" i="1"/>
  <c r="BI150" i="1"/>
  <c r="AV118" i="1"/>
  <c r="AV120" i="1"/>
  <c r="AV119" i="1"/>
  <c r="AY118" i="1"/>
  <c r="AY119" i="1"/>
  <c r="AY120" i="1"/>
  <c r="AT241" i="1"/>
  <c r="P74" i="1"/>
  <c r="AQ32" i="1"/>
  <c r="AQ27" i="1"/>
  <c r="AR28" i="1"/>
  <c r="AX118" i="1"/>
  <c r="AX120" i="1"/>
  <c r="AX119" i="1"/>
  <c r="BH120" i="1"/>
  <c r="BH118" i="1"/>
  <c r="AX27" i="1"/>
  <c r="BV173" i="1"/>
  <c r="AR204" i="1"/>
  <c r="BC28" i="1"/>
  <c r="BP241" i="1"/>
  <c r="BC241" i="1"/>
  <c r="BO241" i="1"/>
  <c r="BB120" i="1"/>
  <c r="BB119" i="1"/>
  <c r="BB118" i="1"/>
  <c r="AO27" i="1"/>
  <c r="AS27" i="1"/>
  <c r="AO204" i="1"/>
  <c r="AO32" i="1"/>
  <c r="BH200" i="1"/>
  <c r="BI225" i="1"/>
  <c r="BH264" i="1"/>
  <c r="AO43" i="1"/>
  <c r="BX260" i="1"/>
  <c r="CA204" i="1"/>
  <c r="CB204" i="1"/>
  <c r="X74" i="1"/>
  <c r="BW32" i="1"/>
  <c r="BZ260" i="1"/>
  <c r="CA27" i="1"/>
  <c r="BW28" i="1"/>
  <c r="BY241" i="1"/>
  <c r="BZ241" i="1"/>
  <c r="BX28" i="1"/>
  <c r="BX241" i="1"/>
  <c r="AV43" i="1"/>
  <c r="AW204" i="1"/>
  <c r="AV32" i="1"/>
  <c r="AW28" i="1"/>
  <c r="BA204" i="1"/>
  <c r="AZ27" i="1"/>
  <c r="AN27" i="1"/>
  <c r="AO241" i="1"/>
  <c r="AN32" i="1"/>
  <c r="AN28" i="1"/>
  <c r="AN241" i="1"/>
  <c r="AO28" i="1"/>
  <c r="AR27" i="1"/>
  <c r="AS118" i="1"/>
  <c r="AS120" i="1"/>
  <c r="AS119" i="1"/>
  <c r="BH32" i="1"/>
  <c r="BL27" i="1"/>
  <c r="BI28" i="1"/>
  <c r="BT27" i="1"/>
  <c r="AV28" i="1"/>
  <c r="BN43" i="1"/>
  <c r="BI49" i="1"/>
  <c r="BC204" i="1"/>
  <c r="BI120" i="1"/>
  <c r="BB241" i="1"/>
  <c r="BO204" i="1"/>
  <c r="BI118" i="1"/>
  <c r="BN241" i="1"/>
  <c r="BA120" i="1"/>
  <c r="BA118" i="1"/>
  <c r="BA119" i="1"/>
  <c r="BG204" i="1"/>
  <c r="BG43" i="1"/>
  <c r="BJ241" i="1"/>
  <c r="BJ260" i="1"/>
  <c r="BH28" i="1"/>
  <c r="BG32" i="1"/>
  <c r="BW204" i="1"/>
  <c r="BV154" i="1"/>
  <c r="BW49" i="1"/>
  <c r="BW150" i="1"/>
  <c r="AP118" i="1"/>
  <c r="AP120" i="1"/>
  <c r="AP119" i="1"/>
  <c r="AW118" i="1"/>
  <c r="AW120" i="1"/>
  <c r="AW119" i="1"/>
  <c r="BF27" i="1"/>
  <c r="BV44" i="1"/>
  <c r="AO118" i="1"/>
  <c r="AO120" i="1"/>
  <c r="AO119" i="1"/>
  <c r="BW43" i="1"/>
  <c r="BD28" i="1"/>
  <c r="BG27" i="1"/>
  <c r="AN204" i="1"/>
  <c r="AV27" i="1"/>
  <c r="AQ43" i="1"/>
  <c r="BH202" i="1"/>
  <c r="BL205" i="1" s="1"/>
  <c r="BJ45" i="1"/>
  <c r="BJ50" i="1"/>
  <c r="BJ54" i="1" s="1"/>
  <c r="BJ248" i="1"/>
  <c r="BJ249" i="1" s="1"/>
  <c r="F200" i="1"/>
  <c r="CQ154" i="1"/>
  <c r="CR48" i="1"/>
  <c r="AE93" i="1"/>
  <c r="AB141" i="1"/>
  <c r="AB144" i="1" s="1"/>
  <c r="AB265" i="1" s="1"/>
  <c r="AD158" i="1"/>
  <c r="CZ81" i="1"/>
  <c r="DA79" i="1"/>
  <c r="P262" i="1" l="1"/>
  <c r="T181" i="1"/>
  <c r="T262" i="1"/>
  <c r="C181" i="1"/>
  <c r="H181" i="1"/>
  <c r="AW218" i="1"/>
  <c r="J214" i="1"/>
  <c r="J215" i="1" s="1"/>
  <c r="C219" i="1"/>
  <c r="C217" i="1" s="1"/>
  <c r="U221" i="1"/>
  <c r="T221" i="1"/>
  <c r="P181" i="1"/>
  <c r="P182" i="1" s="1"/>
  <c r="H221" i="1"/>
  <c r="K219" i="1"/>
  <c r="K217" i="1" s="1"/>
  <c r="BV218" i="1"/>
  <c r="BU218" i="1"/>
  <c r="O221" i="1"/>
  <c r="E221" i="1"/>
  <c r="D221" i="1"/>
  <c r="F182" i="1"/>
  <c r="J181" i="1"/>
  <c r="J182" i="1" s="1"/>
  <c r="S214" i="1"/>
  <c r="S215" i="1" s="1"/>
  <c r="D219" i="1"/>
  <c r="D217" i="1" s="1"/>
  <c r="L181" i="1"/>
  <c r="L182" i="1" s="1"/>
  <c r="D214" i="1"/>
  <c r="D215" i="1" s="1"/>
  <c r="D229" i="1" s="1"/>
  <c r="R221" i="1"/>
  <c r="N181" i="1"/>
  <c r="N182" i="1" s="1"/>
  <c r="W219" i="1"/>
  <c r="W217" i="1" s="1"/>
  <c r="N262" i="1"/>
  <c r="N260" i="1"/>
  <c r="U260" i="1"/>
  <c r="U262" i="1"/>
  <c r="U219" i="1"/>
  <c r="U217" i="1" s="1"/>
  <c r="S262" i="1"/>
  <c r="S219" i="1"/>
  <c r="S217" i="1" s="1"/>
  <c r="S260" i="1"/>
  <c r="T219" i="1"/>
  <c r="T217" i="1" s="1"/>
  <c r="AR197" i="1"/>
  <c r="S181" i="1"/>
  <c r="S182" i="1" s="1"/>
  <c r="R182" i="1"/>
  <c r="H262" i="1"/>
  <c r="H260" i="1"/>
  <c r="F197" i="1"/>
  <c r="F202" i="1"/>
  <c r="S202" i="1"/>
  <c r="S197" i="1"/>
  <c r="T214" i="1"/>
  <c r="T215" i="1" s="1"/>
  <c r="T229" i="1" s="1"/>
  <c r="G221" i="1"/>
  <c r="K221" i="1"/>
  <c r="S221" i="1"/>
  <c r="D127" i="1"/>
  <c r="D130" i="1" s="1"/>
  <c r="I221" i="1"/>
  <c r="L219" i="1"/>
  <c r="L217" i="1" s="1"/>
  <c r="M221" i="1"/>
  <c r="E214" i="1"/>
  <c r="E215" i="1" s="1"/>
  <c r="K214" i="1"/>
  <c r="K215" i="1" s="1"/>
  <c r="V221" i="1"/>
  <c r="H182" i="1"/>
  <c r="F221" i="1"/>
  <c r="N221" i="1"/>
  <c r="B181" i="1"/>
  <c r="G214" i="1"/>
  <c r="G215" i="1" s="1"/>
  <c r="U181" i="1"/>
  <c r="U182" i="1" s="1"/>
  <c r="L260" i="1"/>
  <c r="L262" i="1"/>
  <c r="J260" i="1"/>
  <c r="J262" i="1"/>
  <c r="C85" i="1"/>
  <c r="C84" i="1"/>
  <c r="F214" i="1"/>
  <c r="F215" i="1" s="1"/>
  <c r="D181" i="1"/>
  <c r="J221" i="1"/>
  <c r="H214" i="1"/>
  <c r="H215" i="1" s="1"/>
  <c r="I181" i="1"/>
  <c r="I182" i="1" s="1"/>
  <c r="Q214" i="1"/>
  <c r="Q215" i="1" s="1"/>
  <c r="T182" i="1"/>
  <c r="L221" i="1"/>
  <c r="E181" i="1"/>
  <c r="E182" i="1" s="1"/>
  <c r="G181" i="1"/>
  <c r="G182" i="1" s="1"/>
  <c r="V214" i="1"/>
  <c r="V215" i="1" s="1"/>
  <c r="G219" i="1"/>
  <c r="G217" i="1" s="1"/>
  <c r="G260" i="1"/>
  <c r="G262" i="1"/>
  <c r="H219" i="1"/>
  <c r="H217" i="1" s="1"/>
  <c r="I219" i="1"/>
  <c r="I217" i="1" s="1"/>
  <c r="I260" i="1"/>
  <c r="I262" i="1"/>
  <c r="J219" i="1"/>
  <c r="J217" i="1" s="1"/>
  <c r="E260" i="1"/>
  <c r="E262" i="1"/>
  <c r="F219" i="1"/>
  <c r="F217" i="1" s="1"/>
  <c r="B126" i="1"/>
  <c r="B129" i="1" s="1"/>
  <c r="B127" i="1"/>
  <c r="B130" i="1" s="1"/>
  <c r="C126" i="1"/>
  <c r="C129" i="1" s="1"/>
  <c r="C127" i="1"/>
  <c r="C130" i="1" s="1"/>
  <c r="N219" i="1"/>
  <c r="N217" i="1" s="1"/>
  <c r="M219" i="1"/>
  <c r="M217" i="1" s="1"/>
  <c r="M260" i="1"/>
  <c r="M262" i="1"/>
  <c r="K181" i="1"/>
  <c r="K182" i="1" s="1"/>
  <c r="E219" i="1"/>
  <c r="E217" i="1" s="1"/>
  <c r="L197" i="1"/>
  <c r="L202" i="1"/>
  <c r="C214" i="1"/>
  <c r="C215" i="1" s="1"/>
  <c r="H197" i="1"/>
  <c r="H202" i="1"/>
  <c r="D200" i="1"/>
  <c r="D202" i="1"/>
  <c r="Q221" i="1"/>
  <c r="I214" i="1"/>
  <c r="I215" i="1" s="1"/>
  <c r="Q181" i="1"/>
  <c r="Q182" i="1" s="1"/>
  <c r="R214" i="1"/>
  <c r="R215" i="1" s="1"/>
  <c r="M214" i="1"/>
  <c r="M215" i="1" s="1"/>
  <c r="N214" i="1"/>
  <c r="N215" i="1" s="1"/>
  <c r="M181" i="1"/>
  <c r="M182" i="1" s="1"/>
  <c r="D85" i="1"/>
  <c r="D84" i="1"/>
  <c r="B202" i="1"/>
  <c r="B197" i="1"/>
  <c r="AR218" i="1"/>
  <c r="AQ218" i="1"/>
  <c r="O214" i="1"/>
  <c r="O215" i="1" s="1"/>
  <c r="BB184" i="1"/>
  <c r="J200" i="1"/>
  <c r="J202" i="1"/>
  <c r="L214" i="1"/>
  <c r="L215" i="1" s="1"/>
  <c r="AV184" i="1"/>
  <c r="P221" i="1"/>
  <c r="K260" i="1"/>
  <c r="K262" i="1"/>
  <c r="C200" i="1"/>
  <c r="C202" i="1"/>
  <c r="BS49" i="1"/>
  <c r="BS150" i="1"/>
  <c r="BR154" i="1"/>
  <c r="V219" i="1"/>
  <c r="V217" i="1" s="1"/>
  <c r="V260" i="1"/>
  <c r="V262" i="1"/>
  <c r="AQ265" i="1"/>
  <c r="AN108" i="1"/>
  <c r="AN111" i="1" s="1"/>
  <c r="AN264" i="1"/>
  <c r="P202" i="1"/>
  <c r="P197" i="1"/>
  <c r="O181" i="1"/>
  <c r="O182" i="1" s="1"/>
  <c r="V182" i="1"/>
  <c r="AV265" i="1"/>
  <c r="Q262" i="1"/>
  <c r="Q260" i="1"/>
  <c r="Q219" i="1"/>
  <c r="Q217" i="1" s="1"/>
  <c r="O262" i="1"/>
  <c r="P219" i="1"/>
  <c r="P217" i="1" s="1"/>
  <c r="P229" i="1" s="1"/>
  <c r="AR222" i="1"/>
  <c r="AR265" i="1"/>
  <c r="AO150" i="1"/>
  <c r="AO49" i="1"/>
  <c r="AN154" i="1"/>
  <c r="AN262" i="1" s="1"/>
  <c r="BC49" i="1"/>
  <c r="BB154" i="1"/>
  <c r="BC150" i="1"/>
  <c r="Q202" i="1"/>
  <c r="Q200" i="1"/>
  <c r="AV222" i="1"/>
  <c r="BT145" i="1"/>
  <c r="I200" i="1"/>
  <c r="I202" i="1"/>
  <c r="K200" i="1"/>
  <c r="K202" i="1"/>
  <c r="E200" i="1"/>
  <c r="E202" i="1"/>
  <c r="U200" i="1"/>
  <c r="U202" i="1"/>
  <c r="V200" i="1"/>
  <c r="V202" i="1"/>
  <c r="V205" i="1" s="1"/>
  <c r="V206" i="1" s="1"/>
  <c r="BN184" i="1"/>
  <c r="BN145" i="1"/>
  <c r="BC222" i="1"/>
  <c r="BC265" i="1"/>
  <c r="T202" i="1"/>
  <c r="T197" i="1"/>
  <c r="O219" i="1"/>
  <c r="O217" i="1" s="1"/>
  <c r="O260" i="1"/>
  <c r="N202" i="1"/>
  <c r="N197" i="1"/>
  <c r="G202" i="1"/>
  <c r="G200" i="1"/>
  <c r="O202" i="1"/>
  <c r="O200" i="1"/>
  <c r="BB145" i="1"/>
  <c r="AT264" i="1"/>
  <c r="AS222" i="1"/>
  <c r="AS265" i="1"/>
  <c r="AR184" i="1"/>
  <c r="AS53" i="1" s="1"/>
  <c r="AR145" i="1"/>
  <c r="AR108" i="1"/>
  <c r="AR262" i="1"/>
  <c r="AX108" i="1"/>
  <c r="AX264" i="1"/>
  <c r="BU49" i="1"/>
  <c r="BT154" i="1"/>
  <c r="BU150" i="1"/>
  <c r="BG150" i="1"/>
  <c r="BG49" i="1"/>
  <c r="BF154" i="1"/>
  <c r="AW49" i="1"/>
  <c r="AV154" i="1"/>
  <c r="AW150" i="1"/>
  <c r="BE49" i="1"/>
  <c r="BE150" i="1"/>
  <c r="BD154" i="1"/>
  <c r="AQ150" i="1"/>
  <c r="AP154" i="1"/>
  <c r="AQ49" i="1"/>
  <c r="R202" i="1"/>
  <c r="R200" i="1"/>
  <c r="AT198" i="1"/>
  <c r="AT173" i="1"/>
  <c r="BB111" i="1"/>
  <c r="BB112" i="1"/>
  <c r="BB110" i="1"/>
  <c r="AO265" i="1"/>
  <c r="AO222" i="1"/>
  <c r="AN265" i="1"/>
  <c r="AN222" i="1"/>
  <c r="AN145" i="1"/>
  <c r="AN184" i="1"/>
  <c r="BN154" i="1"/>
  <c r="BO150" i="1"/>
  <c r="BO49" i="1"/>
  <c r="AY150" i="1"/>
  <c r="AX154" i="1"/>
  <c r="AY49" i="1"/>
  <c r="AR201" i="1"/>
  <c r="AR173" i="1"/>
  <c r="AR181" i="1" s="1"/>
  <c r="BN264" i="1"/>
  <c r="BN108" i="1"/>
  <c r="BF222" i="1"/>
  <c r="BF184" i="1"/>
  <c r="BP265" i="1"/>
  <c r="BP222" i="1"/>
  <c r="BP184" i="1"/>
  <c r="BR145" i="1"/>
  <c r="BS265" i="1"/>
  <c r="BS222" i="1"/>
  <c r="BR184" i="1"/>
  <c r="BA150" i="1"/>
  <c r="BA49" i="1"/>
  <c r="AZ154" i="1"/>
  <c r="BQ49" i="1"/>
  <c r="BP154" i="1"/>
  <c r="BQ150" i="1"/>
  <c r="BC225" i="1"/>
  <c r="BB264" i="1"/>
  <c r="AR264" i="1"/>
  <c r="AR260" i="1"/>
  <c r="AX222" i="1"/>
  <c r="AX184" i="1"/>
  <c r="AX145" i="1"/>
  <c r="AX265" i="1"/>
  <c r="BO218" i="1"/>
  <c r="BP218" i="1"/>
  <c r="AT154" i="1"/>
  <c r="AU49" i="1"/>
  <c r="AU150" i="1"/>
  <c r="BD108" i="1"/>
  <c r="BD264" i="1"/>
  <c r="BO222" i="1"/>
  <c r="BO265" i="1"/>
  <c r="BN265" i="1"/>
  <c r="BN222" i="1"/>
  <c r="AW265" i="1"/>
  <c r="AW222" i="1"/>
  <c r="AN198" i="1"/>
  <c r="AN173" i="1"/>
  <c r="BT218" i="1"/>
  <c r="BS218" i="1"/>
  <c r="BV265" i="1"/>
  <c r="BU265" i="1"/>
  <c r="BU222" i="1"/>
  <c r="BV222" i="1"/>
  <c r="BT184" i="1"/>
  <c r="BT265" i="1"/>
  <c r="BT222" i="1"/>
  <c r="AP218" i="1"/>
  <c r="AO218" i="1"/>
  <c r="M202" i="1"/>
  <c r="M200" i="1"/>
  <c r="AZ184" i="1"/>
  <c r="AZ265" i="1"/>
  <c r="AZ145" i="1"/>
  <c r="AZ222" i="1"/>
  <c r="AN200" i="1"/>
  <c r="AT145" i="1"/>
  <c r="AT265" i="1"/>
  <c r="AT222" i="1"/>
  <c r="AT184" i="1"/>
  <c r="BD222" i="1"/>
  <c r="BD145" i="1"/>
  <c r="BE265" i="1"/>
  <c r="BE222" i="1"/>
  <c r="BD184" i="1"/>
  <c r="BD265" i="1"/>
  <c r="AV108" i="1"/>
  <c r="AV264" i="1"/>
  <c r="AQ222" i="1"/>
  <c r="AP222" i="1"/>
  <c r="AP265" i="1"/>
  <c r="BG265" i="1"/>
  <c r="BH265" i="1"/>
  <c r="BB222" i="1"/>
  <c r="BA265" i="1"/>
  <c r="BB265" i="1"/>
  <c r="BA222" i="1"/>
  <c r="AU222" i="1"/>
  <c r="AU265" i="1"/>
  <c r="BP202" i="1"/>
  <c r="BP205" i="1" s="1"/>
  <c r="BR222" i="1"/>
  <c r="AY222" i="1"/>
  <c r="AY265" i="1"/>
  <c r="AQ225" i="1"/>
  <c r="AP264" i="1"/>
  <c r="AZ108" i="1"/>
  <c r="AZ264" i="1"/>
  <c r="BS225" i="1"/>
  <c r="BR264" i="1"/>
  <c r="BT108" i="1"/>
  <c r="BT264" i="1"/>
  <c r="BF265" i="1"/>
  <c r="BF145" i="1"/>
  <c r="AP184" i="1"/>
  <c r="AP145" i="1"/>
  <c r="AP111" i="1"/>
  <c r="AP110" i="1"/>
  <c r="AP112" i="1"/>
  <c r="AP201" i="1"/>
  <c r="AP173" i="1"/>
  <c r="BF108" i="1"/>
  <c r="BF264" i="1"/>
  <c r="BP112" i="1"/>
  <c r="AV145" i="1"/>
  <c r="BQ265" i="1"/>
  <c r="BP264" i="1"/>
  <c r="BP145" i="1"/>
  <c r="BP173" i="1"/>
  <c r="BG222" i="1"/>
  <c r="BQ222" i="1"/>
  <c r="BP111" i="1"/>
  <c r="AV198" i="1"/>
  <c r="AV202" i="1" s="1"/>
  <c r="AV173" i="1"/>
  <c r="BH182" i="1"/>
  <c r="BB198" i="1"/>
  <c r="BB173" i="1"/>
  <c r="BD198" i="1"/>
  <c r="BD173" i="1"/>
  <c r="AX198" i="1"/>
  <c r="AX173" i="1"/>
  <c r="BF198" i="1"/>
  <c r="BF173" i="1"/>
  <c r="BT198" i="1"/>
  <c r="BT173" i="1"/>
  <c r="BR198" i="1"/>
  <c r="BR202" i="1" s="1"/>
  <c r="BV205" i="1" s="1"/>
  <c r="BR173" i="1"/>
  <c r="BN198" i="1"/>
  <c r="BN173" i="1"/>
  <c r="AZ198" i="1"/>
  <c r="AZ173" i="1"/>
  <c r="B101" i="1"/>
  <c r="B102" i="1"/>
  <c r="BV112" i="1"/>
  <c r="BV111" i="1"/>
  <c r="BV110" i="1"/>
  <c r="BA266" i="1"/>
  <c r="AP35" i="1"/>
  <c r="BL35" i="1"/>
  <c r="BK33" i="1"/>
  <c r="BK44" i="1"/>
  <c r="BK35" i="1"/>
  <c r="AM70" i="1"/>
  <c r="AM223" i="1"/>
  <c r="AM221" i="1" s="1"/>
  <c r="AM71" i="1"/>
  <c r="AM108" i="1"/>
  <c r="AM102" i="1"/>
  <c r="AM101" i="1"/>
  <c r="AM103" i="1"/>
  <c r="AY44" i="1"/>
  <c r="AY33" i="1"/>
  <c r="AZ35" i="1"/>
  <c r="AT34" i="1"/>
  <c r="AP44" i="1"/>
  <c r="AP34" i="1"/>
  <c r="AP33" i="1"/>
  <c r="BQ33" i="1"/>
  <c r="BU34" i="1"/>
  <c r="BU44" i="1"/>
  <c r="BV35" i="1"/>
  <c r="BY34" i="1"/>
  <c r="BU33" i="1"/>
  <c r="BQ50" i="1"/>
  <c r="BQ54" i="1" s="1"/>
  <c r="BQ45" i="1"/>
  <c r="BQ248" i="1"/>
  <c r="BQ249" i="1" s="1"/>
  <c r="AS154" i="1"/>
  <c r="AT49" i="1"/>
  <c r="AS33" i="1"/>
  <c r="AS44" i="1"/>
  <c r="AS47" i="1" s="1"/>
  <c r="AT35" i="1"/>
  <c r="AW34" i="1"/>
  <c r="AR33" i="1"/>
  <c r="AS35" i="1"/>
  <c r="BI34" i="1"/>
  <c r="BI33" i="1"/>
  <c r="BM34" i="1"/>
  <c r="BI44" i="1"/>
  <c r="BJ35" i="1"/>
  <c r="BP44" i="1"/>
  <c r="BP34" i="1"/>
  <c r="BP33" i="1"/>
  <c r="BQ35" i="1"/>
  <c r="BN200" i="1"/>
  <c r="BM33" i="1"/>
  <c r="BQ34" i="1"/>
  <c r="BM44" i="1"/>
  <c r="BM35" i="1"/>
  <c r="BF33" i="1"/>
  <c r="BJ34" i="1"/>
  <c r="BE35" i="1"/>
  <c r="BS35" i="1"/>
  <c r="BD33" i="1"/>
  <c r="BD44" i="1"/>
  <c r="BD46" i="1" s="1"/>
  <c r="BD34" i="1"/>
  <c r="BE44" i="1"/>
  <c r="BE33" i="1"/>
  <c r="BF35" i="1"/>
  <c r="BC35" i="1"/>
  <c r="BT35" i="1"/>
  <c r="AU34" i="1"/>
  <c r="BW34" i="1"/>
  <c r="Q75" i="1"/>
  <c r="BF45" i="1"/>
  <c r="BF50" i="1"/>
  <c r="BF54" i="1" s="1"/>
  <c r="BF248" i="1"/>
  <c r="BF249" i="1" s="1"/>
  <c r="BO44" i="1"/>
  <c r="V75" i="1"/>
  <c r="BP35" i="1"/>
  <c r="BS34" i="1"/>
  <c r="BO34" i="1"/>
  <c r="BO33" i="1"/>
  <c r="AT50" i="1"/>
  <c r="AT54" i="1" s="1"/>
  <c r="AT45" i="1"/>
  <c r="AT248" i="1"/>
  <c r="AT249" i="1" s="1"/>
  <c r="AJ35" i="1"/>
  <c r="AI33" i="1"/>
  <c r="AM34" i="1"/>
  <c r="AI44" i="1"/>
  <c r="N75" i="1"/>
  <c r="BA45" i="1"/>
  <c r="BA248" i="1"/>
  <c r="BA249" i="1" s="1"/>
  <c r="BA50" i="1"/>
  <c r="BA54" i="1" s="1"/>
  <c r="BA46" i="1"/>
  <c r="AW248" i="1"/>
  <c r="AW249" i="1" s="1"/>
  <c r="AW45" i="1"/>
  <c r="AW50" i="1"/>
  <c r="AW54" i="1" s="1"/>
  <c r="AU35" i="1"/>
  <c r="AV35" i="1"/>
  <c r="AU44" i="1"/>
  <c r="AY34" i="1"/>
  <c r="AU33" i="1"/>
  <c r="BV125" i="1"/>
  <c r="BW53" i="1"/>
  <c r="BS44" i="1"/>
  <c r="BS33" i="1"/>
  <c r="BD35" i="1"/>
  <c r="S75" i="1"/>
  <c r="BC44" i="1"/>
  <c r="BC33" i="1"/>
  <c r="BC34" i="1"/>
  <c r="BA47" i="1"/>
  <c r="BH125" i="1"/>
  <c r="BI53" i="1"/>
  <c r="BR44" i="1"/>
  <c r="BR35" i="1"/>
  <c r="BR33" i="1"/>
  <c r="AZ45" i="1"/>
  <c r="AZ248" i="1"/>
  <c r="AZ249" i="1" s="1"/>
  <c r="AZ50" i="1"/>
  <c r="AZ54" i="1" s="1"/>
  <c r="AQ35" i="1"/>
  <c r="BH44" i="1"/>
  <c r="BH33" i="1"/>
  <c r="BL34" i="1"/>
  <c r="BH34" i="1"/>
  <c r="BB34" i="1"/>
  <c r="AX35" i="1"/>
  <c r="AX33" i="1"/>
  <c r="AX34" i="1"/>
  <c r="AX44" i="1"/>
  <c r="AT111" i="1"/>
  <c r="AT112" i="1"/>
  <c r="AT110" i="1"/>
  <c r="BN34" i="1"/>
  <c r="BR34" i="1"/>
  <c r="BN44" i="1"/>
  <c r="U75" i="1"/>
  <c r="BN33" i="1"/>
  <c r="BN35" i="1"/>
  <c r="AR248" i="1"/>
  <c r="AR249" i="1" s="1"/>
  <c r="BO35" i="1"/>
  <c r="BG35" i="1"/>
  <c r="BG34" i="1"/>
  <c r="BG33" i="1"/>
  <c r="BH35" i="1"/>
  <c r="BK34" i="1"/>
  <c r="T75" i="1"/>
  <c r="BG44" i="1"/>
  <c r="AN44" i="1"/>
  <c r="AO35" i="1"/>
  <c r="AN34" i="1"/>
  <c r="AR34" i="1"/>
  <c r="AN35" i="1"/>
  <c r="AN33" i="1"/>
  <c r="AV44" i="1"/>
  <c r="AV33" i="1"/>
  <c r="AW35" i="1"/>
  <c r="AV34" i="1"/>
  <c r="AZ34" i="1"/>
  <c r="BW35" i="1"/>
  <c r="BW33" i="1"/>
  <c r="X75" i="1"/>
  <c r="CA34" i="1"/>
  <c r="BX35" i="1"/>
  <c r="BW44" i="1"/>
  <c r="BU35" i="1"/>
  <c r="BT44" i="1"/>
  <c r="BX34" i="1"/>
  <c r="BT33" i="1"/>
  <c r="BT34" i="1"/>
  <c r="BV50" i="1"/>
  <c r="BV54" i="1" s="1"/>
  <c r="BZ46" i="1"/>
  <c r="BV45" i="1"/>
  <c r="BV248" i="1"/>
  <c r="BV249" i="1" s="1"/>
  <c r="BW154" i="1"/>
  <c r="BX49" i="1"/>
  <c r="AR50" i="1"/>
  <c r="AR54" i="1" s="1"/>
  <c r="AY35" i="1"/>
  <c r="BI35" i="1"/>
  <c r="BV260" i="1"/>
  <c r="BV262" i="1"/>
  <c r="BR112" i="1"/>
  <c r="BR110" i="1"/>
  <c r="BR111" i="1"/>
  <c r="AO34" i="1"/>
  <c r="AO44" i="1"/>
  <c r="AO33" i="1"/>
  <c r="AS34" i="1"/>
  <c r="BH262" i="1"/>
  <c r="BH260" i="1"/>
  <c r="O75" i="1"/>
  <c r="BV181" i="1"/>
  <c r="BV182" i="1" s="1"/>
  <c r="AQ44" i="1"/>
  <c r="P75" i="1"/>
  <c r="AQ34" i="1"/>
  <c r="AQ33" i="1"/>
  <c r="AR35" i="1"/>
  <c r="BJ49" i="1"/>
  <c r="BI154" i="1"/>
  <c r="BJ219" i="1" s="1"/>
  <c r="BJ217" i="1" s="1"/>
  <c r="BB33" i="1"/>
  <c r="R75" i="1"/>
  <c r="BB44" i="1"/>
  <c r="BF34" i="1"/>
  <c r="BB35" i="1"/>
  <c r="BJ57" i="1"/>
  <c r="BJ56" i="1"/>
  <c r="CR210" i="1"/>
  <c r="CR148" i="1"/>
  <c r="CQ219" i="1"/>
  <c r="CQ217" i="1" s="1"/>
  <c r="AB222" i="1"/>
  <c r="DB79" i="1"/>
  <c r="DB81" i="1" s="1"/>
  <c r="DA81" i="1"/>
  <c r="J229" i="1" l="1"/>
  <c r="C260" i="1"/>
  <c r="C182" i="1"/>
  <c r="S226" i="1"/>
  <c r="S227" i="1" s="1"/>
  <c r="K229" i="1"/>
  <c r="H226" i="1"/>
  <c r="H227" i="1" s="1"/>
  <c r="D226" i="1"/>
  <c r="D227" i="1" s="1"/>
  <c r="S229" i="1"/>
  <c r="T226" i="1"/>
  <c r="T227" i="1" s="1"/>
  <c r="U229" i="1"/>
  <c r="U226" i="1"/>
  <c r="U227" i="1" s="1"/>
  <c r="M229" i="1"/>
  <c r="N229" i="1"/>
  <c r="K226" i="1"/>
  <c r="K227" i="1" s="1"/>
  <c r="I229" i="1"/>
  <c r="D86" i="1"/>
  <c r="Q229" i="1"/>
  <c r="B182" i="1"/>
  <c r="B260" i="1"/>
  <c r="C102" i="1"/>
  <c r="C103" i="1"/>
  <c r="C101" i="1"/>
  <c r="C86" i="1"/>
  <c r="B105" i="1"/>
  <c r="Q226" i="1"/>
  <c r="Q227" i="1" s="1"/>
  <c r="I226" i="1"/>
  <c r="I227" i="1" s="1"/>
  <c r="P226" i="1"/>
  <c r="P227" i="1" s="1"/>
  <c r="H229" i="1"/>
  <c r="J226" i="1"/>
  <c r="J227" i="1" s="1"/>
  <c r="D260" i="1"/>
  <c r="D182" i="1"/>
  <c r="N226" i="1"/>
  <c r="N227" i="1" s="1"/>
  <c r="M226" i="1"/>
  <c r="M227" i="1" s="1"/>
  <c r="I205" i="1"/>
  <c r="I206" i="1" s="1"/>
  <c r="G226" i="1"/>
  <c r="G227" i="1" s="1"/>
  <c r="G229" i="1"/>
  <c r="F229" i="1"/>
  <c r="F226" i="1"/>
  <c r="F227" i="1" s="1"/>
  <c r="E226" i="1"/>
  <c r="E227" i="1" s="1"/>
  <c r="E229" i="1"/>
  <c r="C226" i="1"/>
  <c r="C227" i="1" s="1"/>
  <c r="C229" i="1"/>
  <c r="AW53" i="1"/>
  <c r="AV125" i="1"/>
  <c r="BS154" i="1"/>
  <c r="BT49" i="1"/>
  <c r="BR262" i="1"/>
  <c r="BR260" i="1"/>
  <c r="V226" i="1"/>
  <c r="V227" i="1" s="1"/>
  <c r="V229" i="1"/>
  <c r="AP49" i="1"/>
  <c r="AO154" i="1"/>
  <c r="AN110" i="1"/>
  <c r="AN112" i="1"/>
  <c r="O229" i="1"/>
  <c r="J205" i="1"/>
  <c r="J206" i="1" s="1"/>
  <c r="Q205" i="1"/>
  <c r="Q206" i="1" s="1"/>
  <c r="O226" i="1"/>
  <c r="O227" i="1" s="1"/>
  <c r="BR181" i="1"/>
  <c r="BR182" i="1" s="1"/>
  <c r="R226" i="1"/>
  <c r="R227" i="1" s="1"/>
  <c r="R229" i="1"/>
  <c r="BB125" i="1"/>
  <c r="BC53" i="1"/>
  <c r="L229" i="1"/>
  <c r="L226" i="1"/>
  <c r="L227" i="1" s="1"/>
  <c r="D101" i="1"/>
  <c r="D102" i="1"/>
  <c r="D103" i="1"/>
  <c r="C105" i="1"/>
  <c r="AR182" i="1"/>
  <c r="AN181" i="1"/>
  <c r="AN182" i="1" s="1"/>
  <c r="BP181" i="1"/>
  <c r="BP182" i="1" s="1"/>
  <c r="BA267" i="1"/>
  <c r="BN125" i="1"/>
  <c r="BO53" i="1"/>
  <c r="AZ49" i="1"/>
  <c r="AY154" i="1"/>
  <c r="L205" i="1"/>
  <c r="L206" i="1" s="1"/>
  <c r="K205" i="1"/>
  <c r="K206" i="1" s="1"/>
  <c r="E205" i="1"/>
  <c r="E206" i="1" s="1"/>
  <c r="F205" i="1"/>
  <c r="F206" i="1" s="1"/>
  <c r="H205" i="1"/>
  <c r="H206" i="1" s="1"/>
  <c r="G205" i="1"/>
  <c r="G206" i="1" s="1"/>
  <c r="BN219" i="1"/>
  <c r="BN217" i="1" s="1"/>
  <c r="BN262" i="1"/>
  <c r="BN260" i="1"/>
  <c r="BN112" i="1"/>
  <c r="BN111" i="1"/>
  <c r="BN110" i="1"/>
  <c r="BP125" i="1"/>
  <c r="BQ53" i="1"/>
  <c r="C205" i="1"/>
  <c r="C206" i="1" s="1"/>
  <c r="D205" i="1"/>
  <c r="D206" i="1" s="1"/>
  <c r="BB181" i="1"/>
  <c r="BB182" i="1" s="1"/>
  <c r="BF181" i="1"/>
  <c r="BF182" i="1" s="1"/>
  <c r="BT181" i="1"/>
  <c r="BT182" i="1" s="1"/>
  <c r="BF262" i="1"/>
  <c r="BF260" i="1"/>
  <c r="AP262" i="1"/>
  <c r="AP260" i="1"/>
  <c r="BG53" i="1"/>
  <c r="BF125" i="1"/>
  <c r="BD49" i="1"/>
  <c r="BC154" i="1"/>
  <c r="BN181" i="1"/>
  <c r="BN182" i="1" s="1"/>
  <c r="AZ181" i="1"/>
  <c r="AZ182" i="1" s="1"/>
  <c r="AN260" i="1"/>
  <c r="AN219" i="1"/>
  <c r="AN217" i="1" s="1"/>
  <c r="BT262" i="1"/>
  <c r="BT260" i="1"/>
  <c r="AW154" i="1"/>
  <c r="AX49" i="1"/>
  <c r="BS53" i="1"/>
  <c r="BR125" i="1"/>
  <c r="BA154" i="1"/>
  <c r="BB49" i="1"/>
  <c r="AZ260" i="1"/>
  <c r="AZ262" i="1"/>
  <c r="BR49" i="1"/>
  <c r="BQ154" i="1"/>
  <c r="AN197" i="1"/>
  <c r="AN202" i="1"/>
  <c r="BB262" i="1"/>
  <c r="BB260" i="1"/>
  <c r="BG154" i="1"/>
  <c r="BH49" i="1"/>
  <c r="AV260" i="1"/>
  <c r="AV262" i="1"/>
  <c r="BE154" i="1"/>
  <c r="BF49" i="1"/>
  <c r="BD260" i="1"/>
  <c r="BD262" i="1"/>
  <c r="S205" i="1"/>
  <c r="S206" i="1" s="1"/>
  <c r="R205" i="1"/>
  <c r="R206" i="1" s="1"/>
  <c r="AX262" i="1"/>
  <c r="AX260" i="1"/>
  <c r="AU53" i="1"/>
  <c r="AT125" i="1"/>
  <c r="AP181" i="1"/>
  <c r="AP182" i="1" s="1"/>
  <c r="BD181" i="1"/>
  <c r="BD182" i="1" s="1"/>
  <c r="AR110" i="1"/>
  <c r="AR112" i="1"/>
  <c r="AR111" i="1"/>
  <c r="AX112" i="1"/>
  <c r="AX111" i="1"/>
  <c r="AX110" i="1"/>
  <c r="BV49" i="1"/>
  <c r="BU154" i="1"/>
  <c r="AQ154" i="1"/>
  <c r="AR49" i="1"/>
  <c r="AT202" i="1"/>
  <c r="AT197" i="1"/>
  <c r="AO53" i="1"/>
  <c r="AN125" i="1"/>
  <c r="AR202" i="1"/>
  <c r="AR200" i="1"/>
  <c r="AV49" i="1"/>
  <c r="AU154" i="1"/>
  <c r="BD111" i="1"/>
  <c r="BD110" i="1"/>
  <c r="BD112" i="1"/>
  <c r="BU53" i="1"/>
  <c r="BT125" i="1"/>
  <c r="BE53" i="1"/>
  <c r="BD125" i="1"/>
  <c r="AV112" i="1"/>
  <c r="AV110" i="1"/>
  <c r="AV111" i="1"/>
  <c r="T205" i="1"/>
  <c r="T206" i="1" s="1"/>
  <c r="U205" i="1"/>
  <c r="U206" i="1" s="1"/>
  <c r="P205" i="1"/>
  <c r="P206" i="1" s="1"/>
  <c r="O205" i="1"/>
  <c r="O206" i="1" s="1"/>
  <c r="AV181" i="1"/>
  <c r="AV182" i="1" s="1"/>
  <c r="AX181" i="1"/>
  <c r="AX182" i="1" s="1"/>
  <c r="BP49" i="1"/>
  <c r="BO154" i="1"/>
  <c r="BP262" i="1"/>
  <c r="BP260" i="1"/>
  <c r="AY53" i="1"/>
  <c r="AX125" i="1"/>
  <c r="AT181" i="1"/>
  <c r="AT182" i="1" s="1"/>
  <c r="AT262" i="1"/>
  <c r="AT260" i="1"/>
  <c r="AP125" i="1"/>
  <c r="AQ53" i="1"/>
  <c r="AZ125" i="1"/>
  <c r="BA53" i="1"/>
  <c r="M205" i="1"/>
  <c r="M206" i="1" s="1"/>
  <c r="N205" i="1"/>
  <c r="N206" i="1" s="1"/>
  <c r="AZ111" i="1"/>
  <c r="AZ112" i="1"/>
  <c r="AZ110" i="1"/>
  <c r="AP202" i="1"/>
  <c r="AP205" i="1" s="1"/>
  <c r="AP200" i="1"/>
  <c r="AX197" i="1"/>
  <c r="AX202" i="1"/>
  <c r="BF197" i="1"/>
  <c r="BF202" i="1"/>
  <c r="BJ205" i="1" s="1"/>
  <c r="BT112" i="1"/>
  <c r="BT111" i="1"/>
  <c r="BT110" i="1"/>
  <c r="BF111" i="1"/>
  <c r="BF112" i="1"/>
  <c r="BF110" i="1"/>
  <c r="AV197" i="1"/>
  <c r="BR197" i="1"/>
  <c r="BN197" i="1"/>
  <c r="BN202" i="1"/>
  <c r="BB202" i="1"/>
  <c r="BB197" i="1"/>
  <c r="BD197" i="1"/>
  <c r="BD202" i="1"/>
  <c r="BT202" i="1"/>
  <c r="BT197" i="1"/>
  <c r="BX219" i="1"/>
  <c r="BX217" i="1" s="1"/>
  <c r="BW219" i="1"/>
  <c r="BW217" i="1" s="1"/>
  <c r="AZ202" i="1"/>
  <c r="AZ205" i="1" s="1"/>
  <c r="AZ197" i="1"/>
  <c r="BA242" i="1"/>
  <c r="BL128" i="1"/>
  <c r="AQ266" i="1"/>
  <c r="AQ267" i="1" s="1"/>
  <c r="AT46" i="1"/>
  <c r="AQ47" i="1"/>
  <c r="BS242" i="1"/>
  <c r="BO46" i="1"/>
  <c r="BK46" i="1"/>
  <c r="BX242" i="1"/>
  <c r="BK47" i="1"/>
  <c r="BK45" i="1"/>
  <c r="BL47" i="1"/>
  <c r="BK248" i="1"/>
  <c r="BK249" i="1" s="1"/>
  <c r="BK50" i="1"/>
  <c r="BK54" i="1" s="1"/>
  <c r="BK266" i="1"/>
  <c r="BK267" i="1" s="1"/>
  <c r="BL266" i="1"/>
  <c r="BL267" i="1" s="1"/>
  <c r="AM110" i="1"/>
  <c r="AM111" i="1"/>
  <c r="AM112" i="1"/>
  <c r="AY45" i="1"/>
  <c r="AY248" i="1"/>
  <c r="AY249" i="1" s="1"/>
  <c r="AY50" i="1"/>
  <c r="AY54" i="1" s="1"/>
  <c r="AZ266" i="1"/>
  <c r="AZ267" i="1" s="1"/>
  <c r="AZ47" i="1"/>
  <c r="AP45" i="1"/>
  <c r="AP46" i="1"/>
  <c r="AP248" i="1"/>
  <c r="AP249" i="1" s="1"/>
  <c r="AP50" i="1"/>
  <c r="AP54" i="1" s="1"/>
  <c r="BV266" i="1"/>
  <c r="BV267" i="1" s="1"/>
  <c r="BV47" i="1"/>
  <c r="BM128" i="1"/>
  <c r="BM242" i="1"/>
  <c r="BU46" i="1"/>
  <c r="BU45" i="1"/>
  <c r="BU248" i="1"/>
  <c r="BU249" i="1" s="1"/>
  <c r="BY46" i="1"/>
  <c r="BU50" i="1"/>
  <c r="BU54" i="1" s="1"/>
  <c r="S76" i="1"/>
  <c r="BK128" i="1"/>
  <c r="U76" i="1"/>
  <c r="AS219" i="1"/>
  <c r="AS217" i="1" s="1"/>
  <c r="AT219" i="1"/>
  <c r="AT217" i="1" s="1"/>
  <c r="AS248" i="1"/>
  <c r="AS249" i="1" s="1"/>
  <c r="AS50" i="1"/>
  <c r="AS54" i="1" s="1"/>
  <c r="AW46" i="1"/>
  <c r="AT47" i="1"/>
  <c r="AS266" i="1"/>
  <c r="AS267" i="1" s="1"/>
  <c r="AS45" i="1"/>
  <c r="AT266" i="1"/>
  <c r="AT267" i="1" s="1"/>
  <c r="AS242" i="1"/>
  <c r="AS128" i="1"/>
  <c r="BF266" i="1"/>
  <c r="BF267" i="1" s="1"/>
  <c r="BE46" i="1"/>
  <c r="BI248" i="1"/>
  <c r="BI249" i="1" s="1"/>
  <c r="BI50" i="1"/>
  <c r="BI45" i="1"/>
  <c r="BL242" i="1"/>
  <c r="BJ47" i="1"/>
  <c r="BJ266" i="1"/>
  <c r="BJ267" i="1" s="1"/>
  <c r="BQ47" i="1"/>
  <c r="BP45" i="1"/>
  <c r="BP46" i="1"/>
  <c r="BP248" i="1"/>
  <c r="BP249" i="1" s="1"/>
  <c r="BP50" i="1"/>
  <c r="BP54" i="1" s="1"/>
  <c r="BQ266" i="1"/>
  <c r="BQ267" i="1" s="1"/>
  <c r="BM50" i="1"/>
  <c r="BM54" i="1" s="1"/>
  <c r="BM45" i="1"/>
  <c r="BQ46" i="1"/>
  <c r="BM47" i="1"/>
  <c r="BM46" i="1"/>
  <c r="BM248" i="1"/>
  <c r="BM249" i="1" s="1"/>
  <c r="BM266" i="1"/>
  <c r="BM267" i="1" s="1"/>
  <c r="BD266" i="1"/>
  <c r="BD267" i="1" s="1"/>
  <c r="O76" i="1"/>
  <c r="AP47" i="1"/>
  <c r="BE47" i="1"/>
  <c r="BD50" i="1"/>
  <c r="BD54" i="1" s="1"/>
  <c r="BD45" i="1"/>
  <c r="BD248" i="1"/>
  <c r="BD249" i="1" s="1"/>
  <c r="BE266" i="1"/>
  <c r="BE267" i="1" s="1"/>
  <c r="BI46" i="1"/>
  <c r="BE248" i="1"/>
  <c r="BE249" i="1" s="1"/>
  <c r="BE45" i="1"/>
  <c r="BE50" i="1"/>
  <c r="BE54" i="1" s="1"/>
  <c r="BF47" i="1"/>
  <c r="BF57" i="1"/>
  <c r="BF56" i="1"/>
  <c r="BO45" i="1"/>
  <c r="BO50" i="1"/>
  <c r="BO54" i="1" s="1"/>
  <c r="BO248" i="1"/>
  <c r="BO249" i="1" s="1"/>
  <c r="BP47" i="1"/>
  <c r="BP266" i="1"/>
  <c r="BP267" i="1" s="1"/>
  <c r="BH126" i="1"/>
  <c r="BH127" i="1"/>
  <c r="AX242" i="1"/>
  <c r="BT266" i="1"/>
  <c r="BT267" i="1" s="1"/>
  <c r="BC47" i="1"/>
  <c r="AJ47" i="1"/>
  <c r="AL128" i="1"/>
  <c r="AI45" i="1"/>
  <c r="AM46" i="1"/>
  <c r="AI50" i="1"/>
  <c r="N76" i="1"/>
  <c r="AL242" i="1"/>
  <c r="AI248" i="1"/>
  <c r="AI249" i="1" s="1"/>
  <c r="AW242" i="1"/>
  <c r="AU242" i="1"/>
  <c r="AW128" i="1"/>
  <c r="AU47" i="1"/>
  <c r="AU266" i="1"/>
  <c r="AU267" i="1" s="1"/>
  <c r="AU128" i="1"/>
  <c r="AV242" i="1"/>
  <c r="AU248" i="1"/>
  <c r="AU249" i="1" s="1"/>
  <c r="AU45" i="1"/>
  <c r="AU50" i="1"/>
  <c r="AU54" i="1" s="1"/>
  <c r="AY46" i="1"/>
  <c r="AV47" i="1"/>
  <c r="AV266" i="1"/>
  <c r="AV267" i="1" s="1"/>
  <c r="AU46" i="1"/>
  <c r="BV126" i="1"/>
  <c r="BV127" i="1"/>
  <c r="BS46" i="1"/>
  <c r="BS50" i="1"/>
  <c r="BS54" i="1" s="1"/>
  <c r="BS45" i="1"/>
  <c r="BS248" i="1"/>
  <c r="BS249" i="1" s="1"/>
  <c r="BS266" i="1"/>
  <c r="BS267" i="1" s="1"/>
  <c r="BD47" i="1"/>
  <c r="BG46" i="1"/>
  <c r="BF128" i="1"/>
  <c r="BC50" i="1"/>
  <c r="BC45" i="1"/>
  <c r="BC248" i="1"/>
  <c r="BC249" i="1" s="1"/>
  <c r="BF242" i="1"/>
  <c r="BC46" i="1"/>
  <c r="BV46" i="1"/>
  <c r="BS128" i="1"/>
  <c r="BT242" i="1"/>
  <c r="AQ242" i="1"/>
  <c r="AZ57" i="1"/>
  <c r="AZ56" i="1"/>
  <c r="BV242" i="1"/>
  <c r="BR266" i="1"/>
  <c r="BR267" i="1" s="1"/>
  <c r="BR45" i="1"/>
  <c r="BR47" i="1"/>
  <c r="BS47" i="1"/>
  <c r="V76" i="1"/>
  <c r="BR242" i="1"/>
  <c r="BR248" i="1"/>
  <c r="BR249" i="1" s="1"/>
  <c r="BR128" i="1"/>
  <c r="BR50" i="1"/>
  <c r="BN128" i="1"/>
  <c r="BN242" i="1"/>
  <c r="BA128" i="1"/>
  <c r="AX128" i="1"/>
  <c r="AY128" i="1"/>
  <c r="AY242" i="1"/>
  <c r="AY47" i="1"/>
  <c r="AY266" i="1"/>
  <c r="AY267" i="1" s="1"/>
  <c r="AZ128" i="1"/>
  <c r="BV128" i="1"/>
  <c r="AQ128" i="1"/>
  <c r="BT128" i="1"/>
  <c r="BT47" i="1"/>
  <c r="AR242" i="1"/>
  <c r="AP242" i="1"/>
  <c r="AP266" i="1"/>
  <c r="AP267" i="1" s="1"/>
  <c r="AP128" i="1"/>
  <c r="BK242" i="1"/>
  <c r="BX128" i="1"/>
  <c r="AV128" i="1"/>
  <c r="Q76" i="1"/>
  <c r="BI219" i="1"/>
  <c r="BI217" i="1" s="1"/>
  <c r="BV56" i="1"/>
  <c r="BV57" i="1"/>
  <c r="BD242" i="1"/>
  <c r="BC128" i="1"/>
  <c r="BC242" i="1"/>
  <c r="BB242" i="1"/>
  <c r="R76" i="1"/>
  <c r="AV50" i="1"/>
  <c r="AZ46" i="1"/>
  <c r="AV45" i="1"/>
  <c r="AV248" i="1"/>
  <c r="AV249" i="1" s="1"/>
  <c r="AW266" i="1"/>
  <c r="AW267" i="1" s="1"/>
  <c r="AW47" i="1"/>
  <c r="BG45" i="1"/>
  <c r="BH242" i="1"/>
  <c r="T76" i="1"/>
  <c r="BG128" i="1"/>
  <c r="BJ128" i="1"/>
  <c r="BG266" i="1"/>
  <c r="BG267" i="1" s="1"/>
  <c r="BI242" i="1"/>
  <c r="BG50" i="1"/>
  <c r="BI128" i="1"/>
  <c r="BG248" i="1"/>
  <c r="BG249" i="1" s="1"/>
  <c r="BH128" i="1"/>
  <c r="BJ242" i="1"/>
  <c r="BH47" i="1"/>
  <c r="BG242" i="1"/>
  <c r="BG47" i="1"/>
  <c r="BL46" i="1"/>
  <c r="BH45" i="1"/>
  <c r="BH50" i="1"/>
  <c r="BH54" i="1" s="1"/>
  <c r="BH248" i="1"/>
  <c r="BH249" i="1" s="1"/>
  <c r="BH266" i="1"/>
  <c r="BH267" i="1" s="1"/>
  <c r="BH46" i="1"/>
  <c r="BI266" i="1"/>
  <c r="BI267" i="1" s="1"/>
  <c r="BI47" i="1"/>
  <c r="BW46" i="1"/>
  <c r="AN266" i="1"/>
  <c r="AN267" i="1" s="1"/>
  <c r="AN50" i="1"/>
  <c r="AO242" i="1"/>
  <c r="AN47" i="1"/>
  <c r="AN45" i="1"/>
  <c r="AN248" i="1"/>
  <c r="AN249" i="1" s="1"/>
  <c r="AN242" i="1"/>
  <c r="AR46" i="1"/>
  <c r="AO128" i="1"/>
  <c r="AN128" i="1"/>
  <c r="AO47" i="1"/>
  <c r="AN46" i="1"/>
  <c r="BW47" i="1"/>
  <c r="BN50" i="1"/>
  <c r="BP242" i="1"/>
  <c r="BO242" i="1"/>
  <c r="BR46" i="1"/>
  <c r="BQ128" i="1"/>
  <c r="BN45" i="1"/>
  <c r="BO47" i="1"/>
  <c r="BN47" i="1"/>
  <c r="BN248" i="1"/>
  <c r="BN249" i="1" s="1"/>
  <c r="BO266" i="1"/>
  <c r="BO267" i="1" s="1"/>
  <c r="BN266" i="1"/>
  <c r="BN267" i="1" s="1"/>
  <c r="BN46" i="1"/>
  <c r="BP128" i="1"/>
  <c r="BQ242" i="1"/>
  <c r="BO128" i="1"/>
  <c r="AX266" i="1"/>
  <c r="AX267" i="1" s="1"/>
  <c r="AX248" i="1"/>
  <c r="AX249" i="1" s="1"/>
  <c r="AX46" i="1"/>
  <c r="BB46" i="1"/>
  <c r="AZ242" i="1"/>
  <c r="AX50" i="1"/>
  <c r="AX47" i="1"/>
  <c r="AX45" i="1"/>
  <c r="BB50" i="1"/>
  <c r="BF46" i="1"/>
  <c r="BB248" i="1"/>
  <c r="BB249" i="1" s="1"/>
  <c r="BB128" i="1"/>
  <c r="BD128" i="1"/>
  <c r="BB45" i="1"/>
  <c r="BB266" i="1"/>
  <c r="BB267" i="1" s="1"/>
  <c r="BB47" i="1"/>
  <c r="BW242" i="1"/>
  <c r="BW248" i="1"/>
  <c r="BW249" i="1" s="1"/>
  <c r="BX47" i="1"/>
  <c r="X76" i="1"/>
  <c r="BW45" i="1"/>
  <c r="BZ128" i="1"/>
  <c r="BZ242" i="1"/>
  <c r="BW266" i="1"/>
  <c r="BW267" i="1" s="1"/>
  <c r="BW50" i="1"/>
  <c r="BY128" i="1"/>
  <c r="CA46" i="1"/>
  <c r="BX266" i="1"/>
  <c r="BX267" i="1" s="1"/>
  <c r="BY242" i="1"/>
  <c r="BC266" i="1"/>
  <c r="BC267" i="1" s="1"/>
  <c r="BE242" i="1"/>
  <c r="BE128" i="1"/>
  <c r="AQ45" i="1"/>
  <c r="AT242" i="1"/>
  <c r="AQ248" i="1"/>
  <c r="AQ249" i="1" s="1"/>
  <c r="P76" i="1"/>
  <c r="AQ50" i="1"/>
  <c r="AQ46" i="1"/>
  <c r="AR47" i="1"/>
  <c r="AR266" i="1"/>
  <c r="AR267" i="1" s="1"/>
  <c r="AT128" i="1"/>
  <c r="AO248" i="1"/>
  <c r="AO249" i="1" s="1"/>
  <c r="AO50" i="1"/>
  <c r="AO54" i="1" s="1"/>
  <c r="AO56" i="1" s="1"/>
  <c r="AR128" i="1"/>
  <c r="AO266" i="1"/>
  <c r="AO267" i="1" s="1"/>
  <c r="AO46" i="1"/>
  <c r="AS46" i="1"/>
  <c r="AO45" i="1"/>
  <c r="AR57" i="1"/>
  <c r="AR56" i="1"/>
  <c r="BT50" i="1"/>
  <c r="BU266" i="1"/>
  <c r="BU267" i="1" s="1"/>
  <c r="BT45" i="1"/>
  <c r="BX46" i="1"/>
  <c r="BU47" i="1"/>
  <c r="BT248" i="1"/>
  <c r="BT249" i="1" s="1"/>
  <c r="BT46" i="1"/>
  <c r="BW128" i="1"/>
  <c r="BU128" i="1"/>
  <c r="AV46" i="1"/>
  <c r="BJ250" i="1"/>
  <c r="BJ58" i="1"/>
  <c r="BJ261" i="1" s="1"/>
  <c r="BJ64" i="1"/>
  <c r="BQ56" i="1"/>
  <c r="BQ57" i="1"/>
  <c r="BA57" i="1"/>
  <c r="BA56" i="1"/>
  <c r="AW56" i="1"/>
  <c r="AW57" i="1"/>
  <c r="AT57" i="1"/>
  <c r="AT56" i="1"/>
  <c r="CR150" i="1"/>
  <c r="AE158" i="1"/>
  <c r="AC140" i="1"/>
  <c r="AV126" i="1" l="1"/>
  <c r="AV129" i="1" s="1"/>
  <c r="AV127" i="1"/>
  <c r="AV130" i="1" s="1"/>
  <c r="BT219" i="1"/>
  <c r="BT217" i="1" s="1"/>
  <c r="BS219" i="1"/>
  <c r="BS217" i="1" s="1"/>
  <c r="AP219" i="1"/>
  <c r="AP217" i="1" s="1"/>
  <c r="AO219" i="1"/>
  <c r="AO217" i="1" s="1"/>
  <c r="BB127" i="1"/>
  <c r="BB130" i="1" s="1"/>
  <c r="BB126" i="1"/>
  <c r="BB129" i="1" s="1"/>
  <c r="BN127" i="1"/>
  <c r="BN130" i="1" s="1"/>
  <c r="BN126" i="1"/>
  <c r="BN129" i="1" s="1"/>
  <c r="BP126" i="1"/>
  <c r="BP129" i="1" s="1"/>
  <c r="BP127" i="1"/>
  <c r="BP130" i="1" s="1"/>
  <c r="AY219" i="1"/>
  <c r="AY217" i="1" s="1"/>
  <c r="AZ219" i="1"/>
  <c r="AZ217" i="1" s="1"/>
  <c r="BF127" i="1"/>
  <c r="BF130" i="1" s="1"/>
  <c r="BF126" i="1"/>
  <c r="BF129" i="1" s="1"/>
  <c r="BC219" i="1"/>
  <c r="BC217" i="1" s="1"/>
  <c r="BD219" i="1"/>
  <c r="BD217" i="1" s="1"/>
  <c r="AX219" i="1"/>
  <c r="AX217" i="1" s="1"/>
  <c r="AW219" i="1"/>
  <c r="AW217" i="1" s="1"/>
  <c r="BB219" i="1"/>
  <c r="BB217" i="1" s="1"/>
  <c r="BA219" i="1"/>
  <c r="BA217" i="1" s="1"/>
  <c r="BR219" i="1"/>
  <c r="BR217" i="1" s="1"/>
  <c r="BQ219" i="1"/>
  <c r="BQ217" i="1" s="1"/>
  <c r="BH219" i="1"/>
  <c r="BH217" i="1" s="1"/>
  <c r="BG219" i="1"/>
  <c r="BG217" i="1" s="1"/>
  <c r="AR219" i="1"/>
  <c r="AR217" i="1" s="1"/>
  <c r="AQ219" i="1"/>
  <c r="AQ217" i="1" s="1"/>
  <c r="AR205" i="1"/>
  <c r="AV205" i="1"/>
  <c r="BR126" i="1"/>
  <c r="BR129" i="1" s="1"/>
  <c r="BR127" i="1"/>
  <c r="BR130" i="1" s="1"/>
  <c r="BE219" i="1"/>
  <c r="BE217" i="1" s="1"/>
  <c r="BF219" i="1"/>
  <c r="BF217" i="1" s="1"/>
  <c r="AT127" i="1"/>
  <c r="AT130" i="1" s="1"/>
  <c r="AT126" i="1"/>
  <c r="AT129" i="1" s="1"/>
  <c r="AN127" i="1"/>
  <c r="AN130" i="1" s="1"/>
  <c r="AN126" i="1"/>
  <c r="AN129" i="1" s="1"/>
  <c r="AT205" i="1"/>
  <c r="AX205" i="1"/>
  <c r="BV219" i="1"/>
  <c r="BV217" i="1" s="1"/>
  <c r="BU219" i="1"/>
  <c r="BU217" i="1" s="1"/>
  <c r="AV219" i="1"/>
  <c r="AV217" i="1" s="1"/>
  <c r="AU219" i="1"/>
  <c r="AU217" i="1" s="1"/>
  <c r="BT127" i="1"/>
  <c r="BT130" i="1" s="1"/>
  <c r="BT126" i="1"/>
  <c r="BT129" i="1" s="1"/>
  <c r="BD127" i="1"/>
  <c r="BD130" i="1" s="1"/>
  <c r="BD126" i="1"/>
  <c r="BD129" i="1" s="1"/>
  <c r="BO219" i="1"/>
  <c r="BO217" i="1" s="1"/>
  <c r="BP219" i="1"/>
  <c r="BP217" i="1" s="1"/>
  <c r="AX126" i="1"/>
  <c r="AX129" i="1" s="1"/>
  <c r="AX127" i="1"/>
  <c r="AX130" i="1" s="1"/>
  <c r="AP126" i="1"/>
  <c r="AP129" i="1" s="1"/>
  <c r="AP127" i="1"/>
  <c r="AP130" i="1" s="1"/>
  <c r="AZ126" i="1"/>
  <c r="AZ129" i="1" s="1"/>
  <c r="AZ127" i="1"/>
  <c r="AZ130" i="1" s="1"/>
  <c r="BH205" i="1"/>
  <c r="BD205" i="1"/>
  <c r="BN205" i="1"/>
  <c r="BR205" i="1"/>
  <c r="BB205" i="1"/>
  <c r="BF205" i="1"/>
  <c r="BT205" i="1"/>
  <c r="BX205" i="1"/>
  <c r="BL129" i="1"/>
  <c r="BL130" i="1"/>
  <c r="BK57" i="1"/>
  <c r="BK56" i="1"/>
  <c r="AY56" i="1"/>
  <c r="AY57" i="1"/>
  <c r="AP56" i="1"/>
  <c r="AP57" i="1"/>
  <c r="AP59" i="1" s="1"/>
  <c r="BU57" i="1"/>
  <c r="BY59" i="1" s="1"/>
  <c r="BU56" i="1"/>
  <c r="AS56" i="1"/>
  <c r="AS57" i="1"/>
  <c r="AS60" i="1" s="1"/>
  <c r="BP56" i="1"/>
  <c r="BP57" i="1"/>
  <c r="BQ60" i="1" s="1"/>
  <c r="BI54" i="1"/>
  <c r="BL71" i="1"/>
  <c r="BM56" i="1"/>
  <c r="BM57" i="1"/>
  <c r="BV129" i="1"/>
  <c r="BE56" i="1"/>
  <c r="BE57" i="1"/>
  <c r="BF250" i="1"/>
  <c r="BF58" i="1"/>
  <c r="BF261" i="1" s="1"/>
  <c r="BF64" i="1"/>
  <c r="BJ59" i="1"/>
  <c r="BD71" i="1"/>
  <c r="BV71" i="1"/>
  <c r="BD56" i="1"/>
  <c r="BD57" i="1"/>
  <c r="BO57" i="1"/>
  <c r="BO56" i="1"/>
  <c r="AL130" i="1"/>
  <c r="AL129" i="1"/>
  <c r="AI54" i="1"/>
  <c r="AL71" i="1"/>
  <c r="AU57" i="1"/>
  <c r="AU56" i="1"/>
  <c r="BC54" i="1"/>
  <c r="BF71" i="1"/>
  <c r="BX129" i="1"/>
  <c r="BX130" i="1"/>
  <c r="AZ250" i="1"/>
  <c r="AZ64" i="1"/>
  <c r="AZ58" i="1"/>
  <c r="AZ261" i="1" s="1"/>
  <c r="BR54" i="1"/>
  <c r="BR71" i="1"/>
  <c r="AR71" i="1"/>
  <c r="AP71" i="1"/>
  <c r="BV130" i="1"/>
  <c r="AO57" i="1"/>
  <c r="AR58" i="1"/>
  <c r="AR261" i="1" s="1"/>
  <c r="AR64" i="1"/>
  <c r="AR250" i="1"/>
  <c r="AX54" i="1"/>
  <c r="AZ71" i="1"/>
  <c r="BN54" i="1"/>
  <c r="BP71" i="1"/>
  <c r="BV58" i="1"/>
  <c r="BV261" i="1" s="1"/>
  <c r="BV64" i="1"/>
  <c r="BV250" i="1"/>
  <c r="BZ59" i="1"/>
  <c r="BH57" i="1"/>
  <c r="BH56" i="1"/>
  <c r="AQ54" i="1"/>
  <c r="AT71" i="1"/>
  <c r="BX71" i="1"/>
  <c r="BZ71" i="1"/>
  <c r="BW54" i="1"/>
  <c r="BB54" i="1"/>
  <c r="BB71" i="1"/>
  <c r="AN71" i="1"/>
  <c r="AN54" i="1"/>
  <c r="BH129" i="1"/>
  <c r="BH130" i="1"/>
  <c r="AV54" i="1"/>
  <c r="AV71" i="1"/>
  <c r="AX71" i="1"/>
  <c r="BT54" i="1"/>
  <c r="BT71" i="1"/>
  <c r="BJ129" i="1"/>
  <c r="BJ130" i="1"/>
  <c r="BN71" i="1"/>
  <c r="BY71" i="1"/>
  <c r="BZ129" i="1"/>
  <c r="BZ130" i="1"/>
  <c r="BJ71" i="1"/>
  <c r="BG54" i="1"/>
  <c r="BH71" i="1"/>
  <c r="BS56" i="1"/>
  <c r="BS57" i="1"/>
  <c r="BJ68" i="1"/>
  <c r="BJ209" i="1"/>
  <c r="BJ211" i="1" s="1"/>
  <c r="BJ82" i="1"/>
  <c r="BQ58" i="1"/>
  <c r="BQ261" i="1" s="1"/>
  <c r="BQ64" i="1"/>
  <c r="BQ250" i="1"/>
  <c r="AT64" i="1"/>
  <c r="AT250" i="1"/>
  <c r="AT58" i="1"/>
  <c r="AT261" i="1" s="1"/>
  <c r="BA250" i="1"/>
  <c r="BA58" i="1"/>
  <c r="BA261" i="1" s="1"/>
  <c r="BA60" i="1"/>
  <c r="BA64" i="1"/>
  <c r="AW64" i="1"/>
  <c r="AW250" i="1"/>
  <c r="AW58" i="1"/>
  <c r="AW261" i="1" s="1"/>
  <c r="BA59" i="1"/>
  <c r="CR154" i="1"/>
  <c r="CS48" i="1"/>
  <c r="BL60" i="1" l="1"/>
  <c r="BK64" i="1"/>
  <c r="BK58" i="1"/>
  <c r="BK261" i="1" s="1"/>
  <c r="AY250" i="1"/>
  <c r="AY58" i="1"/>
  <c r="AY261" i="1" s="1"/>
  <c r="AT59" i="1"/>
  <c r="AP250" i="1"/>
  <c r="AP64" i="1"/>
  <c r="AP58" i="1"/>
  <c r="AP261" i="1" s="1"/>
  <c r="AZ60" i="1"/>
  <c r="AY64" i="1"/>
  <c r="BU58" i="1"/>
  <c r="BU261" i="1" s="1"/>
  <c r="BU250" i="1"/>
  <c r="BU64" i="1"/>
  <c r="BK60" i="1"/>
  <c r="BK250" i="1"/>
  <c r="AS64" i="1"/>
  <c r="AS58" i="1"/>
  <c r="AS261" i="1" s="1"/>
  <c r="BV60" i="1"/>
  <c r="BU59" i="1"/>
  <c r="AS250" i="1"/>
  <c r="AT60" i="1"/>
  <c r="AW59" i="1"/>
  <c r="BP64" i="1"/>
  <c r="BP59" i="1"/>
  <c r="BP250" i="1"/>
  <c r="BP58" i="1"/>
  <c r="BP261" i="1" s="1"/>
  <c r="BI57" i="1"/>
  <c r="BI60" i="1" s="1"/>
  <c r="BI56" i="1"/>
  <c r="BM64" i="1"/>
  <c r="BM60" i="1"/>
  <c r="BM250" i="1"/>
  <c r="BM243" i="1"/>
  <c r="BQ59" i="1"/>
  <c r="BM58" i="1"/>
  <c r="BM261" i="1" s="1"/>
  <c r="BE58" i="1"/>
  <c r="BE261" i="1" s="1"/>
  <c r="BE64" i="1"/>
  <c r="BE250" i="1"/>
  <c r="BF60" i="1"/>
  <c r="BF68" i="1"/>
  <c r="BF209" i="1"/>
  <c r="BF211" i="1" s="1"/>
  <c r="BF82" i="1"/>
  <c r="BC57" i="1"/>
  <c r="BC56" i="1"/>
  <c r="BS59" i="1"/>
  <c r="BE59" i="1"/>
  <c r="BD64" i="1"/>
  <c r="BD250" i="1"/>
  <c r="BD58" i="1"/>
  <c r="BD261" i="1" s="1"/>
  <c r="BD59" i="1"/>
  <c r="BE60" i="1"/>
  <c r="BO250" i="1"/>
  <c r="BO58" i="1"/>
  <c r="BO261" i="1" s="1"/>
  <c r="BO64" i="1"/>
  <c r="BP60" i="1"/>
  <c r="BO59" i="1"/>
  <c r="AI57" i="1"/>
  <c r="AI56" i="1"/>
  <c r="AU58" i="1"/>
  <c r="AU261" i="1" s="1"/>
  <c r="AU250" i="1"/>
  <c r="AY59" i="1"/>
  <c r="AU64" i="1"/>
  <c r="AU243" i="1"/>
  <c r="AU60" i="1"/>
  <c r="AP60" i="1"/>
  <c r="AO64" i="1"/>
  <c r="AZ82" i="1"/>
  <c r="AZ68" i="1"/>
  <c r="AZ209" i="1"/>
  <c r="AZ211" i="1" s="1"/>
  <c r="BR57" i="1"/>
  <c r="BR56" i="1"/>
  <c r="AO59" i="1"/>
  <c r="BH59" i="1"/>
  <c r="AO250" i="1"/>
  <c r="AS59" i="1"/>
  <c r="AO58" i="1"/>
  <c r="AO261" i="1" s="1"/>
  <c r="BW57" i="1"/>
  <c r="BW59" i="1" s="1"/>
  <c r="BW56" i="1"/>
  <c r="BN57" i="1"/>
  <c r="BN56" i="1"/>
  <c r="AQ57" i="1"/>
  <c r="AQ56" i="1"/>
  <c r="AR68" i="1"/>
  <c r="AR209" i="1"/>
  <c r="AR211" i="1" s="1"/>
  <c r="AR82" i="1"/>
  <c r="BT57" i="1"/>
  <c r="BT56" i="1"/>
  <c r="AV56" i="1"/>
  <c r="AV57" i="1"/>
  <c r="AN57" i="1"/>
  <c r="AN56" i="1"/>
  <c r="BH64" i="1"/>
  <c r="BL59" i="1"/>
  <c r="BH250" i="1"/>
  <c r="BH58" i="1"/>
  <c r="BH261" i="1" s="1"/>
  <c r="AX57" i="1"/>
  <c r="AX56" i="1"/>
  <c r="BV209" i="1"/>
  <c r="BV211" i="1" s="1"/>
  <c r="BV82" i="1"/>
  <c r="BV68" i="1"/>
  <c r="BG56" i="1"/>
  <c r="BG57" i="1"/>
  <c r="BB57" i="1"/>
  <c r="BB56" i="1"/>
  <c r="BS250" i="1"/>
  <c r="BS58" i="1"/>
  <c r="BS261" i="1" s="1"/>
  <c r="BS64" i="1"/>
  <c r="BQ209" i="1"/>
  <c r="BQ211" i="1" s="1"/>
  <c r="BQ135" i="1"/>
  <c r="BQ136" i="1" s="1"/>
  <c r="BQ82" i="1"/>
  <c r="BQ68" i="1"/>
  <c r="AT82" i="1"/>
  <c r="AT209" i="1"/>
  <c r="AT211" i="1" s="1"/>
  <c r="AT68" i="1"/>
  <c r="AW209" i="1"/>
  <c r="AW211" i="1" s="1"/>
  <c r="AW82" i="1"/>
  <c r="AW135" i="1"/>
  <c r="AW136" i="1" s="1"/>
  <c r="AW68" i="1"/>
  <c r="BA68" i="1"/>
  <c r="BA209" i="1"/>
  <c r="BA211" i="1" s="1"/>
  <c r="BA82" i="1"/>
  <c r="BA135" i="1"/>
  <c r="BA136" i="1" s="1"/>
  <c r="CS210" i="1"/>
  <c r="CS148" i="1"/>
  <c r="CR219" i="1"/>
  <c r="CR217" i="1" s="1"/>
  <c r="AC141" i="1"/>
  <c r="AC144" i="1" s="1"/>
  <c r="AC265" i="1" s="1"/>
  <c r="BK68" i="1" l="1"/>
  <c r="BK209" i="1"/>
  <c r="BK211" i="1" s="1"/>
  <c r="BK135" i="1"/>
  <c r="BK136" i="1" s="1"/>
  <c r="BK82" i="1"/>
  <c r="AP209" i="1"/>
  <c r="AP211" i="1" s="1"/>
  <c r="AP82" i="1"/>
  <c r="AP68" i="1"/>
  <c r="BU135" i="1"/>
  <c r="BU136" i="1" s="1"/>
  <c r="BU68" i="1"/>
  <c r="BU209" i="1"/>
  <c r="BU211" i="1" s="1"/>
  <c r="BU82" i="1"/>
  <c r="BS60" i="1"/>
  <c r="BS243" i="1"/>
  <c r="AY209" i="1"/>
  <c r="AY211" i="1" s="1"/>
  <c r="AY82" i="1"/>
  <c r="AY135" i="1"/>
  <c r="AY136" i="1" s="1"/>
  <c r="AY68" i="1"/>
  <c r="AS68" i="1"/>
  <c r="AS135" i="1"/>
  <c r="AS136" i="1" s="1"/>
  <c r="AS209" i="1"/>
  <c r="AS211" i="1" s="1"/>
  <c r="AS82" i="1"/>
  <c r="BI59" i="1"/>
  <c r="BK243" i="1"/>
  <c r="BM82" i="1"/>
  <c r="BM68" i="1"/>
  <c r="BP68" i="1"/>
  <c r="BP209" i="1"/>
  <c r="BP211" i="1" s="1"/>
  <c r="BP82" i="1"/>
  <c r="BM59" i="1"/>
  <c r="BL243" i="1"/>
  <c r="BI64" i="1"/>
  <c r="BI250" i="1"/>
  <c r="BJ60" i="1"/>
  <c r="BI58" i="1"/>
  <c r="BI261" i="1" s="1"/>
  <c r="BM135" i="1"/>
  <c r="BM136" i="1" s="1"/>
  <c r="BM209" i="1"/>
  <c r="BM211" i="1" s="1"/>
  <c r="BE82" i="1"/>
  <c r="BE209" i="1"/>
  <c r="BE211" i="1" s="1"/>
  <c r="BE68" i="1"/>
  <c r="BE135" i="1"/>
  <c r="BE136" i="1" s="1"/>
  <c r="BF243" i="1"/>
  <c r="BD60" i="1"/>
  <c r="BC59" i="1"/>
  <c r="BC64" i="1"/>
  <c r="BC250" i="1"/>
  <c r="BC58" i="1"/>
  <c r="BC261" i="1" s="1"/>
  <c r="BD68" i="1"/>
  <c r="BD209" i="1"/>
  <c r="BD211" i="1" s="1"/>
  <c r="BD82" i="1"/>
  <c r="BO68" i="1"/>
  <c r="BO82" i="1"/>
  <c r="BO209" i="1"/>
  <c r="BO211" i="1" s="1"/>
  <c r="BO135" i="1"/>
  <c r="BO136" i="1" s="1"/>
  <c r="AI58" i="1"/>
  <c r="AI250" i="1"/>
  <c r="AJ60" i="1"/>
  <c r="AM59" i="1"/>
  <c r="AI64" i="1"/>
  <c r="AL243" i="1"/>
  <c r="AU68" i="1"/>
  <c r="AU82" i="1"/>
  <c r="AU209" i="1"/>
  <c r="AU211" i="1" s="1"/>
  <c r="AU135" i="1"/>
  <c r="AU136" i="1" s="1"/>
  <c r="AO209" i="1"/>
  <c r="AO211" i="1" s="1"/>
  <c r="AO82" i="1"/>
  <c r="AO135" i="1"/>
  <c r="AO136" i="1" s="1"/>
  <c r="AO68" i="1"/>
  <c r="BR58" i="1"/>
  <c r="BR261" i="1" s="1"/>
  <c r="BR250" i="1"/>
  <c r="BR64" i="1"/>
  <c r="BR223" i="1" s="1"/>
  <c r="BR221" i="1" s="1"/>
  <c r="BV59" i="1"/>
  <c r="BR60" i="1"/>
  <c r="BR243" i="1"/>
  <c r="AN58" i="1"/>
  <c r="AN261" i="1" s="1"/>
  <c r="AQ243" i="1"/>
  <c r="AO60" i="1"/>
  <c r="AN243" i="1"/>
  <c r="AN59" i="1"/>
  <c r="AP243" i="1"/>
  <c r="AR59" i="1"/>
  <c r="AO243" i="1"/>
  <c r="AN64" i="1"/>
  <c r="AN60" i="1"/>
  <c r="AN250" i="1"/>
  <c r="BX59" i="1"/>
  <c r="BT58" i="1"/>
  <c r="BT261" i="1" s="1"/>
  <c r="BT250" i="1"/>
  <c r="BT64" i="1"/>
  <c r="BU60" i="1"/>
  <c r="BT59" i="1"/>
  <c r="BW243" i="1"/>
  <c r="BV243" i="1"/>
  <c r="AZ59" i="1"/>
  <c r="AV58" i="1"/>
  <c r="AV261" i="1" s="1"/>
  <c r="AV250" i="1"/>
  <c r="AV64" i="1"/>
  <c r="AY243" i="1"/>
  <c r="AW243" i="1"/>
  <c r="AW60" i="1"/>
  <c r="AV59" i="1"/>
  <c r="AV60" i="1"/>
  <c r="AX243" i="1"/>
  <c r="AV243" i="1"/>
  <c r="AR60" i="1"/>
  <c r="AQ59" i="1"/>
  <c r="AQ250" i="1"/>
  <c r="AQ64" i="1"/>
  <c r="AQ58" i="1"/>
  <c r="AQ261" i="1" s="1"/>
  <c r="AQ60" i="1"/>
  <c r="AU59" i="1"/>
  <c r="AT243" i="1"/>
  <c r="AS243" i="1"/>
  <c r="AR243" i="1"/>
  <c r="BN250" i="1"/>
  <c r="BR59" i="1"/>
  <c r="BN64" i="1"/>
  <c r="BQ70" i="1" s="1"/>
  <c r="BN59" i="1"/>
  <c r="BN58" i="1"/>
  <c r="BN261" i="1" s="1"/>
  <c r="BO60" i="1"/>
  <c r="BN243" i="1"/>
  <c r="BQ243" i="1"/>
  <c r="BN60" i="1"/>
  <c r="BO243" i="1"/>
  <c r="BP243" i="1"/>
  <c r="BB58" i="1"/>
  <c r="BB261" i="1" s="1"/>
  <c r="BF59" i="1"/>
  <c r="BB250" i="1"/>
  <c r="BB64" i="1"/>
  <c r="BB223" i="1" s="1"/>
  <c r="BB221" i="1" s="1"/>
  <c r="BC60" i="1"/>
  <c r="BD243" i="1"/>
  <c r="BB243" i="1"/>
  <c r="BB60" i="1"/>
  <c r="BC243" i="1"/>
  <c r="BE243" i="1"/>
  <c r="BB59" i="1"/>
  <c r="AX64" i="1"/>
  <c r="AX250" i="1"/>
  <c r="AX58" i="1"/>
  <c r="AX261" i="1" s="1"/>
  <c r="AZ243" i="1"/>
  <c r="AX60" i="1"/>
  <c r="AY60" i="1"/>
  <c r="AX59" i="1"/>
  <c r="BA243" i="1"/>
  <c r="BH68" i="1"/>
  <c r="BH82" i="1"/>
  <c r="BH209" i="1"/>
  <c r="BH211" i="1" s="1"/>
  <c r="BT243" i="1"/>
  <c r="BT60" i="1"/>
  <c r="BK59" i="1"/>
  <c r="BG64" i="1"/>
  <c r="BH243" i="1"/>
  <c r="BG59" i="1"/>
  <c r="BG58" i="1"/>
  <c r="BG261" i="1" s="1"/>
  <c r="BH60" i="1"/>
  <c r="BG243" i="1"/>
  <c r="BG250" i="1"/>
  <c r="BJ243" i="1"/>
  <c r="BG60" i="1"/>
  <c r="BI243" i="1"/>
  <c r="BX243" i="1"/>
  <c r="BW250" i="1"/>
  <c r="BW60" i="1"/>
  <c r="BX60" i="1"/>
  <c r="BW64" i="1"/>
  <c r="X77" i="1"/>
  <c r="BY243" i="1"/>
  <c r="CA59" i="1"/>
  <c r="BW58" i="1"/>
  <c r="BW261" i="1" s="1"/>
  <c r="BZ243" i="1"/>
  <c r="BS209" i="1"/>
  <c r="BS211" i="1" s="1"/>
  <c r="BS68" i="1"/>
  <c r="BS135" i="1"/>
  <c r="BS136" i="1" s="1"/>
  <c r="BS82" i="1"/>
  <c r="BQ223" i="1"/>
  <c r="BQ221" i="1" s="1"/>
  <c r="BQ145" i="1"/>
  <c r="BQ71" i="1" s="1"/>
  <c r="BQ108" i="1"/>
  <c r="AW145" i="1"/>
  <c r="AW71" i="1" s="1"/>
  <c r="AW223" i="1"/>
  <c r="AW221" i="1" s="1"/>
  <c r="AW108" i="1"/>
  <c r="BA223" i="1"/>
  <c r="BA221" i="1" s="1"/>
  <c r="BA108" i="1"/>
  <c r="BA145" i="1"/>
  <c r="BA71" i="1" s="1"/>
  <c r="CS150" i="1"/>
  <c r="AC222" i="1"/>
  <c r="CA242" i="1"/>
  <c r="CB242" i="1"/>
  <c r="BU242" i="1"/>
  <c r="BK70" i="1" l="1"/>
  <c r="BM85" i="1"/>
  <c r="BI105" i="1" s="1"/>
  <c r="BK108" i="1"/>
  <c r="BL223" i="1"/>
  <c r="BL221" i="1" s="1"/>
  <c r="BK223" i="1"/>
  <c r="BK221" i="1" s="1"/>
  <c r="BK145" i="1"/>
  <c r="BK71" i="1" s="1"/>
  <c r="BV223" i="1"/>
  <c r="BV221" i="1" s="1"/>
  <c r="BU223" i="1"/>
  <c r="BU221" i="1" s="1"/>
  <c r="BU108" i="1"/>
  <c r="BU145" i="1"/>
  <c r="BU71" i="1" s="1"/>
  <c r="AU85" i="1"/>
  <c r="AY108" i="1"/>
  <c r="AY223" i="1"/>
  <c r="AY221" i="1" s="1"/>
  <c r="AY145" i="1"/>
  <c r="AY71" i="1" s="1"/>
  <c r="AZ223" i="1"/>
  <c r="AZ221" i="1" s="1"/>
  <c r="AS223" i="1"/>
  <c r="AS221" i="1" s="1"/>
  <c r="AS108" i="1"/>
  <c r="AS145" i="1"/>
  <c r="AS71" i="1" s="1"/>
  <c r="AT223" i="1"/>
  <c r="AT221" i="1" s="1"/>
  <c r="AO70" i="1"/>
  <c r="BL70" i="1"/>
  <c r="BI68" i="1"/>
  <c r="BI209" i="1"/>
  <c r="BI211" i="1" s="1"/>
  <c r="BI82" i="1"/>
  <c r="BI135" i="1"/>
  <c r="BI136" i="1" s="1"/>
  <c r="BM70" i="1"/>
  <c r="BM223" i="1"/>
  <c r="BM221" i="1" s="1"/>
  <c r="BM145" i="1"/>
  <c r="BM71" i="1" s="1"/>
  <c r="BM108" i="1"/>
  <c r="AX223" i="1"/>
  <c r="AX221" i="1" s="1"/>
  <c r="BA70" i="1"/>
  <c r="BF223" i="1"/>
  <c r="BF221" i="1" s="1"/>
  <c r="BE108" i="1"/>
  <c r="BE145" i="1"/>
  <c r="BE71" i="1" s="1"/>
  <c r="BE223" i="1"/>
  <c r="BE221" i="1" s="1"/>
  <c r="S77" i="1"/>
  <c r="BF70" i="1"/>
  <c r="BC82" i="1"/>
  <c r="BF85" i="1" s="1"/>
  <c r="BC135" i="1"/>
  <c r="BC136" i="1" s="1"/>
  <c r="BC209" i="1"/>
  <c r="BC211" i="1" s="1"/>
  <c r="BC68" i="1"/>
  <c r="BO223" i="1"/>
  <c r="BO221" i="1" s="1"/>
  <c r="BO145" i="1"/>
  <c r="BO71" i="1" s="1"/>
  <c r="BP223" i="1"/>
  <c r="BP221" i="1" s="1"/>
  <c r="BO108" i="1"/>
  <c r="AI82" i="1"/>
  <c r="AL85" i="1" s="1"/>
  <c r="AI68" i="1"/>
  <c r="AL70" i="1"/>
  <c r="N77" i="1"/>
  <c r="AI223" i="1"/>
  <c r="AI221" i="1" s="1"/>
  <c r="AI209" i="1"/>
  <c r="AI211" i="1" s="1"/>
  <c r="AI215" i="1" s="1"/>
  <c r="AI229" i="1" s="1"/>
  <c r="AU108" i="1"/>
  <c r="AU223" i="1"/>
  <c r="AU221" i="1" s="1"/>
  <c r="AU145" i="1"/>
  <c r="AU71" i="1" s="1"/>
  <c r="AU70" i="1"/>
  <c r="AP223" i="1"/>
  <c r="AP221" i="1" s="1"/>
  <c r="AO108" i="1"/>
  <c r="AO145" i="1"/>
  <c r="AO71" i="1" s="1"/>
  <c r="AO223" i="1"/>
  <c r="AO221" i="1" s="1"/>
  <c r="AV223" i="1"/>
  <c r="AV221" i="1" s="1"/>
  <c r="AY70" i="1"/>
  <c r="BT70" i="1"/>
  <c r="BR68" i="1"/>
  <c r="BR209" i="1"/>
  <c r="BR211" i="1" s="1"/>
  <c r="BR82" i="1"/>
  <c r="BR70" i="1"/>
  <c r="V77" i="1"/>
  <c r="AW70" i="1"/>
  <c r="BV70" i="1"/>
  <c r="BO70" i="1"/>
  <c r="BN223" i="1"/>
  <c r="BN221" i="1" s="1"/>
  <c r="BU70" i="1"/>
  <c r="BX70" i="1"/>
  <c r="BW135" i="1"/>
  <c r="BW136" i="1" s="1"/>
  <c r="BY70" i="1"/>
  <c r="BW209" i="1"/>
  <c r="BW211" i="1" s="1"/>
  <c r="BW68" i="1"/>
  <c r="BZ70" i="1"/>
  <c r="BW82" i="1"/>
  <c r="BN68" i="1"/>
  <c r="BN82" i="1"/>
  <c r="BN209" i="1"/>
  <c r="BN211" i="1" s="1"/>
  <c r="BN70" i="1"/>
  <c r="U77" i="1"/>
  <c r="BP70" i="1"/>
  <c r="AV209" i="1"/>
  <c r="AV211" i="1" s="1"/>
  <c r="AV68" i="1"/>
  <c r="AV82" i="1"/>
  <c r="AV70" i="1"/>
  <c r="Q77" i="1"/>
  <c r="AX70" i="1"/>
  <c r="BT209" i="1"/>
  <c r="BT211" i="1" s="1"/>
  <c r="BT68" i="1"/>
  <c r="BT82" i="1"/>
  <c r="BV85" i="1" s="1"/>
  <c r="BR105" i="1" s="1"/>
  <c r="AX68" i="1"/>
  <c r="AX82" i="1"/>
  <c r="AX209" i="1"/>
  <c r="AX211" i="1" s="1"/>
  <c r="AZ70" i="1"/>
  <c r="BB82" i="1"/>
  <c r="BB68" i="1"/>
  <c r="BB209" i="1"/>
  <c r="BB211" i="1" s="1"/>
  <c r="BB70" i="1"/>
  <c r="R77" i="1"/>
  <c r="BD70" i="1"/>
  <c r="BE70" i="1"/>
  <c r="AQ135" i="1"/>
  <c r="AQ136" i="1" s="1"/>
  <c r="AQ209" i="1"/>
  <c r="AQ211" i="1" s="1"/>
  <c r="AQ68" i="1"/>
  <c r="AQ82" i="1"/>
  <c r="AS70" i="1"/>
  <c r="AR70" i="1"/>
  <c r="AT70" i="1"/>
  <c r="P77" i="1"/>
  <c r="BG68" i="1"/>
  <c r="BG82" i="1"/>
  <c r="BG135" i="1"/>
  <c r="BG136" i="1" s="1"/>
  <c r="BJ70" i="1"/>
  <c r="BH70" i="1"/>
  <c r="BG209" i="1"/>
  <c r="BG211" i="1" s="1"/>
  <c r="T77" i="1"/>
  <c r="AN68" i="1"/>
  <c r="AP70" i="1"/>
  <c r="AN82" i="1"/>
  <c r="AN209" i="1"/>
  <c r="AN211" i="1" s="1"/>
  <c r="AN70" i="1"/>
  <c r="O77" i="1"/>
  <c r="AN223" i="1"/>
  <c r="AN221" i="1" s="1"/>
  <c r="BT223" i="1"/>
  <c r="BT221" i="1" s="1"/>
  <c r="BS108" i="1"/>
  <c r="BS145" i="1"/>
  <c r="BS71" i="1" s="1"/>
  <c r="BS223" i="1"/>
  <c r="BS221" i="1" s="1"/>
  <c r="BS70" i="1"/>
  <c r="BQ110" i="1"/>
  <c r="BQ111" i="1"/>
  <c r="BQ112" i="1"/>
  <c r="BA111" i="1"/>
  <c r="BA110" i="1"/>
  <c r="BA112" i="1"/>
  <c r="AW111" i="1"/>
  <c r="AW110" i="1"/>
  <c r="AW112" i="1"/>
  <c r="CS154" i="1"/>
  <c r="CT48" i="1"/>
  <c r="AD140" i="1"/>
  <c r="W75" i="1"/>
  <c r="BM101" i="1" l="1"/>
  <c r="BM103" i="1"/>
  <c r="BM102" i="1"/>
  <c r="BK112" i="1"/>
  <c r="BK110" i="1"/>
  <c r="BK111" i="1"/>
  <c r="BU110" i="1"/>
  <c r="BU112" i="1"/>
  <c r="BU111" i="1"/>
  <c r="AU103" i="1"/>
  <c r="AU102" i="1"/>
  <c r="AQ105" i="1"/>
  <c r="AU101" i="1"/>
  <c r="AY110" i="1"/>
  <c r="AY111" i="1"/>
  <c r="AY112" i="1"/>
  <c r="BL85" i="1"/>
  <c r="BK85" i="1"/>
  <c r="BR85" i="1"/>
  <c r="BR102" i="1" s="1"/>
  <c r="BT85" i="1"/>
  <c r="BS85" i="1"/>
  <c r="AS111" i="1"/>
  <c r="AS112" i="1"/>
  <c r="AS110" i="1"/>
  <c r="BI108" i="1"/>
  <c r="BI145" i="1"/>
  <c r="BI71" i="1" s="1"/>
  <c r="BI223" i="1"/>
  <c r="BI221" i="1" s="1"/>
  <c r="BI70" i="1"/>
  <c r="BJ223" i="1"/>
  <c r="BJ221" i="1" s="1"/>
  <c r="AI226" i="1"/>
  <c r="AI227" i="1" s="1"/>
  <c r="BM111" i="1"/>
  <c r="BM112" i="1"/>
  <c r="BM110" i="1"/>
  <c r="BU85" i="1"/>
  <c r="BU101" i="1" s="1"/>
  <c r="BE110" i="1"/>
  <c r="BE112" i="1"/>
  <c r="BE111" i="1"/>
  <c r="BC223" i="1"/>
  <c r="BC221" i="1" s="1"/>
  <c r="BC145" i="1"/>
  <c r="BC71" i="1" s="1"/>
  <c r="BC108" i="1"/>
  <c r="BC70" i="1"/>
  <c r="BD223" i="1"/>
  <c r="BD221" i="1" s="1"/>
  <c r="BB105" i="1"/>
  <c r="BF101" i="1"/>
  <c r="BF103" i="1"/>
  <c r="BF102" i="1"/>
  <c r="BO110" i="1"/>
  <c r="BO111" i="1"/>
  <c r="BO112" i="1"/>
  <c r="AL101" i="1"/>
  <c r="AL102" i="1"/>
  <c r="AL103" i="1"/>
  <c r="AU111" i="1"/>
  <c r="AU112" i="1"/>
  <c r="AU110" i="1"/>
  <c r="AO112" i="1"/>
  <c r="AO110" i="1"/>
  <c r="AO111" i="1"/>
  <c r="BA85" i="1"/>
  <c r="AZ85" i="1"/>
  <c r="AY85" i="1"/>
  <c r="AY102" i="1" s="1"/>
  <c r="AX85" i="1"/>
  <c r="AV85" i="1"/>
  <c r="AW85" i="1"/>
  <c r="AT85" i="1"/>
  <c r="AR85" i="1"/>
  <c r="AS85" i="1"/>
  <c r="BQ85" i="1"/>
  <c r="BO85" i="1"/>
  <c r="BN85" i="1"/>
  <c r="BP85" i="1"/>
  <c r="AQ85" i="1"/>
  <c r="AN85" i="1"/>
  <c r="AP85" i="1"/>
  <c r="AO85" i="1"/>
  <c r="BJ85" i="1"/>
  <c r="BF105" i="1" s="1"/>
  <c r="BG85" i="1"/>
  <c r="BH85" i="1"/>
  <c r="BI85" i="1"/>
  <c r="BE85" i="1"/>
  <c r="BE102" i="1" s="1"/>
  <c r="BD85" i="1"/>
  <c r="BB85" i="1"/>
  <c r="BC85" i="1"/>
  <c r="BZ85" i="1"/>
  <c r="BX85" i="1"/>
  <c r="BY85" i="1"/>
  <c r="BW85" i="1"/>
  <c r="BG223" i="1"/>
  <c r="BG221" i="1" s="1"/>
  <c r="BG145" i="1"/>
  <c r="BG71" i="1" s="1"/>
  <c r="BG108" i="1"/>
  <c r="BG70" i="1"/>
  <c r="BH223" i="1"/>
  <c r="BH221" i="1" s="1"/>
  <c r="AQ145" i="1"/>
  <c r="AQ71" i="1" s="1"/>
  <c r="AQ223" i="1"/>
  <c r="AQ221" i="1" s="1"/>
  <c r="AQ108" i="1"/>
  <c r="AR223" i="1"/>
  <c r="AR221" i="1" s="1"/>
  <c r="AQ70" i="1"/>
  <c r="BW223" i="1"/>
  <c r="BW221" i="1" s="1"/>
  <c r="BX223" i="1"/>
  <c r="BX221" i="1" s="1"/>
  <c r="BW145" i="1"/>
  <c r="BW71" i="1" s="1"/>
  <c r="BW70" i="1"/>
  <c r="BW108" i="1"/>
  <c r="BV103" i="1"/>
  <c r="BV102" i="1"/>
  <c r="BV101" i="1"/>
  <c r="BS110" i="1"/>
  <c r="BS111" i="1"/>
  <c r="BS112" i="1"/>
  <c r="AC48" i="1"/>
  <c r="CT210" i="1"/>
  <c r="CT148" i="1"/>
  <c r="CS219" i="1"/>
  <c r="CS217" i="1" s="1"/>
  <c r="W76" i="1"/>
  <c r="BL101" i="1" l="1"/>
  <c r="BL102" i="1"/>
  <c r="BN105" i="1"/>
  <c r="BR101" i="1"/>
  <c r="BR103" i="1"/>
  <c r="BV86" i="1"/>
  <c r="BP105" i="1"/>
  <c r="BT103" i="1"/>
  <c r="BT101" i="1"/>
  <c r="BT102" i="1"/>
  <c r="BS103" i="1"/>
  <c r="BO105" i="1"/>
  <c r="BS102" i="1"/>
  <c r="BS101" i="1"/>
  <c r="BH105" i="1"/>
  <c r="BL103" i="1"/>
  <c r="BK101" i="1"/>
  <c r="BK102" i="1"/>
  <c r="BK103" i="1"/>
  <c r="BG105" i="1"/>
  <c r="BT86" i="1"/>
  <c r="BV105" i="1"/>
  <c r="BZ86" i="1"/>
  <c r="BY86" i="1"/>
  <c r="BI111" i="1"/>
  <c r="BI112" i="1"/>
  <c r="BI110" i="1"/>
  <c r="BQ105" i="1"/>
  <c r="BU103" i="1"/>
  <c r="BU102" i="1"/>
  <c r="BW101" i="1"/>
  <c r="BW86" i="1"/>
  <c r="BC111" i="1"/>
  <c r="BC110" i="1"/>
  <c r="BC112" i="1"/>
  <c r="AW105" i="1"/>
  <c r="BE86" i="1"/>
  <c r="BQ102" i="1"/>
  <c r="BM105" i="1"/>
  <c r="AQ102" i="1"/>
  <c r="AQ101" i="1"/>
  <c r="BU86" i="1"/>
  <c r="BA103" i="1"/>
  <c r="AX86" i="1"/>
  <c r="CD86" i="1"/>
  <c r="BZ103" i="1"/>
  <c r="BX102" i="1"/>
  <c r="BT105" i="1"/>
  <c r="BX103" i="1"/>
  <c r="CB86" i="1"/>
  <c r="BX101" i="1"/>
  <c r="AN103" i="1"/>
  <c r="AR86" i="1"/>
  <c r="AN102" i="1"/>
  <c r="AN101" i="1"/>
  <c r="BO101" i="1"/>
  <c r="BK105" i="1"/>
  <c r="BO102" i="1"/>
  <c r="BO86" i="1"/>
  <c r="BO103" i="1"/>
  <c r="AP105" i="1"/>
  <c r="CA86" i="1"/>
  <c r="BS105" i="1"/>
  <c r="BW103" i="1"/>
  <c r="BE103" i="1"/>
  <c r="BI86" i="1"/>
  <c r="BE101" i="1"/>
  <c r="BJ102" i="1"/>
  <c r="BJ86" i="1"/>
  <c r="BJ101" i="1"/>
  <c r="AU86" i="1"/>
  <c r="AQ86" i="1"/>
  <c r="AQ103" i="1"/>
  <c r="BQ101" i="1"/>
  <c r="BQ86" i="1"/>
  <c r="BQ103" i="1"/>
  <c r="AW101" i="1"/>
  <c r="AW102" i="1"/>
  <c r="AS105" i="1"/>
  <c r="BA86" i="1"/>
  <c r="AW103" i="1"/>
  <c r="AV105" i="1"/>
  <c r="AZ103" i="1"/>
  <c r="AZ102" i="1"/>
  <c r="BD86" i="1"/>
  <c r="AZ101" i="1"/>
  <c r="AZ105" i="1"/>
  <c r="BD101" i="1"/>
  <c r="BH86" i="1"/>
  <c r="BD103" i="1"/>
  <c r="BD102" i="1"/>
  <c r="AY103" i="1"/>
  <c r="AU105" i="1"/>
  <c r="BC86" i="1"/>
  <c r="AY86" i="1"/>
  <c r="AT102" i="1"/>
  <c r="BJ103" i="1"/>
  <c r="BW102" i="1"/>
  <c r="AM105" i="1"/>
  <c r="BS86" i="1"/>
  <c r="BC103" i="1"/>
  <c r="AY105" i="1"/>
  <c r="BG86" i="1"/>
  <c r="BC102" i="1"/>
  <c r="BC101" i="1"/>
  <c r="BM86" i="1"/>
  <c r="BI103" i="1"/>
  <c r="BI101" i="1"/>
  <c r="BI102" i="1"/>
  <c r="BE105" i="1"/>
  <c r="AO103" i="1"/>
  <c r="AO101" i="1"/>
  <c r="AS86" i="1"/>
  <c r="AO102" i="1"/>
  <c r="BP86" i="1"/>
  <c r="BL105" i="1"/>
  <c r="BP102" i="1"/>
  <c r="BP103" i="1"/>
  <c r="BP101" i="1"/>
  <c r="AS102" i="1"/>
  <c r="AO105" i="1"/>
  <c r="AS103" i="1"/>
  <c r="AS101" i="1"/>
  <c r="AW86" i="1"/>
  <c r="AV102" i="1"/>
  <c r="AV101" i="1"/>
  <c r="AZ86" i="1"/>
  <c r="AV103" i="1"/>
  <c r="AR105" i="1"/>
  <c r="BA101" i="1"/>
  <c r="BA102" i="1"/>
  <c r="BC105" i="1"/>
  <c r="BG101" i="1"/>
  <c r="BG102" i="1"/>
  <c r="BG103" i="1"/>
  <c r="BK86" i="1"/>
  <c r="AT103" i="1"/>
  <c r="AT101" i="1"/>
  <c r="AY101" i="1"/>
  <c r="BZ102" i="1"/>
  <c r="CC106" i="1" s="1"/>
  <c r="BA105" i="1"/>
  <c r="BN86" i="1"/>
  <c r="BZ101" i="1"/>
  <c r="CC86" i="1"/>
  <c r="BY103" i="1"/>
  <c r="BU105" i="1"/>
  <c r="BY102" i="1"/>
  <c r="BY101" i="1"/>
  <c r="AX105" i="1"/>
  <c r="BF86" i="1"/>
  <c r="BB103" i="1"/>
  <c r="BB102" i="1"/>
  <c r="BB101" i="1"/>
  <c r="BH103" i="1"/>
  <c r="BH101" i="1"/>
  <c r="BD105" i="1"/>
  <c r="BL86" i="1"/>
  <c r="BH102" i="1"/>
  <c r="AT86" i="1"/>
  <c r="AP103" i="1"/>
  <c r="AP86" i="1"/>
  <c r="AL105" i="1"/>
  <c r="AP102" i="1"/>
  <c r="AP101" i="1"/>
  <c r="BR86" i="1"/>
  <c r="BJ105" i="1"/>
  <c r="BN103" i="1"/>
  <c r="BN101" i="1"/>
  <c r="BN102" i="1"/>
  <c r="AN105" i="1"/>
  <c r="AR103" i="1"/>
  <c r="AR102" i="1"/>
  <c r="AR101" i="1"/>
  <c r="AV86" i="1"/>
  <c r="AX102" i="1"/>
  <c r="BB86" i="1"/>
  <c r="AX101" i="1"/>
  <c r="AT105" i="1"/>
  <c r="AX103" i="1"/>
  <c r="BX86" i="1"/>
  <c r="BW110" i="1"/>
  <c r="BW112" i="1"/>
  <c r="BW111" i="1"/>
  <c r="BG110" i="1"/>
  <c r="BG112" i="1"/>
  <c r="BG111" i="1"/>
  <c r="AQ111" i="1"/>
  <c r="AQ112" i="1"/>
  <c r="AQ110" i="1"/>
  <c r="AC210" i="1"/>
  <c r="AC148" i="1"/>
  <c r="AC150" i="1" s="1"/>
  <c r="AC49" i="1" s="1"/>
  <c r="CT150" i="1"/>
  <c r="AD141" i="1"/>
  <c r="AD144" i="1" s="1"/>
  <c r="AD265" i="1" s="1"/>
  <c r="AR125" i="1"/>
  <c r="W77" i="1"/>
  <c r="CB106" i="1" l="1"/>
  <c r="BT106" i="1"/>
  <c r="BH106" i="1"/>
  <c r="BM106" i="1"/>
  <c r="BG106" i="1"/>
  <c r="BN106" i="1"/>
  <c r="BB106" i="1"/>
  <c r="BI106" i="1"/>
  <c r="AW106" i="1"/>
  <c r="BL106" i="1"/>
  <c r="BY106" i="1"/>
  <c r="AZ106" i="1"/>
  <c r="AR106" i="1"/>
  <c r="AV106" i="1"/>
  <c r="BJ106" i="1"/>
  <c r="BE106" i="1"/>
  <c r="AS106" i="1"/>
  <c r="AU106" i="1"/>
  <c r="BA106" i="1"/>
  <c r="AT106" i="1"/>
  <c r="AQ106" i="1"/>
  <c r="AP106" i="1"/>
  <c r="AO106" i="1"/>
  <c r="BP106" i="1"/>
  <c r="BO106" i="1"/>
  <c r="AY106" i="1"/>
  <c r="AX106" i="1"/>
  <c r="CA106" i="1"/>
  <c r="BR106" i="1"/>
  <c r="BC106" i="1"/>
  <c r="BZ106" i="1"/>
  <c r="BF106" i="1"/>
  <c r="BS106" i="1"/>
  <c r="BD106" i="1"/>
  <c r="BK106" i="1"/>
  <c r="BQ106" i="1"/>
  <c r="BX106" i="1"/>
  <c r="BW106" i="1"/>
  <c r="BV106" i="1"/>
  <c r="BU106" i="1"/>
  <c r="CU48" i="1"/>
  <c r="CT154" i="1"/>
  <c r="AD222" i="1"/>
  <c r="AB154" i="1"/>
  <c r="AR126" i="1"/>
  <c r="AR129" i="1" s="1"/>
  <c r="AR127" i="1"/>
  <c r="AR130" i="1" s="1"/>
  <c r="CA243" i="1"/>
  <c r="CB243" i="1"/>
  <c r="W209" i="1"/>
  <c r="W211" i="1" s="1"/>
  <c r="BU243" i="1"/>
  <c r="CT219" i="1" l="1"/>
  <c r="CT217" i="1" s="1"/>
  <c r="CU210" i="1"/>
  <c r="CU148" i="1"/>
  <c r="AB219" i="1"/>
  <c r="AB217" i="1" s="1"/>
  <c r="AE140" i="1"/>
  <c r="CA105" i="1"/>
  <c r="CU150" i="1" l="1"/>
  <c r="CF105" i="1"/>
  <c r="CU154" i="1" l="1"/>
  <c r="CV48" i="1"/>
  <c r="AE141" i="1"/>
  <c r="AE144" i="1" s="1"/>
  <c r="AE265" i="1" s="1"/>
  <c r="CV210" i="1" l="1"/>
  <c r="CV148" i="1"/>
  <c r="CU219" i="1"/>
  <c r="CU217" i="1" s="1"/>
  <c r="AE222" i="1"/>
  <c r="AC154" i="1"/>
  <c r="W136" i="1"/>
  <c r="CV150" i="1" l="1"/>
  <c r="W70" i="1"/>
  <c r="AC219" i="1"/>
  <c r="AC217" i="1" s="1"/>
  <c r="X223" i="1"/>
  <c r="X221" i="1" s="1"/>
  <c r="W223" i="1"/>
  <c r="W221" i="1" s="1"/>
  <c r="W145" i="1"/>
  <c r="W71" i="1" s="1"/>
  <c r="W191" i="1"/>
  <c r="CW48" i="1" l="1"/>
  <c r="CV154" i="1"/>
  <c r="CV219" i="1" l="1"/>
  <c r="CV217" i="1" s="1"/>
  <c r="CW210" i="1"/>
  <c r="CW148" i="1"/>
  <c r="CW150" i="1" l="1"/>
  <c r="CW154" i="1" l="1"/>
  <c r="CX48" i="1"/>
  <c r="AD48" i="1" l="1"/>
  <c r="CX210" i="1"/>
  <c r="CX148" i="1"/>
  <c r="CW219" i="1"/>
  <c r="CW217" i="1" s="1"/>
  <c r="AD210" i="1" l="1"/>
  <c r="AD148" i="1"/>
  <c r="AD150" i="1" s="1"/>
  <c r="CX150" i="1"/>
  <c r="AD154" i="1" l="1"/>
  <c r="AD219" i="1" s="1"/>
  <c r="AD217" i="1" s="1"/>
  <c r="AD49" i="1"/>
  <c r="CX154" i="1"/>
  <c r="CY48" i="1"/>
  <c r="CY210" i="1" l="1"/>
  <c r="CY148" i="1"/>
  <c r="CX219" i="1"/>
  <c r="CX217" i="1" s="1"/>
  <c r="CY150" i="1" l="1"/>
  <c r="W196" i="1"/>
  <c r="CY154" i="1" l="1"/>
  <c r="CZ48" i="1"/>
  <c r="W199" i="1"/>
  <c r="W172" i="1"/>
  <c r="X213" i="1" s="1"/>
  <c r="CZ210" i="1" l="1"/>
  <c r="CZ148" i="1"/>
  <c r="CY219" i="1"/>
  <c r="CY217" i="1" s="1"/>
  <c r="W201" i="1"/>
  <c r="W200" i="1" s="1"/>
  <c r="W213" i="1"/>
  <c r="W164" i="1"/>
  <c r="X212" i="1" s="1"/>
  <c r="X214" i="1" s="1"/>
  <c r="X215" i="1" s="1"/>
  <c r="X229" i="1" s="1"/>
  <c r="W195" i="1"/>
  <c r="CZ150" i="1" l="1"/>
  <c r="W198" i="1"/>
  <c r="W173" i="1"/>
  <c r="W212" i="1"/>
  <c r="W214" i="1" s="1"/>
  <c r="W215" i="1" s="1"/>
  <c r="CZ154" i="1" l="1"/>
  <c r="CZ219" i="1" s="1"/>
  <c r="CZ217" i="1" s="1"/>
  <c r="DA48" i="1"/>
  <c r="W197" i="1"/>
  <c r="W202" i="1"/>
  <c r="W226" i="1"/>
  <c r="W229" i="1"/>
  <c r="DA210" i="1" l="1"/>
  <c r="DA148" i="1"/>
  <c r="W205" i="1"/>
  <c r="W206" i="1" s="1"/>
  <c r="X205" i="1"/>
  <c r="X206" i="1" s="1"/>
  <c r="DA150" i="1" l="1"/>
  <c r="W177" i="1"/>
  <c r="X225" i="1" l="1"/>
  <c r="X226" i="1" s="1"/>
  <c r="X227" i="1" s="1"/>
  <c r="W262" i="1"/>
  <c r="W264" i="1"/>
  <c r="W260" i="1"/>
  <c r="DA154" i="1"/>
  <c r="DA219" i="1" s="1"/>
  <c r="DA217" i="1" s="1"/>
  <c r="DB48" i="1"/>
  <c r="W184" i="1"/>
  <c r="W125" i="1" s="1"/>
  <c r="W181" i="1"/>
  <c r="W227" i="1"/>
  <c r="AE48" i="1" l="1"/>
  <c r="AE210" i="1" s="1"/>
  <c r="DB210" i="1"/>
  <c r="DB148" i="1"/>
  <c r="W182" i="1"/>
  <c r="DB150" i="1" l="1"/>
  <c r="DB154" i="1" s="1"/>
  <c r="DB219" i="1" s="1"/>
  <c r="DB217" i="1" s="1"/>
  <c r="AE148" i="1"/>
  <c r="AE150" i="1" s="1"/>
  <c r="C113" i="2"/>
  <c r="C111" i="2"/>
  <c r="C112" i="2"/>
  <c r="AE154" i="1" l="1"/>
  <c r="AE219" i="1" s="1"/>
  <c r="AE217" i="1" s="1"/>
  <c r="AE49" i="1"/>
  <c r="B89" i="1"/>
  <c r="B90" i="1"/>
  <c r="AK195" i="1" l="1"/>
  <c r="AK160" i="1" s="1"/>
  <c r="AM160" i="1" l="1"/>
  <c r="AO160" i="1" l="1"/>
  <c r="AQ160" i="1" l="1"/>
  <c r="AS160" i="1" l="1"/>
  <c r="AU160" i="1" l="1"/>
  <c r="AW160" i="1" l="1"/>
  <c r="AY160" i="1" l="1"/>
  <c r="BA160" i="1" l="1"/>
  <c r="BC160" i="1" l="1"/>
  <c r="BE160" i="1" l="1"/>
  <c r="BG160" i="1" l="1"/>
  <c r="BI160" i="1" l="1"/>
  <c r="BK160" i="1" l="1"/>
  <c r="BM160" i="1" l="1"/>
  <c r="BO160" i="1" l="1"/>
  <c r="BQ160" i="1" l="1"/>
  <c r="BS160" i="1" l="1"/>
  <c r="BU160" i="1" l="1"/>
  <c r="BW160" i="1" l="1"/>
  <c r="BY160" i="1" l="1"/>
  <c r="AK161" i="1" l="1"/>
  <c r="AK164" i="1" s="1"/>
  <c r="AL212" i="1" l="1"/>
  <c r="AK212" i="1"/>
  <c r="AK198" i="1"/>
  <c r="AM161" i="1"/>
  <c r="AM164" i="1" s="1"/>
  <c r="AM198" i="1" l="1"/>
  <c r="AM197" i="1" s="1"/>
  <c r="AN212" i="1"/>
  <c r="AM212" i="1"/>
  <c r="AJ197" i="1"/>
  <c r="AK197" i="1"/>
  <c r="AO161" i="1" l="1"/>
  <c r="AO164" i="1" s="1"/>
  <c r="AP212" i="1" l="1"/>
  <c r="AO198" i="1"/>
  <c r="AO197" i="1" s="1"/>
  <c r="AO212" i="1"/>
  <c r="AQ161" i="1" l="1"/>
  <c r="AQ164" i="1" s="1"/>
  <c r="AQ198" i="1" l="1"/>
  <c r="AQ197" i="1" s="1"/>
  <c r="AR212" i="1"/>
  <c r="AQ212" i="1"/>
  <c r="AS161" i="1" l="1"/>
  <c r="AS164" i="1" s="1"/>
  <c r="AT212" i="1" l="1"/>
  <c r="AS198" i="1"/>
  <c r="AS197" i="1" s="1"/>
  <c r="AS212" i="1"/>
  <c r="AU161" i="1" l="1"/>
  <c r="AU164" i="1" s="1"/>
  <c r="AU198" i="1" l="1"/>
  <c r="AU197" i="1" s="1"/>
  <c r="AV212" i="1"/>
  <c r="AU212" i="1"/>
  <c r="AW161" i="1" l="1"/>
  <c r="AW164" i="1" s="1"/>
  <c r="AW198" i="1" l="1"/>
  <c r="AW197" i="1" s="1"/>
  <c r="AX212" i="1"/>
  <c r="AW212" i="1"/>
  <c r="AY161" i="1" l="1"/>
  <c r="AY164" i="1" s="1"/>
  <c r="AY198" i="1" l="1"/>
  <c r="AY197" i="1" s="1"/>
  <c r="AZ212" i="1"/>
  <c r="AY212" i="1"/>
  <c r="BA161" i="1" l="1"/>
  <c r="BA164" i="1" s="1"/>
  <c r="BB212" i="1" l="1"/>
  <c r="BA198" i="1"/>
  <c r="BA197" i="1" s="1"/>
  <c r="BA212" i="1"/>
  <c r="BC161" i="1" l="1"/>
  <c r="BC164" i="1" s="1"/>
  <c r="BD212" i="1" l="1"/>
  <c r="BC198" i="1"/>
  <c r="BC197" i="1" s="1"/>
  <c r="BC212" i="1"/>
  <c r="BE161" i="1" l="1"/>
  <c r="BE164" i="1" s="1"/>
  <c r="BF212" i="1" l="1"/>
  <c r="BE198" i="1"/>
  <c r="BE197" i="1" s="1"/>
  <c r="BE212" i="1"/>
  <c r="BG161" i="1" l="1"/>
  <c r="BG164" i="1" s="1"/>
  <c r="BG198" i="1" l="1"/>
  <c r="BG197" i="1" s="1"/>
  <c r="BH212" i="1"/>
  <c r="BG212" i="1"/>
  <c r="BI161" i="1" l="1"/>
  <c r="BI164" i="1" s="1"/>
  <c r="BJ212" i="1" l="1"/>
  <c r="BI198" i="1"/>
  <c r="BI197" i="1" s="1"/>
  <c r="BI212" i="1"/>
  <c r="BK161" i="1" l="1"/>
  <c r="BK164" i="1" s="1"/>
  <c r="BL212" i="1" l="1"/>
  <c r="BK198" i="1"/>
  <c r="BK197" i="1" s="1"/>
  <c r="BK212" i="1"/>
  <c r="BM161" i="1" l="1"/>
  <c r="BM164" i="1" s="1"/>
  <c r="BM198" i="1" l="1"/>
  <c r="BM197" i="1" s="1"/>
  <c r="BN212" i="1"/>
  <c r="BM212" i="1"/>
  <c r="BO161" i="1" l="1"/>
  <c r="BO164" i="1" s="1"/>
  <c r="BO198" i="1" l="1"/>
  <c r="BO197" i="1" s="1"/>
  <c r="BP212" i="1"/>
  <c r="BO212" i="1"/>
  <c r="BQ161" i="1" l="1"/>
  <c r="BQ164" i="1" s="1"/>
  <c r="BR212" i="1" l="1"/>
  <c r="BQ198" i="1"/>
  <c r="BQ197" i="1" s="1"/>
  <c r="BQ212" i="1"/>
  <c r="BS161" i="1" l="1"/>
  <c r="BS164" i="1" s="1"/>
  <c r="BT212" i="1" l="1"/>
  <c r="BS198" i="1"/>
  <c r="BS197" i="1" s="1"/>
  <c r="BS212" i="1"/>
  <c r="BU161" i="1" l="1"/>
  <c r="BU164" i="1" s="1"/>
  <c r="BU198" i="1" l="1"/>
  <c r="BU197" i="1" s="1"/>
  <c r="BV212" i="1"/>
  <c r="BU212" i="1"/>
  <c r="BW161" i="1" l="1"/>
  <c r="BW164" i="1" s="1"/>
  <c r="BW198" i="1" l="1"/>
  <c r="BW197" i="1" s="1"/>
  <c r="BX212" i="1"/>
  <c r="BW212" i="1"/>
  <c r="BY161" i="1" l="1"/>
  <c r="BY164" i="1" s="1"/>
  <c r="BZ212" i="1" l="1"/>
  <c r="BY198" i="1"/>
  <c r="BY197" i="1" s="1"/>
  <c r="BY212" i="1"/>
  <c r="AK199" i="1" l="1"/>
  <c r="AK169" i="1" s="1"/>
  <c r="AK172" i="1" s="1"/>
  <c r="AK173" i="1" l="1"/>
  <c r="AK201" i="1"/>
  <c r="AL213" i="1"/>
  <c r="AL214" i="1" s="1"/>
  <c r="AL215" i="1" s="1"/>
  <c r="AL229" i="1" s="1"/>
  <c r="AK213" i="1"/>
  <c r="AK214" i="1" s="1"/>
  <c r="AK215" i="1" s="1"/>
  <c r="AM169" i="1"/>
  <c r="AM172" i="1" s="1"/>
  <c r="AK229" i="1" l="1"/>
  <c r="AK226" i="1"/>
  <c r="AK176" i="1" s="1"/>
  <c r="AK177" i="1" s="1"/>
  <c r="AK181" i="1" s="1"/>
  <c r="AK182" i="1" s="1"/>
  <c r="AN213" i="1"/>
  <c r="AN214" i="1" s="1"/>
  <c r="AN215" i="1" s="1"/>
  <c r="AN229" i="1" s="1"/>
  <c r="AM201" i="1"/>
  <c r="AM200" i="1" s="1"/>
  <c r="AM213" i="1"/>
  <c r="AM214" i="1" s="1"/>
  <c r="AM215" i="1" s="1"/>
  <c r="AM173" i="1"/>
  <c r="AJ200" i="1"/>
  <c r="AJ202" i="1"/>
  <c r="AN205" i="1" s="1"/>
  <c r="AK200" i="1"/>
  <c r="AK202" i="1"/>
  <c r="AO169" i="1"/>
  <c r="AO172" i="1" s="1"/>
  <c r="AM202" i="1" l="1"/>
  <c r="AO201" i="1"/>
  <c r="AO200" i="1" s="1"/>
  <c r="AP213" i="1"/>
  <c r="AP214" i="1" s="1"/>
  <c r="AP215" i="1" s="1"/>
  <c r="AP229" i="1" s="1"/>
  <c r="AO213" i="1"/>
  <c r="AO214" i="1" s="1"/>
  <c r="AO215" i="1" s="1"/>
  <c r="AM229" i="1"/>
  <c r="AM226" i="1"/>
  <c r="AO173" i="1"/>
  <c r="AL225" i="1" l="1"/>
  <c r="AL226" i="1" s="1"/>
  <c r="AL227" i="1" s="1"/>
  <c r="AK227" i="1"/>
  <c r="AO202" i="1"/>
  <c r="AO205" i="1" s="1"/>
  <c r="AO229" i="1"/>
  <c r="AO226" i="1"/>
  <c r="AQ169" i="1"/>
  <c r="AQ172" i="1" s="1"/>
  <c r="AK184" i="1"/>
  <c r="AL53" i="1" s="1"/>
  <c r="AM176" i="1"/>
  <c r="AM177" i="1" s="1"/>
  <c r="AM181" i="1" s="1"/>
  <c r="AN225" i="1" l="1"/>
  <c r="AN226" i="1" s="1"/>
  <c r="AN227" i="1" s="1"/>
  <c r="AM264" i="1"/>
  <c r="AM262" i="1"/>
  <c r="AM260" i="1"/>
  <c r="AQ201" i="1"/>
  <c r="AQ200" i="1" s="1"/>
  <c r="AR213" i="1"/>
  <c r="AR214" i="1" s="1"/>
  <c r="AR215" i="1" s="1"/>
  <c r="AR229" i="1" s="1"/>
  <c r="AQ213" i="1"/>
  <c r="AQ214" i="1" s="1"/>
  <c r="AQ215" i="1" s="1"/>
  <c r="AM227" i="1"/>
  <c r="AQ173" i="1"/>
  <c r="AO176" i="1"/>
  <c r="AO177" i="1" s="1"/>
  <c r="AM184" i="1"/>
  <c r="AO262" i="1" l="1"/>
  <c r="AO264" i="1"/>
  <c r="AO260" i="1"/>
  <c r="AM125" i="1"/>
  <c r="AM126" i="1" s="1"/>
  <c r="AM129" i="1" s="1"/>
  <c r="AN53" i="1"/>
  <c r="AQ202" i="1"/>
  <c r="AQ205" i="1" s="1"/>
  <c r="AQ229" i="1"/>
  <c r="AQ226" i="1"/>
  <c r="AP225" i="1"/>
  <c r="AP226" i="1" s="1"/>
  <c r="AP227" i="1" s="1"/>
  <c r="AO227" i="1"/>
  <c r="AS169" i="1"/>
  <c r="AS172" i="1" s="1"/>
  <c r="AO184" i="1"/>
  <c r="AO181" i="1"/>
  <c r="AM182" i="1"/>
  <c r="AM127" i="1" l="1"/>
  <c r="AM130" i="1" s="1"/>
  <c r="AO125" i="1"/>
  <c r="AO127" i="1" s="1"/>
  <c r="AO130" i="1" s="1"/>
  <c r="AP53" i="1"/>
  <c r="AS201" i="1"/>
  <c r="AS200" i="1" s="1"/>
  <c r="AT213" i="1"/>
  <c r="AT214" i="1" s="1"/>
  <c r="AT215" i="1" s="1"/>
  <c r="AT229" i="1" s="1"/>
  <c r="AS213" i="1"/>
  <c r="AS214" i="1" s="1"/>
  <c r="AS215" i="1" s="1"/>
  <c r="AO182" i="1"/>
  <c r="AS173" i="1"/>
  <c r="AQ176" i="1"/>
  <c r="AQ177" i="1" s="1"/>
  <c r="AQ262" i="1" l="1"/>
  <c r="AQ264" i="1"/>
  <c r="AQ260" i="1"/>
  <c r="AO126" i="1"/>
  <c r="AO129" i="1" s="1"/>
  <c r="AS202" i="1"/>
  <c r="AS205" i="1" s="1"/>
  <c r="AS229" i="1"/>
  <c r="AS226" i="1"/>
  <c r="AR225" i="1"/>
  <c r="AR226" i="1" s="1"/>
  <c r="AR227" i="1" s="1"/>
  <c r="AQ227" i="1"/>
  <c r="AQ181" i="1"/>
  <c r="AQ184" i="1"/>
  <c r="AU169" i="1"/>
  <c r="AU172" i="1" s="1"/>
  <c r="AQ125" i="1" l="1"/>
  <c r="AQ126" i="1" s="1"/>
  <c r="AQ129" i="1" s="1"/>
  <c r="AR53" i="1"/>
  <c r="AU201" i="1"/>
  <c r="AU200" i="1" s="1"/>
  <c r="AV213" i="1"/>
  <c r="AV214" i="1" s="1"/>
  <c r="AV215" i="1" s="1"/>
  <c r="AV229" i="1" s="1"/>
  <c r="AU213" i="1"/>
  <c r="AU214" i="1" s="1"/>
  <c r="AU215" i="1" s="1"/>
  <c r="AU173" i="1"/>
  <c r="AS176" i="1"/>
  <c r="AS177" i="1" s="1"/>
  <c r="AQ182" i="1"/>
  <c r="AS264" i="1" l="1"/>
  <c r="AS262" i="1"/>
  <c r="AS260" i="1"/>
  <c r="AQ127" i="1"/>
  <c r="AQ130" i="1" s="1"/>
  <c r="AU202" i="1"/>
  <c r="AU205" i="1" s="1"/>
  <c r="AU229" i="1"/>
  <c r="AU226" i="1"/>
  <c r="AT225" i="1"/>
  <c r="AT226" i="1" s="1"/>
  <c r="AT227" i="1" s="1"/>
  <c r="AS227" i="1"/>
  <c r="AS184" i="1"/>
  <c r="AS181" i="1"/>
  <c r="AW169" i="1"/>
  <c r="AW172" i="1" s="1"/>
  <c r="AS125" i="1" l="1"/>
  <c r="AS126" i="1" s="1"/>
  <c r="AS129" i="1" s="1"/>
  <c r="AT53" i="1"/>
  <c r="AW201" i="1"/>
  <c r="AW202" i="1" s="1"/>
  <c r="AW205" i="1" s="1"/>
  <c r="AX213" i="1"/>
  <c r="AX214" i="1" s="1"/>
  <c r="AX215" i="1" s="1"/>
  <c r="AX229" i="1" s="1"/>
  <c r="AW213" i="1"/>
  <c r="AW214" i="1" s="1"/>
  <c r="AW215" i="1" s="1"/>
  <c r="AU176" i="1"/>
  <c r="AU177" i="1" s="1"/>
  <c r="AS182" i="1"/>
  <c r="AW173" i="1"/>
  <c r="AU264" i="1" l="1"/>
  <c r="AU262" i="1"/>
  <c r="AU260" i="1"/>
  <c r="AS127" i="1"/>
  <c r="AS130" i="1" s="1"/>
  <c r="AW200" i="1"/>
  <c r="AW229" i="1"/>
  <c r="AW226" i="1"/>
  <c r="AV225" i="1"/>
  <c r="AV226" i="1" s="1"/>
  <c r="AV227" i="1" s="1"/>
  <c r="AU227" i="1"/>
  <c r="AU184" i="1"/>
  <c r="AU181" i="1"/>
  <c r="AY169" i="1"/>
  <c r="AY172" i="1" s="1"/>
  <c r="AU125" i="1" l="1"/>
  <c r="AU127" i="1" s="1"/>
  <c r="AU130" i="1" s="1"/>
  <c r="AV53" i="1"/>
  <c r="AY201" i="1"/>
  <c r="AY200" i="1" s="1"/>
  <c r="AZ213" i="1"/>
  <c r="AZ214" i="1" s="1"/>
  <c r="AZ215" i="1" s="1"/>
  <c r="AZ229" i="1" s="1"/>
  <c r="AY213" i="1"/>
  <c r="AY214" i="1" s="1"/>
  <c r="AY215" i="1" s="1"/>
  <c r="AW176" i="1"/>
  <c r="AW177" i="1" s="1"/>
  <c r="AY173" i="1"/>
  <c r="AU182" i="1"/>
  <c r="AW262" i="1" l="1"/>
  <c r="AW264" i="1"/>
  <c r="AW260" i="1"/>
  <c r="AU126" i="1"/>
  <c r="AU129" i="1" s="1"/>
  <c r="AY202" i="1"/>
  <c r="AY205" i="1" s="1"/>
  <c r="AY229" i="1"/>
  <c r="AY226" i="1"/>
  <c r="AX225" i="1"/>
  <c r="AX226" i="1" s="1"/>
  <c r="AX227" i="1" s="1"/>
  <c r="AW227" i="1"/>
  <c r="BA169" i="1"/>
  <c r="BA172" i="1" s="1"/>
  <c r="AW181" i="1"/>
  <c r="AW184" i="1"/>
  <c r="AW125" i="1" l="1"/>
  <c r="AW127" i="1" s="1"/>
  <c r="AW130" i="1" s="1"/>
  <c r="AX53" i="1"/>
  <c r="BB213" i="1"/>
  <c r="BB214" i="1" s="1"/>
  <c r="BB215" i="1" s="1"/>
  <c r="BB229" i="1" s="1"/>
  <c r="BA201" i="1"/>
  <c r="BA200" i="1" s="1"/>
  <c r="BA213" i="1"/>
  <c r="BA214" i="1" s="1"/>
  <c r="BA215" i="1" s="1"/>
  <c r="AW182" i="1"/>
  <c r="BA173" i="1"/>
  <c r="AY176" i="1"/>
  <c r="AY177" i="1" s="1"/>
  <c r="AY262" i="1" l="1"/>
  <c r="AY264" i="1"/>
  <c r="AY260" i="1"/>
  <c r="AW126" i="1"/>
  <c r="AW129" i="1" s="1"/>
  <c r="BA202" i="1"/>
  <c r="BA205" i="1" s="1"/>
  <c r="BA229" i="1"/>
  <c r="BA226" i="1"/>
  <c r="AZ225" i="1"/>
  <c r="AZ226" i="1" s="1"/>
  <c r="AZ227" i="1" s="1"/>
  <c r="AY227" i="1"/>
  <c r="AY181" i="1"/>
  <c r="AY184" i="1"/>
  <c r="BC169" i="1"/>
  <c r="BC172" i="1" s="1"/>
  <c r="AY125" i="1" l="1"/>
  <c r="AY127" i="1" s="1"/>
  <c r="AY130" i="1" s="1"/>
  <c r="AZ53" i="1"/>
  <c r="BC201" i="1"/>
  <c r="BC200" i="1" s="1"/>
  <c r="BD213" i="1"/>
  <c r="BD214" i="1" s="1"/>
  <c r="BD215" i="1" s="1"/>
  <c r="BD229" i="1" s="1"/>
  <c r="BC213" i="1"/>
  <c r="BC214" i="1" s="1"/>
  <c r="BC215" i="1" s="1"/>
  <c r="AY182" i="1"/>
  <c r="BC173" i="1"/>
  <c r="BA176" i="1"/>
  <c r="BA177" i="1" s="1"/>
  <c r="BA264" i="1" l="1"/>
  <c r="BA262" i="1"/>
  <c r="BA260" i="1"/>
  <c r="AY126" i="1"/>
  <c r="AY129" i="1" s="1"/>
  <c r="BC202" i="1"/>
  <c r="BC205" i="1" s="1"/>
  <c r="BC229" i="1"/>
  <c r="BC226" i="1"/>
  <c r="BB225" i="1"/>
  <c r="BB226" i="1" s="1"/>
  <c r="BB227" i="1" s="1"/>
  <c r="BA227" i="1"/>
  <c r="BE169" i="1"/>
  <c r="BE172" i="1" s="1"/>
  <c r="BA184" i="1"/>
  <c r="BA181" i="1"/>
  <c r="BA125" i="1" l="1"/>
  <c r="BA126" i="1" s="1"/>
  <c r="BA129" i="1" s="1"/>
  <c r="BB53" i="1"/>
  <c r="BE201" i="1"/>
  <c r="BE200" i="1" s="1"/>
  <c r="BF213" i="1"/>
  <c r="BF214" i="1" s="1"/>
  <c r="BF215" i="1" s="1"/>
  <c r="BF229" i="1" s="1"/>
  <c r="BE213" i="1"/>
  <c r="BE214" i="1" s="1"/>
  <c r="BE215" i="1" s="1"/>
  <c r="BC176" i="1"/>
  <c r="BC177" i="1" s="1"/>
  <c r="BA182" i="1"/>
  <c r="BE173" i="1"/>
  <c r="BC264" i="1" l="1"/>
  <c r="BC262" i="1"/>
  <c r="BC260" i="1"/>
  <c r="BA127" i="1"/>
  <c r="BA130" i="1" s="1"/>
  <c r="BE202" i="1"/>
  <c r="BE205" i="1" s="1"/>
  <c r="BE229" i="1"/>
  <c r="BE226" i="1"/>
  <c r="BD225" i="1"/>
  <c r="BD226" i="1" s="1"/>
  <c r="BD227" i="1" s="1"/>
  <c r="BC227" i="1"/>
  <c r="BG169" i="1"/>
  <c r="BG172" i="1" s="1"/>
  <c r="BC181" i="1"/>
  <c r="BC184" i="1"/>
  <c r="BC125" i="1" l="1"/>
  <c r="BC126" i="1" s="1"/>
  <c r="BC129" i="1" s="1"/>
  <c r="BD53" i="1"/>
  <c r="BG201" i="1"/>
  <c r="BG202" i="1" s="1"/>
  <c r="BG205" i="1" s="1"/>
  <c r="BH213" i="1"/>
  <c r="BH214" i="1" s="1"/>
  <c r="BH215" i="1" s="1"/>
  <c r="BH229" i="1" s="1"/>
  <c r="BG213" i="1"/>
  <c r="BG214" i="1" s="1"/>
  <c r="BG215" i="1" s="1"/>
  <c r="BC182" i="1"/>
  <c r="BE176" i="1"/>
  <c r="BE177" i="1" s="1"/>
  <c r="BG173" i="1"/>
  <c r="BE262" i="1" l="1"/>
  <c r="BE264" i="1"/>
  <c r="BE260" i="1"/>
  <c r="BC127" i="1"/>
  <c r="BC130" i="1" s="1"/>
  <c r="BG200" i="1"/>
  <c r="BG229" i="1"/>
  <c r="BG226" i="1"/>
  <c r="BF225" i="1"/>
  <c r="BF226" i="1" s="1"/>
  <c r="BF227" i="1" s="1"/>
  <c r="BE227" i="1"/>
  <c r="BE184" i="1"/>
  <c r="BE181" i="1"/>
  <c r="BI169" i="1"/>
  <c r="BI172" i="1" s="1"/>
  <c r="BE125" i="1" l="1"/>
  <c r="BE126" i="1" s="1"/>
  <c r="BE129" i="1" s="1"/>
  <c r="BF53" i="1"/>
  <c r="BI201" i="1"/>
  <c r="BI200" i="1" s="1"/>
  <c r="BJ213" i="1"/>
  <c r="BJ214" i="1" s="1"/>
  <c r="BJ215" i="1" s="1"/>
  <c r="BJ229" i="1" s="1"/>
  <c r="BI213" i="1"/>
  <c r="BI214" i="1" s="1"/>
  <c r="BI215" i="1" s="1"/>
  <c r="BE182" i="1"/>
  <c r="BG176" i="1"/>
  <c r="BG177" i="1" s="1"/>
  <c r="BI173" i="1"/>
  <c r="BG262" i="1" l="1"/>
  <c r="BG264" i="1"/>
  <c r="BG260" i="1"/>
  <c r="BE127" i="1"/>
  <c r="BE130" i="1" s="1"/>
  <c r="BI202" i="1"/>
  <c r="BI205" i="1" s="1"/>
  <c r="BI229" i="1"/>
  <c r="BI226" i="1"/>
  <c r="BH225" i="1"/>
  <c r="BH226" i="1" s="1"/>
  <c r="BH227" i="1" s="1"/>
  <c r="BG227" i="1"/>
  <c r="BG181" i="1"/>
  <c r="BG184" i="1"/>
  <c r="BK169" i="1"/>
  <c r="BK172" i="1" s="1"/>
  <c r="BG125" i="1" l="1"/>
  <c r="BG126" i="1" s="1"/>
  <c r="BG129" i="1" s="1"/>
  <c r="BH53" i="1"/>
  <c r="BL213" i="1"/>
  <c r="BL214" i="1" s="1"/>
  <c r="BL215" i="1" s="1"/>
  <c r="BL229" i="1" s="1"/>
  <c r="BK201" i="1"/>
  <c r="BK200" i="1" s="1"/>
  <c r="BK213" i="1"/>
  <c r="BK214" i="1" s="1"/>
  <c r="BK215" i="1" s="1"/>
  <c r="BK173" i="1"/>
  <c r="BG182" i="1"/>
  <c r="BI176" i="1"/>
  <c r="BI177" i="1" s="1"/>
  <c r="BI264" i="1" l="1"/>
  <c r="BI262" i="1"/>
  <c r="BI260" i="1"/>
  <c r="BG127" i="1"/>
  <c r="BG130" i="1" s="1"/>
  <c r="BK202" i="1"/>
  <c r="BK205" i="1" s="1"/>
  <c r="BK229" i="1"/>
  <c r="BK226" i="1"/>
  <c r="BJ225" i="1"/>
  <c r="BJ226" i="1" s="1"/>
  <c r="BJ227" i="1" s="1"/>
  <c r="BI227" i="1"/>
  <c r="BI184" i="1"/>
  <c r="BI181" i="1"/>
  <c r="BM169" i="1"/>
  <c r="BM172" i="1" s="1"/>
  <c r="BI125" i="1" l="1"/>
  <c r="BI127" i="1" s="1"/>
  <c r="BI130" i="1" s="1"/>
  <c r="BJ53" i="1"/>
  <c r="BM201" i="1"/>
  <c r="BM200" i="1" s="1"/>
  <c r="BN213" i="1"/>
  <c r="BN214" i="1" s="1"/>
  <c r="BN215" i="1" s="1"/>
  <c r="BN229" i="1" s="1"/>
  <c r="BM213" i="1"/>
  <c r="BM214" i="1" s="1"/>
  <c r="BM215" i="1" s="1"/>
  <c r="BM173" i="1"/>
  <c r="BI182" i="1"/>
  <c r="BK176" i="1"/>
  <c r="BK177" i="1" s="1"/>
  <c r="BK264" i="1" l="1"/>
  <c r="BK262" i="1"/>
  <c r="BK260" i="1"/>
  <c r="BI126" i="1"/>
  <c r="BI129" i="1" s="1"/>
  <c r="BM202" i="1"/>
  <c r="BM205" i="1" s="1"/>
  <c r="BM229" i="1"/>
  <c r="BM226" i="1"/>
  <c r="BL225" i="1"/>
  <c r="BL226" i="1" s="1"/>
  <c r="BL227" i="1" s="1"/>
  <c r="BK227" i="1"/>
  <c r="BK184" i="1"/>
  <c r="BK181" i="1"/>
  <c r="BO169" i="1"/>
  <c r="BO172" i="1" s="1"/>
  <c r="BK125" i="1" l="1"/>
  <c r="BK127" i="1" s="1"/>
  <c r="BK130" i="1" s="1"/>
  <c r="BL53" i="1"/>
  <c r="BO201" i="1"/>
  <c r="BO200" i="1" s="1"/>
  <c r="BP213" i="1"/>
  <c r="BP214" i="1" s="1"/>
  <c r="BP215" i="1" s="1"/>
  <c r="BP229" i="1" s="1"/>
  <c r="BO213" i="1"/>
  <c r="BO214" i="1" s="1"/>
  <c r="BO215" i="1" s="1"/>
  <c r="BM176" i="1"/>
  <c r="BM177" i="1" s="1"/>
  <c r="BK182" i="1"/>
  <c r="BO173" i="1"/>
  <c r="BM262" i="1" l="1"/>
  <c r="BM264" i="1"/>
  <c r="BM260" i="1"/>
  <c r="BK126" i="1"/>
  <c r="BK129" i="1" s="1"/>
  <c r="BO202" i="1"/>
  <c r="BO205" i="1" s="1"/>
  <c r="BO229" i="1"/>
  <c r="BO226" i="1"/>
  <c r="BN225" i="1"/>
  <c r="BN226" i="1" s="1"/>
  <c r="BN227" i="1" s="1"/>
  <c r="BM227" i="1"/>
  <c r="BM181" i="1"/>
  <c r="BM184" i="1"/>
  <c r="BQ169" i="1"/>
  <c r="BQ172" i="1" s="1"/>
  <c r="BM125" i="1" l="1"/>
  <c r="BM126" i="1" s="1"/>
  <c r="BM129" i="1" s="1"/>
  <c r="BN53" i="1"/>
  <c r="BQ201" i="1"/>
  <c r="BQ200" i="1" s="1"/>
  <c r="BR213" i="1"/>
  <c r="BR214" i="1" s="1"/>
  <c r="BR215" i="1" s="1"/>
  <c r="BR229" i="1" s="1"/>
  <c r="BQ213" i="1"/>
  <c r="BQ214" i="1" s="1"/>
  <c r="BQ215" i="1" s="1"/>
  <c r="BO176" i="1"/>
  <c r="BO177" i="1" s="1"/>
  <c r="BQ173" i="1"/>
  <c r="BM182" i="1"/>
  <c r="BO262" i="1" l="1"/>
  <c r="BO264" i="1"/>
  <c r="BO260" i="1"/>
  <c r="BM127" i="1"/>
  <c r="BM130" i="1" s="1"/>
  <c r="BQ202" i="1"/>
  <c r="BQ205" i="1" s="1"/>
  <c r="BQ229" i="1"/>
  <c r="BQ226" i="1"/>
  <c r="BP225" i="1"/>
  <c r="BP226" i="1" s="1"/>
  <c r="BP227" i="1" s="1"/>
  <c r="BO227" i="1"/>
  <c r="BS169" i="1"/>
  <c r="BS172" i="1" s="1"/>
  <c r="BO181" i="1"/>
  <c r="BO184" i="1"/>
  <c r="BO125" i="1" l="1"/>
  <c r="BO126" i="1" s="1"/>
  <c r="BO129" i="1" s="1"/>
  <c r="BP53" i="1"/>
  <c r="BS201" i="1"/>
  <c r="BS200" i="1" s="1"/>
  <c r="BT213" i="1"/>
  <c r="BT214" i="1" s="1"/>
  <c r="BT215" i="1" s="1"/>
  <c r="BT229" i="1" s="1"/>
  <c r="BS213" i="1"/>
  <c r="BS214" i="1" s="1"/>
  <c r="BS215" i="1" s="1"/>
  <c r="BO182" i="1"/>
  <c r="BS173" i="1"/>
  <c r="BQ176" i="1"/>
  <c r="BQ177" i="1" s="1"/>
  <c r="BQ264" i="1" l="1"/>
  <c r="BQ262" i="1"/>
  <c r="BQ260" i="1"/>
  <c r="BO127" i="1"/>
  <c r="BO130" i="1" s="1"/>
  <c r="BS202" i="1"/>
  <c r="BS205" i="1" s="1"/>
  <c r="BS229" i="1"/>
  <c r="BS226" i="1"/>
  <c r="BR225" i="1"/>
  <c r="BR226" i="1" s="1"/>
  <c r="BR227" i="1" s="1"/>
  <c r="BQ227" i="1"/>
  <c r="BQ181" i="1"/>
  <c r="BQ184" i="1"/>
  <c r="BU169" i="1"/>
  <c r="BU172" i="1" s="1"/>
  <c r="BQ125" i="1" l="1"/>
  <c r="BQ126" i="1" s="1"/>
  <c r="BQ129" i="1" s="1"/>
  <c r="BR53" i="1"/>
  <c r="BU201" i="1"/>
  <c r="BU200" i="1" s="1"/>
  <c r="BV213" i="1"/>
  <c r="BV214" i="1" s="1"/>
  <c r="BV215" i="1" s="1"/>
  <c r="BV229" i="1" s="1"/>
  <c r="BU213" i="1"/>
  <c r="BU214" i="1" s="1"/>
  <c r="BU215" i="1" s="1"/>
  <c r="BS176" i="1"/>
  <c r="BS177" i="1" s="1"/>
  <c r="BQ182" i="1"/>
  <c r="BU173" i="1"/>
  <c r="BS264" i="1" l="1"/>
  <c r="BS262" i="1"/>
  <c r="BS260" i="1"/>
  <c r="BQ127" i="1"/>
  <c r="BQ130" i="1" s="1"/>
  <c r="BU202" i="1"/>
  <c r="BU205" i="1" s="1"/>
  <c r="BU229" i="1"/>
  <c r="BU226" i="1"/>
  <c r="BT225" i="1"/>
  <c r="BT226" i="1" s="1"/>
  <c r="BT227" i="1" s="1"/>
  <c r="BS227" i="1"/>
  <c r="BS181" i="1"/>
  <c r="BS184" i="1"/>
  <c r="BW169" i="1"/>
  <c r="BW172" i="1" s="1"/>
  <c r="BS125" i="1" l="1"/>
  <c r="BS127" i="1" s="1"/>
  <c r="BS130" i="1" s="1"/>
  <c r="BT53" i="1"/>
  <c r="BW201" i="1"/>
  <c r="BW200" i="1" s="1"/>
  <c r="BX213" i="1"/>
  <c r="BX214" i="1" s="1"/>
  <c r="BX215" i="1" s="1"/>
  <c r="BX229" i="1" s="1"/>
  <c r="BW213" i="1"/>
  <c r="BW214" i="1" s="1"/>
  <c r="BW215" i="1" s="1"/>
  <c r="BW173" i="1"/>
  <c r="BS182" i="1"/>
  <c r="BU176" i="1"/>
  <c r="BU177" i="1" s="1"/>
  <c r="BU262" i="1" l="1"/>
  <c r="BU264" i="1"/>
  <c r="BU260" i="1"/>
  <c r="BS126" i="1"/>
  <c r="BS129" i="1" s="1"/>
  <c r="BW202" i="1"/>
  <c r="BW205" i="1" s="1"/>
  <c r="BW229" i="1"/>
  <c r="BW226" i="1"/>
  <c r="BV225" i="1"/>
  <c r="BV226" i="1" s="1"/>
  <c r="BV227" i="1" s="1"/>
  <c r="BU227" i="1"/>
  <c r="BU181" i="1"/>
  <c r="BU184" i="1"/>
  <c r="BY169" i="1"/>
  <c r="BY172" i="1" s="1"/>
  <c r="BU125" i="1" l="1"/>
  <c r="BU127" i="1" s="1"/>
  <c r="BU130" i="1" s="1"/>
  <c r="BV53" i="1"/>
  <c r="BZ213" i="1"/>
  <c r="BZ214" i="1" s="1"/>
  <c r="BZ215" i="1" s="1"/>
  <c r="BZ229" i="1" s="1"/>
  <c r="BY201" i="1"/>
  <c r="BY200" i="1" s="1"/>
  <c r="BY213" i="1"/>
  <c r="BY214" i="1" s="1"/>
  <c r="BY215" i="1" s="1"/>
  <c r="BW176" i="1"/>
  <c r="BW177" i="1" s="1"/>
  <c r="BY173" i="1"/>
  <c r="BU182" i="1"/>
  <c r="BW262" i="1" l="1"/>
  <c r="BW264" i="1"/>
  <c r="BW260" i="1"/>
  <c r="BU126" i="1"/>
  <c r="BU129" i="1" s="1"/>
  <c r="BY202" i="1"/>
  <c r="BY205" i="1" s="1"/>
  <c r="BY229" i="1"/>
  <c r="BY226" i="1"/>
  <c r="BX225" i="1"/>
  <c r="BX226" i="1" s="1"/>
  <c r="BX227" i="1" s="1"/>
  <c r="BW227" i="1"/>
  <c r="BW181" i="1"/>
  <c r="BW184" i="1"/>
  <c r="BW125" i="1" l="1"/>
  <c r="BW127" i="1" s="1"/>
  <c r="BW130" i="1" s="1"/>
  <c r="BX53" i="1"/>
  <c r="BW182" i="1"/>
  <c r="BY176" i="1"/>
  <c r="BY177" i="1" s="1"/>
  <c r="BY264" i="1" l="1"/>
  <c r="BY262" i="1"/>
  <c r="BY260" i="1"/>
  <c r="BW126" i="1"/>
  <c r="BW129" i="1" s="1"/>
  <c r="BZ225" i="1"/>
  <c r="BZ226" i="1" s="1"/>
  <c r="BZ227" i="1" s="1"/>
  <c r="BY227" i="1"/>
  <c r="BY184" i="1"/>
  <c r="BY181" i="1"/>
  <c r="BY125" i="1" l="1"/>
  <c r="BY126" i="1" s="1"/>
  <c r="BY129" i="1" s="1"/>
  <c r="BZ53" i="1"/>
  <c r="BY182" i="1"/>
  <c r="CC161" i="1"/>
  <c r="CC160" i="1"/>
  <c r="CA160" i="1"/>
  <c r="CA169" i="1"/>
  <c r="CA172" i="1" s="1"/>
  <c r="CA161" i="1"/>
  <c r="BY127" i="1" l="1"/>
  <c r="BY130" i="1" s="1"/>
  <c r="CA164" i="1"/>
  <c r="CA198" i="1" s="1"/>
  <c r="CA197" i="1" s="1"/>
  <c r="CB213" i="1"/>
  <c r="CA201" i="1"/>
  <c r="CA200" i="1" s="1"/>
  <c r="CA213" i="1"/>
  <c r="CC169" i="1"/>
  <c r="CC172" i="1" s="1"/>
  <c r="CC164" i="1"/>
  <c r="CA173" i="1" l="1"/>
  <c r="CA212" i="1"/>
  <c r="CA214" i="1" s="1"/>
  <c r="CA215" i="1" s="1"/>
  <c r="CA229" i="1" s="1"/>
  <c r="CB212" i="1"/>
  <c r="CB214" i="1" s="1"/>
  <c r="CB215" i="1" s="1"/>
  <c r="CB229" i="1" s="1"/>
  <c r="CA202" i="1"/>
  <c r="CD212" i="1"/>
  <c r="CC198" i="1"/>
  <c r="CC197" i="1" s="1"/>
  <c r="CC212" i="1"/>
  <c r="CC201" i="1"/>
  <c r="CC200" i="1" s="1"/>
  <c r="CD213" i="1"/>
  <c r="CC213" i="1"/>
  <c r="CC173" i="1"/>
  <c r="CA205" i="1" l="1"/>
  <c r="CE205" i="1"/>
  <c r="CC214" i="1"/>
  <c r="CC215" i="1" s="1"/>
  <c r="CC229" i="1" s="1"/>
  <c r="CD214" i="1"/>
  <c r="CD215" i="1" s="1"/>
  <c r="CD229" i="1" s="1"/>
  <c r="CA226" i="1"/>
  <c r="CA176" i="1" s="1"/>
  <c r="CA177" i="1" s="1"/>
  <c r="CC202" i="1"/>
  <c r="CA264" i="1" l="1"/>
  <c r="CA262" i="1"/>
  <c r="CA260" i="1"/>
  <c r="CC205" i="1"/>
  <c r="CG205" i="1"/>
  <c r="CC226" i="1"/>
  <c r="CC176" i="1" s="1"/>
  <c r="CC177" i="1" s="1"/>
  <c r="CB225" i="1"/>
  <c r="CB226" i="1" s="1"/>
  <c r="CB227" i="1" s="1"/>
  <c r="CA227" i="1"/>
  <c r="CA184" i="1"/>
  <c r="CA181" i="1"/>
  <c r="CC262" i="1" l="1"/>
  <c r="CC264" i="1"/>
  <c r="CC260" i="1"/>
  <c r="CA125" i="1"/>
  <c r="CA126" i="1" s="1"/>
  <c r="CA129" i="1" s="1"/>
  <c r="CB53" i="1"/>
  <c r="CD225" i="1"/>
  <c r="CD226" i="1" s="1"/>
  <c r="CD227" i="1" s="1"/>
  <c r="CC227" i="1"/>
  <c r="CC181" i="1"/>
  <c r="CC184" i="1"/>
  <c r="CA182" i="1"/>
  <c r="CA127" i="1" l="1"/>
  <c r="CA130" i="1" s="1"/>
  <c r="CC125" i="1"/>
  <c r="CC126" i="1" s="1"/>
  <c r="CC129" i="1" s="1"/>
  <c r="CD53" i="1"/>
  <c r="CC182" i="1"/>
  <c r="CC127" i="1" l="1"/>
  <c r="CC130" i="1" s="1"/>
  <c r="CE105" i="1"/>
  <c r="CD105" i="1"/>
  <c r="CC105" i="1"/>
  <c r="CB105" i="1"/>
  <c r="CI161" i="1" l="1"/>
  <c r="CI169" i="1"/>
  <c r="CI172" i="1" s="1"/>
  <c r="CI160" i="1"/>
  <c r="CJ213" i="1" l="1"/>
  <c r="CI164" i="1"/>
  <c r="CI213" i="1"/>
  <c r="CJ212" i="1" l="1"/>
  <c r="CJ214" i="1" s="1"/>
  <c r="CJ215" i="1" s="1"/>
  <c r="CJ229" i="1" s="1"/>
  <c r="CI173" i="1"/>
  <c r="CI212" i="1"/>
  <c r="CI214" i="1" s="1"/>
  <c r="CI215" i="1" s="1"/>
  <c r="CI229" i="1" s="1"/>
  <c r="CI202" i="1" l="1"/>
  <c r="CI205" i="1" s="1"/>
  <c r="CI226" i="1"/>
  <c r="CI176" i="1" s="1"/>
  <c r="CI177" i="1" s="1"/>
  <c r="CI264" i="1" l="1"/>
  <c r="CI262" i="1"/>
  <c r="CI260" i="1"/>
  <c r="CI227" i="1"/>
  <c r="CJ225" i="1"/>
  <c r="CJ226" i="1" s="1"/>
  <c r="CI184" i="1"/>
  <c r="CI181" i="1"/>
  <c r="CI125" i="1" l="1"/>
  <c r="CI127" i="1" s="1"/>
  <c r="CI130" i="1" s="1"/>
  <c r="CJ53" i="1"/>
  <c r="CJ227" i="1"/>
  <c r="CI182" i="1"/>
  <c r="CI126" i="1" l="1"/>
  <c r="CI129" i="1" s="1"/>
  <c r="CJ184" i="1"/>
  <c r="CJ125" i="1" l="1"/>
  <c r="CK53" i="1"/>
  <c r="CN53" i="1"/>
  <c r="CO53" i="1" s="1"/>
  <c r="CP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J126" i="1" l="1"/>
  <c r="CJ129" i="1" s="1"/>
  <c r="CJ127" i="1"/>
  <c r="CJ130" i="1" s="1"/>
  <c r="CK247" i="1" l="1"/>
  <c r="CK269" i="1"/>
  <c r="CK268" i="1"/>
  <c r="CN26" i="1"/>
  <c r="CN269" i="1"/>
  <c r="CM26" i="1"/>
  <c r="CM269" i="1"/>
  <c r="CN247" i="1"/>
  <c r="CM247" i="1"/>
  <c r="CM114" i="1"/>
  <c r="CM115" i="1" s="1"/>
  <c r="CM118" i="1" s="1"/>
  <c r="CN114" i="1"/>
  <c r="CN115" i="1" s="1"/>
  <c r="CN118" i="1" s="1"/>
  <c r="CP24" i="1"/>
  <c r="CM162" i="1" l="1"/>
  <c r="CQ24" i="1"/>
  <c r="CQ269" i="1" s="1"/>
  <c r="CO24" i="1"/>
  <c r="CO26" i="1" s="1"/>
  <c r="CN42" i="1"/>
  <c r="CN39" i="1" s="1"/>
  <c r="CR24" i="1"/>
  <c r="CR269" i="1" s="1"/>
  <c r="CN161" i="1"/>
  <c r="CN32" i="1"/>
  <c r="CN160" i="1"/>
  <c r="CN169" i="1"/>
  <c r="CM42" i="1"/>
  <c r="CM39" i="1" s="1"/>
  <c r="CM169" i="1"/>
  <c r="CN28" i="1"/>
  <c r="CN168" i="1"/>
  <c r="CN162" i="1"/>
  <c r="CM161" i="1"/>
  <c r="CM28" i="1"/>
  <c r="CM32" i="1"/>
  <c r="CM31" i="1" s="1"/>
  <c r="CM168" i="1"/>
  <c r="CM160" i="1"/>
  <c r="CK160" i="1"/>
  <c r="CK169" i="1"/>
  <c r="CK161" i="1"/>
  <c r="CM241" i="1"/>
  <c r="CK168" i="1"/>
  <c r="CK241" i="1"/>
  <c r="CK162" i="1"/>
  <c r="CN241" i="1"/>
  <c r="CO241" i="1" l="1"/>
  <c r="CS24" i="1"/>
  <c r="CM172" i="1"/>
  <c r="CK172" i="1"/>
  <c r="CN31" i="1"/>
  <c r="CN34" i="1"/>
  <c r="CN44" i="1"/>
  <c r="CN164" i="1"/>
  <c r="CM164" i="1"/>
  <c r="CN172" i="1"/>
  <c r="CR26" i="1"/>
  <c r="CV24" i="1" s="1"/>
  <c r="CM34" i="1"/>
  <c r="CR247" i="1"/>
  <c r="CQ26" i="1"/>
  <c r="CQ247" i="1"/>
  <c r="CM44" i="1"/>
  <c r="CR114" i="1"/>
  <c r="CR115" i="1" s="1"/>
  <c r="CR118" i="1" s="1"/>
  <c r="CP269" i="1"/>
  <c r="CN35" i="1"/>
  <c r="CO114" i="1"/>
  <c r="CO115" i="1" s="1"/>
  <c r="CO118" i="1" s="1"/>
  <c r="CO269" i="1"/>
  <c r="CO247" i="1"/>
  <c r="CK164" i="1"/>
  <c r="CM35" i="1"/>
  <c r="CP247" i="1"/>
  <c r="CP26" i="1"/>
  <c r="CT24" i="1" s="1"/>
  <c r="CQ114" i="1"/>
  <c r="CQ115" i="1" s="1"/>
  <c r="CQ118" i="1" s="1"/>
  <c r="AB24" i="1"/>
  <c r="CP114" i="1"/>
  <c r="CP115" i="1" s="1"/>
  <c r="CP118" i="1" s="1"/>
  <c r="CO160" i="1"/>
  <c r="CO32" i="1"/>
  <c r="CO168" i="1"/>
  <c r="CO169" i="1"/>
  <c r="CO42" i="1"/>
  <c r="CO39" i="1" s="1"/>
  <c r="CO161" i="1"/>
  <c r="CO162" i="1"/>
  <c r="CO28" i="1"/>
  <c r="CK213" i="1" l="1"/>
  <c r="CL213" i="1"/>
  <c r="CK212" i="1"/>
  <c r="CL212" i="1"/>
  <c r="CL214" i="1" s="1"/>
  <c r="CL215" i="1" s="1"/>
  <c r="CL229" i="1" s="1"/>
  <c r="AB269" i="1"/>
  <c r="CU24" i="1"/>
  <c r="CU247" i="1" s="1"/>
  <c r="CN266" i="1"/>
  <c r="CN267" i="1" s="1"/>
  <c r="CN213" i="1"/>
  <c r="CN45" i="1"/>
  <c r="CN248" i="1"/>
  <c r="CN249" i="1" s="1"/>
  <c r="CN46" i="1"/>
  <c r="CN50" i="1"/>
  <c r="CN173" i="1"/>
  <c r="CM173" i="1"/>
  <c r="CN212" i="1"/>
  <c r="CR168" i="1"/>
  <c r="CR32" i="1"/>
  <c r="CR160" i="1"/>
  <c r="CR161" i="1"/>
  <c r="CR28" i="1"/>
  <c r="CR162" i="1"/>
  <c r="CR42" i="1"/>
  <c r="CR39" i="1" s="1"/>
  <c r="CR169" i="1"/>
  <c r="CK214" i="1"/>
  <c r="CQ28" i="1"/>
  <c r="CQ42" i="1"/>
  <c r="CQ39" i="1" s="1"/>
  <c r="CQ162" i="1"/>
  <c r="CQ161" i="1"/>
  <c r="CQ168" i="1"/>
  <c r="CQ169" i="1"/>
  <c r="CQ160" i="1"/>
  <c r="CN47" i="1"/>
  <c r="CM46" i="1"/>
  <c r="CM248" i="1"/>
  <c r="CM249" i="1" s="1"/>
  <c r="CM45" i="1"/>
  <c r="CM50" i="1"/>
  <c r="CQ32" i="1"/>
  <c r="CK173" i="1"/>
  <c r="CK266" i="1"/>
  <c r="CK267" i="1" s="1"/>
  <c r="CS114" i="1"/>
  <c r="CS115" i="1" s="1"/>
  <c r="CS118" i="1" s="1"/>
  <c r="CS269" i="1"/>
  <c r="CM266" i="1"/>
  <c r="CM267" i="1" s="1"/>
  <c r="CK248" i="1"/>
  <c r="CK249" i="1" s="1"/>
  <c r="CK242" i="1"/>
  <c r="CN242" i="1"/>
  <c r="CR241" i="1"/>
  <c r="CP241" i="1"/>
  <c r="AB26" i="1"/>
  <c r="CO172" i="1"/>
  <c r="CS26" i="1"/>
  <c r="CS247" i="1"/>
  <c r="CO164" i="1"/>
  <c r="CM128" i="1"/>
  <c r="CN128" i="1"/>
  <c r="CM213" i="1"/>
  <c r="CP161" i="1"/>
  <c r="AB161" i="1" s="1"/>
  <c r="AB196" i="1" s="1"/>
  <c r="CP160" i="1"/>
  <c r="CP168" i="1"/>
  <c r="CP32" i="1"/>
  <c r="CP31" i="1" s="1"/>
  <c r="CP169" i="1"/>
  <c r="AB169" i="1" s="1"/>
  <c r="AB199" i="1" s="1"/>
  <c r="CP162" i="1"/>
  <c r="AB162" i="1" s="1"/>
  <c r="CP28" i="1"/>
  <c r="CP42" i="1"/>
  <c r="CP39" i="1" s="1"/>
  <c r="CT269" i="1"/>
  <c r="CO44" i="1"/>
  <c r="CO34" i="1"/>
  <c r="CO35" i="1"/>
  <c r="CM212" i="1"/>
  <c r="CQ241" i="1"/>
  <c r="CO31" i="1"/>
  <c r="CM242" i="1"/>
  <c r="CM47" i="1"/>
  <c r="CU269" i="1" l="1"/>
  <c r="CU26" i="1"/>
  <c r="CU162" i="1" s="1"/>
  <c r="CS241" i="1"/>
  <c r="CW24" i="1"/>
  <c r="CW269" i="1" s="1"/>
  <c r="CR164" i="1"/>
  <c r="CQ172" i="1"/>
  <c r="AB39" i="1"/>
  <c r="AB42" i="1" s="1"/>
  <c r="AB43" i="1" s="1"/>
  <c r="CN214" i="1"/>
  <c r="CR172" i="1"/>
  <c r="CR34" i="1"/>
  <c r="CR35" i="1"/>
  <c r="CR44" i="1"/>
  <c r="CR31" i="1"/>
  <c r="CV269" i="1"/>
  <c r="CV247" i="1"/>
  <c r="CV26" i="1"/>
  <c r="CZ24" i="1" s="1"/>
  <c r="CQ31" i="1"/>
  <c r="CQ34" i="1"/>
  <c r="CQ44" i="1"/>
  <c r="CQ164" i="1"/>
  <c r="CO128" i="1"/>
  <c r="CO266" i="1"/>
  <c r="CO267" i="1" s="1"/>
  <c r="AB114" i="1"/>
  <c r="AB204" i="1"/>
  <c r="CQ35" i="1"/>
  <c r="AB31" i="1"/>
  <c r="AB32" i="1" s="1"/>
  <c r="CM214" i="1"/>
  <c r="CO173" i="1"/>
  <c r="CO212" i="1"/>
  <c r="CO242" i="1"/>
  <c r="AC24" i="1"/>
  <c r="CV114" i="1"/>
  <c r="CV115" i="1" s="1"/>
  <c r="CV118" i="1" s="1"/>
  <c r="AB27" i="1"/>
  <c r="AB74" i="1"/>
  <c r="AB160" i="1"/>
  <c r="CP164" i="1"/>
  <c r="CS160" i="1"/>
  <c r="CS32" i="1"/>
  <c r="CS31" i="1" s="1"/>
  <c r="CS168" i="1"/>
  <c r="CS28" i="1"/>
  <c r="CS161" i="1"/>
  <c r="CS169" i="1"/>
  <c r="CS162" i="1"/>
  <c r="CS42" i="1"/>
  <c r="CS39" i="1" s="1"/>
  <c r="CT114" i="1"/>
  <c r="CT115" i="1" s="1"/>
  <c r="CT118" i="1" s="1"/>
  <c r="CO213" i="1"/>
  <c r="CO46" i="1"/>
  <c r="CO248" i="1"/>
  <c r="CO249" i="1" s="1"/>
  <c r="CO50" i="1"/>
  <c r="CO47" i="1"/>
  <c r="CO45" i="1"/>
  <c r="CP34" i="1"/>
  <c r="CP44" i="1"/>
  <c r="CP35" i="1"/>
  <c r="CT247" i="1"/>
  <c r="CT26" i="1"/>
  <c r="AB168" i="1"/>
  <c r="AB172" i="1" s="1"/>
  <c r="CP172" i="1"/>
  <c r="CU114" i="1"/>
  <c r="CU115" i="1" s="1"/>
  <c r="CU118" i="1" s="1"/>
  <c r="CY24" i="1" l="1"/>
  <c r="CU42" i="1"/>
  <c r="CU160" i="1"/>
  <c r="CU32" i="1"/>
  <c r="CU168" i="1"/>
  <c r="CU161" i="1"/>
  <c r="CU169" i="1"/>
  <c r="AC269" i="1"/>
  <c r="CU28" i="1"/>
  <c r="CX24" i="1"/>
  <c r="CQ213" i="1"/>
  <c r="CV160" i="1"/>
  <c r="CV32" i="1"/>
  <c r="CV34" i="1" s="1"/>
  <c r="CV168" i="1"/>
  <c r="CR213" i="1"/>
  <c r="CR173" i="1"/>
  <c r="CR248" i="1"/>
  <c r="CR249" i="1" s="1"/>
  <c r="CR45" i="1"/>
  <c r="CR50" i="1"/>
  <c r="CR46" i="1"/>
  <c r="CV162" i="1"/>
  <c r="CV161" i="1"/>
  <c r="CV42" i="1"/>
  <c r="CV39" i="1" s="1"/>
  <c r="CV28" i="1"/>
  <c r="CV169" i="1"/>
  <c r="CQ50" i="1"/>
  <c r="CQ45" i="1"/>
  <c r="CQ46" i="1"/>
  <c r="CR47" i="1"/>
  <c r="CR266" i="1"/>
  <c r="CR267" i="1" s="1"/>
  <c r="CQ248" i="1"/>
  <c r="CQ249" i="1" s="1"/>
  <c r="CR212" i="1"/>
  <c r="CQ173" i="1"/>
  <c r="AB34" i="1"/>
  <c r="CP128" i="1"/>
  <c r="CP266" i="1"/>
  <c r="CP267" i="1" s="1"/>
  <c r="CQ266" i="1"/>
  <c r="CQ267" i="1" s="1"/>
  <c r="CS172" i="1"/>
  <c r="CS213" i="1" s="1"/>
  <c r="CV241" i="1"/>
  <c r="CP213" i="1"/>
  <c r="CP248" i="1"/>
  <c r="CP249" i="1" s="1"/>
  <c r="CP46" i="1"/>
  <c r="CP47" i="1"/>
  <c r="CP45" i="1"/>
  <c r="CP50" i="1"/>
  <c r="CT241" i="1"/>
  <c r="CP242" i="1"/>
  <c r="CU241" i="1"/>
  <c r="CR242" i="1"/>
  <c r="CQ242" i="1"/>
  <c r="CS44" i="1"/>
  <c r="CS266" i="1" s="1"/>
  <c r="CS267" i="1" s="1"/>
  <c r="CS34" i="1"/>
  <c r="CS35" i="1"/>
  <c r="AC26" i="1"/>
  <c r="CO214" i="1"/>
  <c r="CW247" i="1"/>
  <c r="CW26" i="1"/>
  <c r="CQ128" i="1"/>
  <c r="CW114" i="1"/>
  <c r="CW115" i="1" s="1"/>
  <c r="CW118" i="1" s="1"/>
  <c r="CS164" i="1"/>
  <c r="CT160" i="1"/>
  <c r="CT169" i="1"/>
  <c r="AC169" i="1" s="1"/>
  <c r="AC199" i="1" s="1"/>
  <c r="CT32" i="1"/>
  <c r="CT31" i="1" s="1"/>
  <c r="AC31" i="1" s="1"/>
  <c r="CT161" i="1"/>
  <c r="AC161" i="1" s="1"/>
  <c r="AC196" i="1" s="1"/>
  <c r="CT168" i="1"/>
  <c r="CT42" i="1"/>
  <c r="CT39" i="1" s="1"/>
  <c r="CT28" i="1"/>
  <c r="CT162" i="1"/>
  <c r="AC162" i="1" s="1"/>
  <c r="AB75" i="1"/>
  <c r="AB33" i="1"/>
  <c r="AB44" i="1"/>
  <c r="CQ47" i="1"/>
  <c r="CQ212" i="1"/>
  <c r="CP173" i="1"/>
  <c r="CP212" i="1"/>
  <c r="AB201" i="1"/>
  <c r="AB200" i="1" s="1"/>
  <c r="AB213" i="1"/>
  <c r="CR128" i="1"/>
  <c r="AB164" i="1"/>
  <c r="AB195" i="1"/>
  <c r="CU164" i="1" l="1"/>
  <c r="CU172" i="1"/>
  <c r="CU31" i="1"/>
  <c r="CU34" i="1"/>
  <c r="CU39" i="1"/>
  <c r="CU44" i="1"/>
  <c r="CY269" i="1"/>
  <c r="CY26" i="1"/>
  <c r="CY247" i="1"/>
  <c r="AB266" i="1"/>
  <c r="AB267" i="1" s="1"/>
  <c r="CW241" i="1"/>
  <c r="DA24" i="1"/>
  <c r="DA269" i="1" s="1"/>
  <c r="CQ214" i="1"/>
  <c r="AC39" i="1"/>
  <c r="AC42" i="1" s="1"/>
  <c r="AC43" i="1" s="1"/>
  <c r="CV164" i="1"/>
  <c r="CV31" i="1"/>
  <c r="CV35" i="1"/>
  <c r="CV172" i="1"/>
  <c r="CV44" i="1"/>
  <c r="CZ269" i="1"/>
  <c r="CZ247" i="1"/>
  <c r="CZ26" i="1"/>
  <c r="CZ169" i="1" s="1"/>
  <c r="CR214" i="1"/>
  <c r="CX114" i="1"/>
  <c r="CX115" i="1" s="1"/>
  <c r="CX118" i="1" s="1"/>
  <c r="CX269" i="1"/>
  <c r="CP214" i="1"/>
  <c r="AC114" i="1"/>
  <c r="AC204" i="1"/>
  <c r="AB46" i="1"/>
  <c r="CT164" i="1"/>
  <c r="CT212" i="1" s="1"/>
  <c r="AC160" i="1"/>
  <c r="CS173" i="1"/>
  <c r="CS212" i="1"/>
  <c r="CS214" i="1" s="1"/>
  <c r="CY114" i="1"/>
  <c r="CY115" i="1" s="1"/>
  <c r="CY118" i="1" s="1"/>
  <c r="CS47" i="1"/>
  <c r="CS45" i="1"/>
  <c r="CS50" i="1"/>
  <c r="CS248" i="1"/>
  <c r="CS249" i="1" s="1"/>
  <c r="CS46" i="1"/>
  <c r="AB173" i="1"/>
  <c r="AB198" i="1"/>
  <c r="AB212" i="1"/>
  <c r="AB214" i="1" s="1"/>
  <c r="AB76" i="1"/>
  <c r="AB50" i="1"/>
  <c r="AB128" i="1"/>
  <c r="AB45" i="1"/>
  <c r="CW32" i="1"/>
  <c r="CW31" i="1" s="1"/>
  <c r="CW168" i="1"/>
  <c r="CW160" i="1"/>
  <c r="CW28" i="1"/>
  <c r="CW162" i="1"/>
  <c r="CW161" i="1"/>
  <c r="CW169" i="1"/>
  <c r="CW42" i="1"/>
  <c r="CW39" i="1" s="1"/>
  <c r="CT172" i="1"/>
  <c r="AC168" i="1"/>
  <c r="AC172" i="1" s="1"/>
  <c r="CS128" i="1"/>
  <c r="CK261" i="1"/>
  <c r="CK243" i="1"/>
  <c r="CK250" i="1"/>
  <c r="CS242" i="1"/>
  <c r="CT35" i="1"/>
  <c r="CT34" i="1"/>
  <c r="CT44" i="1"/>
  <c r="AC27" i="1"/>
  <c r="AC32" i="1"/>
  <c r="AC74" i="1"/>
  <c r="CX247" i="1"/>
  <c r="CX26" i="1"/>
  <c r="DB24" i="1" s="1"/>
  <c r="CZ114" i="1"/>
  <c r="CZ115" i="1" s="1"/>
  <c r="CZ118" i="1" s="1"/>
  <c r="CU35" i="1"/>
  <c r="AD24" i="1"/>
  <c r="AD269" i="1" s="1"/>
  <c r="CU173" i="1" l="1"/>
  <c r="CV212" i="1"/>
  <c r="CY32" i="1"/>
  <c r="CY162" i="1"/>
  <c r="CY168" i="1"/>
  <c r="CY160" i="1"/>
  <c r="CY161" i="1"/>
  <c r="CY169" i="1"/>
  <c r="CY42" i="1"/>
  <c r="CY39" i="1" s="1"/>
  <c r="CU50" i="1"/>
  <c r="CU45" i="1"/>
  <c r="CU46" i="1"/>
  <c r="CU248" i="1"/>
  <c r="CU249" i="1" s="1"/>
  <c r="CZ241" i="1"/>
  <c r="CV266" i="1"/>
  <c r="CV267" i="1" s="1"/>
  <c r="CV50" i="1"/>
  <c r="CV248" i="1"/>
  <c r="CV249" i="1" s="1"/>
  <c r="CV45" i="1"/>
  <c r="CV47" i="1"/>
  <c r="CV46" i="1"/>
  <c r="CZ42" i="1"/>
  <c r="CZ39" i="1" s="1"/>
  <c r="CZ160" i="1"/>
  <c r="CZ28" i="1"/>
  <c r="CZ168" i="1"/>
  <c r="CZ172" i="1" s="1"/>
  <c r="CZ162" i="1"/>
  <c r="CZ161" i="1"/>
  <c r="CZ32" i="1"/>
  <c r="CV173" i="1"/>
  <c r="CV213" i="1"/>
  <c r="AC34" i="1"/>
  <c r="CU128" i="1"/>
  <c r="CT266" i="1"/>
  <c r="CT267" i="1" s="1"/>
  <c r="CU266" i="1"/>
  <c r="CU267" i="1" s="1"/>
  <c r="CW172" i="1"/>
  <c r="CW213" i="1" s="1"/>
  <c r="CX241" i="1"/>
  <c r="CY241" i="1"/>
  <c r="CY28" i="1"/>
  <c r="CU213" i="1"/>
  <c r="CT213" i="1"/>
  <c r="CT214" i="1" s="1"/>
  <c r="CK209" i="1"/>
  <c r="CK211" i="1" s="1"/>
  <c r="CK215" i="1" s="1"/>
  <c r="CK229" i="1" s="1"/>
  <c r="CK135" i="1"/>
  <c r="CV242" i="1"/>
  <c r="AC44" i="1"/>
  <c r="AC75" i="1"/>
  <c r="AC33" i="1"/>
  <c r="CW164" i="1"/>
  <c r="CT242" i="1"/>
  <c r="AC195" i="1"/>
  <c r="AC164" i="1"/>
  <c r="DA247" i="1"/>
  <c r="DA26" i="1"/>
  <c r="DA241" i="1" s="1"/>
  <c r="CT173" i="1"/>
  <c r="CU212" i="1"/>
  <c r="CX160" i="1"/>
  <c r="CX161" i="1"/>
  <c r="AD161" i="1" s="1"/>
  <c r="AD196" i="1" s="1"/>
  <c r="CX32" i="1"/>
  <c r="CX169" i="1"/>
  <c r="AD169" i="1" s="1"/>
  <c r="AD199" i="1" s="1"/>
  <c r="CX168" i="1"/>
  <c r="CX28" i="1"/>
  <c r="CX42" i="1"/>
  <c r="CX39" i="1" s="1"/>
  <c r="CX162" i="1"/>
  <c r="AD162" i="1" s="1"/>
  <c r="CT50" i="1"/>
  <c r="CT46" i="1"/>
  <c r="CT45" i="1"/>
  <c r="CT248" i="1"/>
  <c r="CT249" i="1" s="1"/>
  <c r="CT47" i="1"/>
  <c r="CW35" i="1"/>
  <c r="CW34" i="1"/>
  <c r="CW44" i="1"/>
  <c r="CU242" i="1"/>
  <c r="CU47" i="1"/>
  <c r="AD26" i="1"/>
  <c r="DA114" i="1"/>
  <c r="DA115" i="1" s="1"/>
  <c r="DA118" i="1" s="1"/>
  <c r="AC201" i="1"/>
  <c r="AC200" i="1" s="1"/>
  <c r="AC213" i="1"/>
  <c r="AB197" i="1"/>
  <c r="AB202" i="1"/>
  <c r="AB205" i="1" s="1"/>
  <c r="AB206" i="1" s="1"/>
  <c r="CT128" i="1"/>
  <c r="CV128" i="1"/>
  <c r="CV214" i="1" l="1"/>
  <c r="CY172" i="1"/>
  <c r="CZ213" i="1" s="1"/>
  <c r="CY164" i="1"/>
  <c r="CY35" i="1"/>
  <c r="CY31" i="1"/>
  <c r="CY34" i="1"/>
  <c r="CY44" i="1"/>
  <c r="CY248" i="1" s="1"/>
  <c r="CY249" i="1" s="1"/>
  <c r="AC266" i="1"/>
  <c r="AC267" i="1" s="1"/>
  <c r="AD39" i="1"/>
  <c r="AD42" i="1" s="1"/>
  <c r="AD43" i="1" s="1"/>
  <c r="CZ164" i="1"/>
  <c r="CZ31" i="1"/>
  <c r="CZ34" i="1"/>
  <c r="CZ44" i="1"/>
  <c r="CZ35" i="1"/>
  <c r="CW242" i="1"/>
  <c r="CW266" i="1"/>
  <c r="CW267" i="1" s="1"/>
  <c r="DB114" i="1"/>
  <c r="DB115" i="1" s="1"/>
  <c r="DB118" i="1" s="1"/>
  <c r="DB269" i="1"/>
  <c r="AD114" i="1"/>
  <c r="AD204" i="1"/>
  <c r="CU214" i="1"/>
  <c r="AC46" i="1"/>
  <c r="AD168" i="1"/>
  <c r="AD172" i="1" s="1"/>
  <c r="CX172" i="1"/>
  <c r="DA168" i="1"/>
  <c r="DA169" i="1"/>
  <c r="DA161" i="1"/>
  <c r="DA32" i="1"/>
  <c r="DA160" i="1"/>
  <c r="DA42" i="1"/>
  <c r="DA39" i="1" s="1"/>
  <c r="DA28" i="1"/>
  <c r="DA162" i="1"/>
  <c r="CK136" i="1"/>
  <c r="CL223" i="1" s="1"/>
  <c r="CL221" i="1" s="1"/>
  <c r="CX35" i="1"/>
  <c r="CX44" i="1"/>
  <c r="CX34" i="1"/>
  <c r="AC198" i="1"/>
  <c r="AC173" i="1"/>
  <c r="AC212" i="1"/>
  <c r="AC214" i="1" s="1"/>
  <c r="AC50" i="1"/>
  <c r="AC76" i="1"/>
  <c r="AC45" i="1"/>
  <c r="AC128" i="1"/>
  <c r="DB26" i="1"/>
  <c r="DB241" i="1" s="1"/>
  <c r="DB247" i="1"/>
  <c r="CW173" i="1"/>
  <c r="CW212" i="1"/>
  <c r="CW214" i="1" s="1"/>
  <c r="AD160" i="1"/>
  <c r="CX164" i="1"/>
  <c r="AD74" i="1"/>
  <c r="AD27" i="1"/>
  <c r="CW50" i="1"/>
  <c r="CW46" i="1"/>
  <c r="CW248" i="1"/>
  <c r="CW249" i="1" s="1"/>
  <c r="CW47" i="1"/>
  <c r="CW45" i="1"/>
  <c r="CW128" i="1"/>
  <c r="CX31" i="1"/>
  <c r="AD31" i="1" s="1"/>
  <c r="AD32" i="1" s="1"/>
  <c r="AE24" i="1"/>
  <c r="AE269" i="1" s="1"/>
  <c r="CY173" i="1" l="1"/>
  <c r="CK70" i="1"/>
  <c r="CK108" i="1"/>
  <c r="CY266" i="1"/>
  <c r="CY267" i="1" s="1"/>
  <c r="CY50" i="1"/>
  <c r="CY46" i="1"/>
  <c r="CY45" i="1"/>
  <c r="CZ212" i="1"/>
  <c r="CZ214" i="1" s="1"/>
  <c r="CZ173" i="1"/>
  <c r="CZ266" i="1"/>
  <c r="CZ267" i="1" s="1"/>
  <c r="CZ45" i="1"/>
  <c r="CZ248" i="1"/>
  <c r="CZ249" i="1" s="1"/>
  <c r="CZ47" i="1"/>
  <c r="CZ50" i="1"/>
  <c r="CZ46" i="1"/>
  <c r="AD34" i="1"/>
  <c r="CZ128" i="1"/>
  <c r="CX266" i="1"/>
  <c r="CX267" i="1" s="1"/>
  <c r="CY242" i="1"/>
  <c r="CY47" i="1"/>
  <c r="CZ242" i="1"/>
  <c r="CX242" i="1"/>
  <c r="CY128" i="1"/>
  <c r="CX128" i="1"/>
  <c r="DA164" i="1"/>
  <c r="DA212" i="1" s="1"/>
  <c r="AD33" i="1"/>
  <c r="AD75" i="1"/>
  <c r="AD44" i="1"/>
  <c r="AD266" i="1" s="1"/>
  <c r="AD267" i="1" s="1"/>
  <c r="CY212" i="1"/>
  <c r="CX173" i="1"/>
  <c r="CY213" i="1"/>
  <c r="CX213" i="1"/>
  <c r="AD201" i="1"/>
  <c r="AD200" i="1" s="1"/>
  <c r="AD213" i="1"/>
  <c r="CG105" i="1"/>
  <c r="DA35" i="1"/>
  <c r="DA34" i="1"/>
  <c r="DA44" i="1"/>
  <c r="DA266" i="1" s="1"/>
  <c r="DA267" i="1" s="1"/>
  <c r="CX212" i="1"/>
  <c r="CX50" i="1"/>
  <c r="CX46" i="1"/>
  <c r="CX45" i="1"/>
  <c r="CX248" i="1"/>
  <c r="CX249" i="1" s="1"/>
  <c r="CX47" i="1"/>
  <c r="AD195" i="1"/>
  <c r="AD164" i="1"/>
  <c r="CK223" i="1"/>
  <c r="CK221" i="1" s="1"/>
  <c r="CK226" i="1" s="1"/>
  <c r="CK145" i="1"/>
  <c r="CK71" i="1" s="1"/>
  <c r="AC197" i="1"/>
  <c r="AC202" i="1"/>
  <c r="AC205" i="1" s="1"/>
  <c r="AC206" i="1" s="1"/>
  <c r="DA31" i="1"/>
  <c r="DB161" i="1"/>
  <c r="AE161" i="1" s="1"/>
  <c r="AE196" i="1" s="1"/>
  <c r="DB32" i="1"/>
  <c r="DB31" i="1" s="1"/>
  <c r="DB160" i="1"/>
  <c r="DB42" i="1"/>
  <c r="DB39" i="1" s="1"/>
  <c r="DB169" i="1"/>
  <c r="AE169" i="1" s="1"/>
  <c r="AE199" i="1" s="1"/>
  <c r="DB28" i="1"/>
  <c r="DB162" i="1"/>
  <c r="AE162" i="1" s="1"/>
  <c r="DB168" i="1"/>
  <c r="AE26" i="1"/>
  <c r="DA172" i="1"/>
  <c r="CK112" i="1" l="1"/>
  <c r="CK111" i="1"/>
  <c r="CK110" i="1"/>
  <c r="AE39" i="1"/>
  <c r="AE42" i="1" s="1"/>
  <c r="AE43" i="1" s="1"/>
  <c r="AE114" i="1"/>
  <c r="AE204" i="1"/>
  <c r="AD46" i="1"/>
  <c r="DA173" i="1"/>
  <c r="CK176" i="1"/>
  <c r="CK177" i="1" s="1"/>
  <c r="CL225" i="1" s="1"/>
  <c r="CL226" i="1" s="1"/>
  <c r="CL227" i="1" s="1"/>
  <c r="DB35" i="1"/>
  <c r="DB44" i="1"/>
  <c r="DB266" i="1" s="1"/>
  <c r="DB267" i="1" s="1"/>
  <c r="DB34" i="1"/>
  <c r="CX214" i="1"/>
  <c r="CY214" i="1"/>
  <c r="AD173" i="1"/>
  <c r="AD198" i="1"/>
  <c r="AD212" i="1"/>
  <c r="AD214" i="1" s="1"/>
  <c r="DB164" i="1"/>
  <c r="AE160" i="1"/>
  <c r="DA50" i="1"/>
  <c r="DA45" i="1"/>
  <c r="DA46" i="1"/>
  <c r="DA47" i="1"/>
  <c r="DA248" i="1"/>
  <c r="DA249" i="1" s="1"/>
  <c r="AD50" i="1"/>
  <c r="AD45" i="1"/>
  <c r="AD128" i="1"/>
  <c r="AD76" i="1"/>
  <c r="AE27" i="1"/>
  <c r="AE74" i="1"/>
  <c r="AE31" i="1"/>
  <c r="AE32" i="1" s="1"/>
  <c r="AE34" i="1" s="1"/>
  <c r="DA128" i="1"/>
  <c r="DA242" i="1"/>
  <c r="AE168" i="1"/>
  <c r="AE172" i="1" s="1"/>
  <c r="DB172" i="1"/>
  <c r="DB213" i="1" s="1"/>
  <c r="DA213" i="1"/>
  <c r="DA214" i="1" s="1"/>
  <c r="CK227" i="1" l="1"/>
  <c r="CK264" i="1"/>
  <c r="CK260" i="1"/>
  <c r="CK262" i="1"/>
  <c r="AE44" i="1"/>
  <c r="AE33" i="1"/>
  <c r="AE75" i="1"/>
  <c r="DB50" i="1"/>
  <c r="DB47" i="1"/>
  <c r="DB248" i="1"/>
  <c r="DB249" i="1" s="1"/>
  <c r="DB45" i="1"/>
  <c r="DB46" i="1"/>
  <c r="DB128" i="1"/>
  <c r="AD202" i="1"/>
  <c r="AD205" i="1" s="1"/>
  <c r="AD206" i="1" s="1"/>
  <c r="AD197" i="1"/>
  <c r="AE164" i="1"/>
  <c r="AE195" i="1"/>
  <c r="CK181" i="1"/>
  <c r="CK184" i="1"/>
  <c r="DB173" i="1"/>
  <c r="DB212" i="1"/>
  <c r="DB214" i="1" s="1"/>
  <c r="AE201" i="1"/>
  <c r="AE200" i="1" s="1"/>
  <c r="AE213" i="1"/>
  <c r="DB242" i="1"/>
  <c r="CK125" i="1" l="1"/>
  <c r="CK126" i="1" s="1"/>
  <c r="CK129" i="1" s="1"/>
  <c r="CL53" i="1"/>
  <c r="AE46" i="1"/>
  <c r="AE266" i="1"/>
  <c r="AE267" i="1" s="1"/>
  <c r="CK182" i="1"/>
  <c r="AE173" i="1"/>
  <c r="AE198" i="1"/>
  <c r="AE212" i="1"/>
  <c r="AE214" i="1" s="1"/>
  <c r="AE50" i="1"/>
  <c r="AE45" i="1"/>
  <c r="AE76" i="1"/>
  <c r="AE128" i="1"/>
  <c r="CK127" i="1" l="1"/>
  <c r="CK130" i="1" s="1"/>
  <c r="AE202" i="1"/>
  <c r="AE205" i="1" s="1"/>
  <c r="AE206" i="1" s="1"/>
  <c r="AE197" i="1"/>
  <c r="CM103" i="1" l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H105" i="1"/>
  <c r="CM102" i="1" l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M225" i="1" l="1"/>
  <c r="AB225" i="1"/>
  <c r="CM52" i="1" l="1"/>
  <c r="CM268" i="1" s="1"/>
  <c r="CM54" i="1" l="1"/>
  <c r="CM55" i="1" l="1"/>
  <c r="CM57" i="1" l="1"/>
  <c r="CM59" i="1" l="1"/>
  <c r="CM60" i="1"/>
  <c r="CM250" i="1"/>
  <c r="CM64" i="1"/>
  <c r="CM58" i="1"/>
  <c r="CM261" i="1" s="1"/>
  <c r="CM243" i="1"/>
  <c r="CM209" i="1" l="1"/>
  <c r="CM211" i="1" s="1"/>
  <c r="CM215" i="1" s="1"/>
  <c r="CM229" i="1" s="1"/>
  <c r="CM82" i="1"/>
  <c r="CM135" i="1"/>
  <c r="CM136" i="1" l="1"/>
  <c r="CM85" i="1"/>
  <c r="CM86" i="1" l="1"/>
  <c r="CM94" i="1"/>
  <c r="CI105" i="1"/>
  <c r="CM101" i="1"/>
  <c r="CM95" i="1"/>
  <c r="CM145" i="1"/>
  <c r="CM71" i="1" s="1"/>
  <c r="CM108" i="1"/>
  <c r="CM110" i="1" s="1"/>
  <c r="CM223" i="1"/>
  <c r="CM221" i="1" s="1"/>
  <c r="CM226" i="1" s="1"/>
  <c r="CM70" i="1"/>
  <c r="CM176" i="1" l="1"/>
  <c r="CM177" i="1" s="1"/>
  <c r="CM98" i="1"/>
  <c r="CM124" i="1"/>
  <c r="CM97" i="1"/>
  <c r="CM123" i="1"/>
  <c r="CM227" i="1" l="1"/>
  <c r="CM264" i="1"/>
  <c r="CM262" i="1"/>
  <c r="CM260" i="1"/>
  <c r="CN225" i="1"/>
  <c r="CM181" i="1"/>
  <c r="CM184" i="1"/>
  <c r="CM182" i="1" l="1"/>
  <c r="CN52" i="1"/>
  <c r="CN268" i="1" s="1"/>
  <c r="CM125" i="1"/>
  <c r="CM126" i="1" l="1"/>
  <c r="CM129" i="1" s="1"/>
  <c r="CM127" i="1"/>
  <c r="CM130" i="1" s="1"/>
  <c r="CN54" i="1"/>
  <c r="CN55" i="1" l="1"/>
  <c r="CN57" i="1" s="1"/>
  <c r="CN59" i="1" l="1"/>
  <c r="CN60" i="1"/>
  <c r="CN64" i="1"/>
  <c r="CN250" i="1"/>
  <c r="CN58" i="1"/>
  <c r="CN261" i="1" s="1"/>
  <c r="CN243" i="1"/>
  <c r="CN82" i="1" l="1"/>
  <c r="CN209" i="1"/>
  <c r="CN211" i="1" s="1"/>
  <c r="CN215" i="1" s="1"/>
  <c r="CN229" i="1" s="1"/>
  <c r="CN135" i="1"/>
  <c r="CN85" i="1" l="1"/>
  <c r="CN136" i="1"/>
  <c r="CN86" i="1" l="1"/>
  <c r="CN145" i="1"/>
  <c r="CN71" i="1" s="1"/>
  <c r="CN223" i="1"/>
  <c r="CN221" i="1" s="1"/>
  <c r="CN226" i="1" s="1"/>
  <c r="CN108" i="1"/>
  <c r="CN110" i="1" s="1"/>
  <c r="CN70" i="1"/>
  <c r="CN101" i="1"/>
  <c r="CN94" i="1"/>
  <c r="CN95" i="1"/>
  <c r="CJ105" i="1"/>
  <c r="CN97" i="1" l="1"/>
  <c r="CN123" i="1"/>
  <c r="CN176" i="1"/>
  <c r="CN177" i="1" s="1"/>
  <c r="CN124" i="1"/>
  <c r="CN98" i="1"/>
  <c r="CN227" i="1" l="1"/>
  <c r="CN264" i="1"/>
  <c r="CN262" i="1"/>
  <c r="CN260" i="1"/>
  <c r="CN181" i="1"/>
  <c r="CN184" i="1"/>
  <c r="CO225" i="1"/>
  <c r="CN182" i="1" l="1"/>
  <c r="CO52" i="1"/>
  <c r="CO268" i="1" s="1"/>
  <c r="CN125" i="1"/>
  <c r="CO54" i="1" l="1"/>
  <c r="CN127" i="1"/>
  <c r="CN130" i="1" s="1"/>
  <c r="CN126" i="1"/>
  <c r="CN129" i="1" s="1"/>
  <c r="CO55" i="1" l="1"/>
  <c r="CO57" i="1" l="1"/>
  <c r="CO58" i="1" l="1"/>
  <c r="CO261" i="1" s="1"/>
  <c r="CO60" i="1"/>
  <c r="CO59" i="1"/>
  <c r="CO250" i="1"/>
  <c r="CO64" i="1"/>
  <c r="CO243" i="1"/>
  <c r="CO82" i="1" l="1"/>
  <c r="CO209" i="1"/>
  <c r="CO211" i="1" s="1"/>
  <c r="CO215" i="1" s="1"/>
  <c r="CO229" i="1" s="1"/>
  <c r="CO135" i="1"/>
  <c r="CO136" i="1" l="1"/>
  <c r="CO85" i="1"/>
  <c r="CK105" i="1" s="1"/>
  <c r="CO86" i="1" l="1"/>
  <c r="CO95" i="1"/>
  <c r="CO101" i="1"/>
  <c r="CO94" i="1"/>
  <c r="CO108" i="1"/>
  <c r="CO110" i="1" s="1"/>
  <c r="CO223" i="1"/>
  <c r="CO221" i="1" s="1"/>
  <c r="CO226" i="1" s="1"/>
  <c r="CO145" i="1"/>
  <c r="CO71" i="1" s="1"/>
  <c r="CO70" i="1"/>
  <c r="CO176" i="1" l="1"/>
  <c r="CO177" i="1" s="1"/>
  <c r="CO97" i="1"/>
  <c r="CO123" i="1"/>
  <c r="CO124" i="1"/>
  <c r="CO98" i="1"/>
  <c r="CO227" i="1" l="1"/>
  <c r="CO262" i="1"/>
  <c r="CO260" i="1"/>
  <c r="CO264" i="1"/>
  <c r="CO181" i="1"/>
  <c r="CO184" i="1"/>
  <c r="CP225" i="1"/>
  <c r="CP52" i="1" l="1"/>
  <c r="CP268" i="1" s="1"/>
  <c r="CO125" i="1"/>
  <c r="CO182" i="1"/>
  <c r="CO127" i="1" l="1"/>
  <c r="CO130" i="1" s="1"/>
  <c r="CO126" i="1"/>
  <c r="CO129" i="1" s="1"/>
  <c r="CP54" i="1"/>
  <c r="AB52" i="1"/>
  <c r="AB53" i="1" l="1"/>
  <c r="AB268" i="1"/>
  <c r="AB54" i="1"/>
  <c r="CP55" i="1"/>
  <c r="AB55" i="1" s="1"/>
  <c r="AB56" i="1" l="1"/>
  <c r="CP57" i="1"/>
  <c r="CP58" i="1" s="1"/>
  <c r="CP261" i="1" s="1"/>
  <c r="AB57" i="1"/>
  <c r="CP59" i="1" l="1"/>
  <c r="CP243" i="1"/>
  <c r="CP250" i="1"/>
  <c r="CP64" i="1"/>
  <c r="CP135" i="1" s="1"/>
  <c r="CP60" i="1"/>
  <c r="AB59" i="1"/>
  <c r="AB64" i="1"/>
  <c r="AB58" i="1"/>
  <c r="AB261" i="1" s="1"/>
  <c r="AB77" i="1"/>
  <c r="CP209" i="1" l="1"/>
  <c r="CP211" i="1" s="1"/>
  <c r="CP215" i="1" s="1"/>
  <c r="CP229" i="1" s="1"/>
  <c r="CP82" i="1"/>
  <c r="CP85" i="1" s="1"/>
  <c r="CL105" i="1" s="1"/>
  <c r="AB135" i="1"/>
  <c r="AB136" i="1" s="1"/>
  <c r="AB70" i="1" s="1"/>
  <c r="CP136" i="1"/>
  <c r="AB67" i="1"/>
  <c r="AB68" i="1" s="1"/>
  <c r="AB209" i="1"/>
  <c r="AB211" i="1" s="1"/>
  <c r="AB215" i="1" s="1"/>
  <c r="AB229" i="1" s="1"/>
  <c r="CP88" i="1" l="1"/>
  <c r="CP86" i="1"/>
  <c r="AB145" i="1"/>
  <c r="AB71" i="1" s="1"/>
  <c r="AB191" i="1"/>
  <c r="AB223" i="1"/>
  <c r="AB221" i="1" s="1"/>
  <c r="AB226" i="1" s="1"/>
  <c r="CP94" i="1"/>
  <c r="CP101" i="1"/>
  <c r="CP95" i="1"/>
  <c r="CP223" i="1"/>
  <c r="CP221" i="1" s="1"/>
  <c r="CP226" i="1" s="1"/>
  <c r="CP145" i="1"/>
  <c r="CP71" i="1" s="1"/>
  <c r="CP108" i="1"/>
  <c r="CP110" i="1" s="1"/>
  <c r="CP70" i="1"/>
  <c r="CP176" i="1" l="1"/>
  <c r="CP97" i="1"/>
  <c r="CP123" i="1"/>
  <c r="AB94" i="1"/>
  <c r="CP124" i="1"/>
  <c r="CP98" i="1"/>
  <c r="AB95" i="1"/>
  <c r="AB98" i="1" l="1"/>
  <c r="CP177" i="1"/>
  <c r="AB176" i="1"/>
  <c r="AB177" i="1" s="1"/>
  <c r="AB97" i="1"/>
  <c r="AB264" i="1" l="1"/>
  <c r="AB262" i="1"/>
  <c r="AB260" i="1"/>
  <c r="CP262" i="1"/>
  <c r="CP260" i="1"/>
  <c r="CP264" i="1"/>
  <c r="CP181" i="1"/>
  <c r="CQ225" i="1"/>
  <c r="CP184" i="1"/>
  <c r="CP227" i="1"/>
  <c r="AB184" i="1"/>
  <c r="AB125" i="1" s="1"/>
  <c r="AB181" i="1"/>
  <c r="AC225" i="1"/>
  <c r="AB227" i="1"/>
  <c r="AB182" i="1" l="1"/>
  <c r="CP125" i="1"/>
  <c r="CQ52" i="1"/>
  <c r="CQ268" i="1" s="1"/>
  <c r="CP182" i="1"/>
  <c r="CQ54" i="1" l="1"/>
  <c r="CP126" i="1"/>
  <c r="CP129" i="1" s="1"/>
  <c r="CP127" i="1"/>
  <c r="CP130" i="1" s="1"/>
  <c r="CQ55" i="1" l="1"/>
  <c r="CQ57" i="1" s="1"/>
  <c r="CQ64" i="1" l="1"/>
  <c r="CQ58" i="1"/>
  <c r="CQ261" i="1" s="1"/>
  <c r="CQ59" i="1"/>
  <c r="CQ60" i="1"/>
  <c r="CQ250" i="1"/>
  <c r="CQ243" i="1"/>
  <c r="CQ82" i="1" l="1"/>
  <c r="CQ209" i="1"/>
  <c r="CQ211" i="1" s="1"/>
  <c r="CQ215" i="1" s="1"/>
  <c r="CQ229" i="1" s="1"/>
  <c r="CQ135" i="1"/>
  <c r="CQ136" i="1" l="1"/>
  <c r="CQ85" i="1"/>
  <c r="CQ86" i="1" l="1"/>
  <c r="CQ95" i="1"/>
  <c r="CQ94" i="1"/>
  <c r="CQ101" i="1"/>
  <c r="CQ145" i="1"/>
  <c r="CQ71" i="1" s="1"/>
  <c r="CQ223" i="1"/>
  <c r="CQ221" i="1" s="1"/>
  <c r="CQ226" i="1" s="1"/>
  <c r="CQ108" i="1"/>
  <c r="CQ110" i="1" s="1"/>
  <c r="CQ70" i="1"/>
  <c r="CQ176" i="1" l="1"/>
  <c r="CQ177" i="1" s="1"/>
  <c r="CQ227" i="1" s="1"/>
  <c r="CQ123" i="1"/>
  <c r="CQ97" i="1"/>
  <c r="CQ124" i="1"/>
  <c r="CQ98" i="1"/>
  <c r="CQ264" i="1" l="1"/>
  <c r="CQ262" i="1"/>
  <c r="CQ260" i="1"/>
  <c r="CQ184" i="1"/>
  <c r="CR225" i="1"/>
  <c r="CQ181" i="1"/>
  <c r="CQ182" i="1" l="1"/>
  <c r="CQ125" i="1"/>
  <c r="CR52" i="1"/>
  <c r="CR268" i="1" s="1"/>
  <c r="CR54" i="1" l="1"/>
  <c r="CQ126" i="1"/>
  <c r="CQ129" i="1" s="1"/>
  <c r="CQ127" i="1"/>
  <c r="CQ130" i="1" s="1"/>
  <c r="CR55" i="1" l="1"/>
  <c r="CR57" i="1" s="1"/>
  <c r="CR250" i="1" l="1"/>
  <c r="CR58" i="1"/>
  <c r="CR261" i="1" s="1"/>
  <c r="CR64" i="1"/>
  <c r="CR59" i="1"/>
  <c r="CR60" i="1"/>
  <c r="CR243" i="1"/>
  <c r="CR82" i="1" l="1"/>
  <c r="CR209" i="1"/>
  <c r="CR211" i="1" s="1"/>
  <c r="CR215" i="1" s="1"/>
  <c r="CR229" i="1" s="1"/>
  <c r="CR135" i="1"/>
  <c r="CR136" i="1" l="1"/>
  <c r="CR85" i="1"/>
  <c r="CR86" i="1" l="1"/>
  <c r="CR101" i="1"/>
  <c r="CR94" i="1"/>
  <c r="CR95" i="1"/>
  <c r="CR145" i="1"/>
  <c r="CR71" i="1" s="1"/>
  <c r="CR223" i="1"/>
  <c r="CR221" i="1" s="1"/>
  <c r="CR226" i="1" s="1"/>
  <c r="CR108" i="1"/>
  <c r="CR110" i="1" s="1"/>
  <c r="CR70" i="1"/>
  <c r="CR176" i="1" l="1"/>
  <c r="CR177" i="1" s="1"/>
  <c r="CR124" i="1"/>
  <c r="CR98" i="1"/>
  <c r="CR123" i="1"/>
  <c r="CR97" i="1"/>
  <c r="CR264" i="1" l="1"/>
  <c r="CR262" i="1"/>
  <c r="CR260" i="1"/>
  <c r="CS225" i="1"/>
  <c r="CR184" i="1"/>
  <c r="CR181" i="1"/>
  <c r="CR227" i="1"/>
  <c r="CR182" i="1" l="1"/>
  <c r="CR125" i="1"/>
  <c r="CS52" i="1"/>
  <c r="CS268" i="1" s="1"/>
  <c r="CS54" i="1" l="1"/>
  <c r="CR126" i="1"/>
  <c r="CR129" i="1" s="1"/>
  <c r="CR127" i="1"/>
  <c r="CR130" i="1" s="1"/>
  <c r="CS55" i="1" l="1"/>
  <c r="CS57" i="1" l="1"/>
  <c r="CS64" i="1" l="1"/>
  <c r="CS60" i="1"/>
  <c r="CS250" i="1"/>
  <c r="CS59" i="1"/>
  <c r="CS58" i="1"/>
  <c r="CS261" i="1" s="1"/>
  <c r="CS243" i="1"/>
  <c r="CS82" i="1" l="1"/>
  <c r="CS209" i="1"/>
  <c r="CS211" i="1" s="1"/>
  <c r="CS215" i="1" s="1"/>
  <c r="CS229" i="1" s="1"/>
  <c r="CS135" i="1"/>
  <c r="CS136" i="1" l="1"/>
  <c r="CS85" i="1"/>
  <c r="CS86" i="1" l="1"/>
  <c r="CS94" i="1"/>
  <c r="CS95" i="1"/>
  <c r="CS101" i="1"/>
  <c r="CS145" i="1"/>
  <c r="CS71" i="1" s="1"/>
  <c r="CS108" i="1"/>
  <c r="CS110" i="1" s="1"/>
  <c r="CS223" i="1"/>
  <c r="CS221" i="1" s="1"/>
  <c r="CS226" i="1" s="1"/>
  <c r="CS70" i="1"/>
  <c r="CS176" i="1" l="1"/>
  <c r="CS177" i="1" s="1"/>
  <c r="CS124" i="1"/>
  <c r="CS98" i="1"/>
  <c r="CS123" i="1"/>
  <c r="CS97" i="1"/>
  <c r="CS262" i="1" l="1"/>
  <c r="CS264" i="1"/>
  <c r="CS260" i="1"/>
  <c r="CT225" i="1"/>
  <c r="CS181" i="1"/>
  <c r="CS184" i="1"/>
  <c r="CS227" i="1"/>
  <c r="CT52" i="1" l="1"/>
  <c r="CT268" i="1" s="1"/>
  <c r="CS125" i="1"/>
  <c r="CS182" i="1"/>
  <c r="CS127" i="1" l="1"/>
  <c r="CS130" i="1" s="1"/>
  <c r="CS126" i="1"/>
  <c r="CS129" i="1" s="1"/>
  <c r="CT54" i="1"/>
  <c r="AC52" i="1"/>
  <c r="AC53" i="1" l="1"/>
  <c r="AC268" i="1"/>
  <c r="AC54" i="1"/>
  <c r="CT55" i="1"/>
  <c r="AC55" i="1" s="1"/>
  <c r="AC56" i="1" l="1"/>
  <c r="CT57" i="1"/>
  <c r="CT60" i="1" s="1"/>
  <c r="AC57" i="1"/>
  <c r="CT59" i="1" l="1"/>
  <c r="CT64" i="1"/>
  <c r="CT250" i="1"/>
  <c r="CT243" i="1"/>
  <c r="CT58" i="1"/>
  <c r="CT261" i="1" s="1"/>
  <c r="AC59" i="1"/>
  <c r="AC58" i="1"/>
  <c r="AC261" i="1" s="1"/>
  <c r="AC77" i="1"/>
  <c r="AC64" i="1"/>
  <c r="CT135" i="1" l="1"/>
  <c r="CT82" i="1"/>
  <c r="CT85" i="1" s="1"/>
  <c r="CT88" i="1" s="1"/>
  <c r="CT209" i="1"/>
  <c r="CT211" i="1" s="1"/>
  <c r="CT215" i="1" s="1"/>
  <c r="CT229" i="1" s="1"/>
  <c r="AC67" i="1"/>
  <c r="AC68" i="1" s="1"/>
  <c r="AC209" i="1"/>
  <c r="AC211" i="1" s="1"/>
  <c r="AC215" i="1" s="1"/>
  <c r="AC229" i="1" s="1"/>
  <c r="CT136" i="1" l="1"/>
  <c r="AC135" i="1"/>
  <c r="AC136" i="1" s="1"/>
  <c r="AC145" i="1" s="1"/>
  <c r="AC71" i="1" s="1"/>
  <c r="CT86" i="1"/>
  <c r="CT101" i="1"/>
  <c r="CT94" i="1"/>
  <c r="CT95" i="1"/>
  <c r="CT145" i="1" l="1"/>
  <c r="CT71" i="1" s="1"/>
  <c r="CT108" i="1"/>
  <c r="CT110" i="1" s="1"/>
  <c r="CT223" i="1"/>
  <c r="CT221" i="1" s="1"/>
  <c r="CT226" i="1" s="1"/>
  <c r="CT176" i="1" s="1"/>
  <c r="CT70" i="1"/>
  <c r="AC70" i="1"/>
  <c r="AC223" i="1"/>
  <c r="AC221" i="1" s="1"/>
  <c r="AC226" i="1" s="1"/>
  <c r="AC191" i="1"/>
  <c r="CT123" i="1"/>
  <c r="CT97" i="1"/>
  <c r="AC94" i="1"/>
  <c r="CT124" i="1"/>
  <c r="CT98" i="1"/>
  <c r="AC95" i="1"/>
  <c r="AC97" i="1" l="1"/>
  <c r="CT177" i="1"/>
  <c r="AC176" i="1"/>
  <c r="AC177" i="1" s="1"/>
  <c r="AC98" i="1"/>
  <c r="CT262" i="1" l="1"/>
  <c r="CT264" i="1"/>
  <c r="CT260" i="1"/>
  <c r="AC264" i="1"/>
  <c r="AC262" i="1"/>
  <c r="AC260" i="1"/>
  <c r="CU225" i="1"/>
  <c r="CT181" i="1"/>
  <c r="CT184" i="1"/>
  <c r="CT227" i="1"/>
  <c r="AD225" i="1"/>
  <c r="AC184" i="1"/>
  <c r="AC125" i="1" s="1"/>
  <c r="AC181" i="1"/>
  <c r="AC227" i="1"/>
  <c r="AC182" i="1" l="1"/>
  <c r="CT182" i="1"/>
  <c r="CT125" i="1"/>
  <c r="CU52" i="1"/>
  <c r="CU268" i="1" s="1"/>
  <c r="CU54" i="1" l="1"/>
  <c r="CT126" i="1"/>
  <c r="CT129" i="1" s="1"/>
  <c r="CT127" i="1"/>
  <c r="CT130" i="1" s="1"/>
  <c r="CU55" i="1" l="1"/>
  <c r="CU57" i="1" s="1"/>
  <c r="CU58" i="1" l="1"/>
  <c r="CU261" i="1" s="1"/>
  <c r="CU59" i="1"/>
  <c r="CU60" i="1"/>
  <c r="CU64" i="1"/>
  <c r="CU250" i="1"/>
  <c r="CU243" i="1"/>
  <c r="CU209" i="1" l="1"/>
  <c r="CU211" i="1" s="1"/>
  <c r="CU215" i="1" s="1"/>
  <c r="CU229" i="1" s="1"/>
  <c r="CU82" i="1"/>
  <c r="CU135" i="1"/>
  <c r="CU136" i="1" l="1"/>
  <c r="CU85" i="1"/>
  <c r="CU86" i="1" l="1"/>
  <c r="CU101" i="1"/>
  <c r="CU95" i="1"/>
  <c r="CU94" i="1"/>
  <c r="CU145" i="1"/>
  <c r="CU71" i="1" s="1"/>
  <c r="CU223" i="1"/>
  <c r="CU221" i="1" s="1"/>
  <c r="CU226" i="1" s="1"/>
  <c r="CU108" i="1"/>
  <c r="CU110" i="1" s="1"/>
  <c r="CU70" i="1"/>
  <c r="CU176" i="1" l="1"/>
  <c r="CU177" i="1" s="1"/>
  <c r="CU123" i="1"/>
  <c r="CU97" i="1"/>
  <c r="CU124" i="1"/>
  <c r="CU98" i="1"/>
  <c r="CU264" i="1" l="1"/>
  <c r="CU260" i="1"/>
  <c r="CU262" i="1"/>
  <c r="CU181" i="1"/>
  <c r="CU184" i="1"/>
  <c r="CV225" i="1"/>
  <c r="CU227" i="1"/>
  <c r="CU182" i="1" l="1"/>
  <c r="CV52" i="1"/>
  <c r="CV268" i="1" s="1"/>
  <c r="CU125" i="1"/>
  <c r="CU126" i="1" l="1"/>
  <c r="CU129" i="1" s="1"/>
  <c r="CU127" i="1"/>
  <c r="CU130" i="1" s="1"/>
  <c r="CV54" i="1"/>
  <c r="CV55" i="1" l="1"/>
  <c r="CV57" i="1" l="1"/>
  <c r="CV64" i="1" l="1"/>
  <c r="CV250" i="1"/>
  <c r="CV58" i="1"/>
  <c r="CV261" i="1" s="1"/>
  <c r="CV60" i="1"/>
  <c r="CV59" i="1"/>
  <c r="CV243" i="1"/>
  <c r="CV209" i="1" l="1"/>
  <c r="CV211" i="1" s="1"/>
  <c r="CV215" i="1" s="1"/>
  <c r="CV229" i="1" s="1"/>
  <c r="CV82" i="1"/>
  <c r="CV135" i="1"/>
  <c r="CV136" i="1" l="1"/>
  <c r="CV85" i="1"/>
  <c r="CV86" i="1" l="1"/>
  <c r="CV94" i="1"/>
  <c r="CV95" i="1"/>
  <c r="CV101" i="1"/>
  <c r="CV108" i="1"/>
  <c r="CV110" i="1" s="1"/>
  <c r="CV145" i="1"/>
  <c r="CV71" i="1" s="1"/>
  <c r="CV223" i="1"/>
  <c r="CV221" i="1" s="1"/>
  <c r="CV226" i="1" s="1"/>
  <c r="CV70" i="1"/>
  <c r="CV176" i="1" l="1"/>
  <c r="CV177" i="1" s="1"/>
  <c r="CV124" i="1"/>
  <c r="CV98" i="1"/>
  <c r="CV123" i="1"/>
  <c r="CV97" i="1"/>
  <c r="CV262" i="1" l="1"/>
  <c r="CV260" i="1"/>
  <c r="CV264" i="1"/>
  <c r="CV184" i="1"/>
  <c r="CW225" i="1"/>
  <c r="CV181" i="1"/>
  <c r="CV227" i="1"/>
  <c r="CV182" i="1" l="1"/>
  <c r="CV125" i="1"/>
  <c r="CW52" i="1"/>
  <c r="CW268" i="1" s="1"/>
  <c r="CW54" i="1" l="1"/>
  <c r="CV127" i="1"/>
  <c r="CV130" i="1" s="1"/>
  <c r="CV126" i="1"/>
  <c r="CV129" i="1" s="1"/>
  <c r="CW55" i="1" l="1"/>
  <c r="CW57" i="1" l="1"/>
  <c r="CW58" i="1" l="1"/>
  <c r="CW261" i="1" s="1"/>
  <c r="CW60" i="1"/>
  <c r="CW64" i="1"/>
  <c r="CW59" i="1"/>
  <c r="CW250" i="1"/>
  <c r="CW243" i="1"/>
  <c r="CW209" i="1" l="1"/>
  <c r="CW211" i="1" s="1"/>
  <c r="CW215" i="1" s="1"/>
  <c r="CW229" i="1" s="1"/>
  <c r="CW82" i="1"/>
  <c r="CW135" i="1"/>
  <c r="CW136" i="1" l="1"/>
  <c r="CW85" i="1"/>
  <c r="CW86" i="1" l="1"/>
  <c r="CW101" i="1"/>
  <c r="CW95" i="1"/>
  <c r="CW94" i="1"/>
  <c r="CW223" i="1"/>
  <c r="CW221" i="1" s="1"/>
  <c r="CW226" i="1" s="1"/>
  <c r="CW145" i="1"/>
  <c r="CW71" i="1" s="1"/>
  <c r="CW108" i="1"/>
  <c r="CW110" i="1" s="1"/>
  <c r="CW70" i="1"/>
  <c r="CW176" i="1" l="1"/>
  <c r="CW177" i="1" s="1"/>
  <c r="CW123" i="1"/>
  <c r="CW97" i="1"/>
  <c r="CW124" i="1"/>
  <c r="CW98" i="1"/>
  <c r="CW262" i="1" l="1"/>
  <c r="CW260" i="1"/>
  <c r="CW264" i="1"/>
  <c r="CW181" i="1"/>
  <c r="CX225" i="1"/>
  <c r="CW184" i="1"/>
  <c r="CW227" i="1"/>
  <c r="CX52" i="1" l="1"/>
  <c r="CX268" i="1" s="1"/>
  <c r="CW125" i="1"/>
  <c r="CW182" i="1"/>
  <c r="CW126" i="1" l="1"/>
  <c r="CW129" i="1" s="1"/>
  <c r="CW127" i="1"/>
  <c r="CW130" i="1" s="1"/>
  <c r="CX54" i="1"/>
  <c r="AD52" i="1"/>
  <c r="AD53" i="1" l="1"/>
  <c r="AD268" i="1"/>
  <c r="AD54" i="1"/>
  <c r="CX55" i="1"/>
  <c r="AD55" i="1" s="1"/>
  <c r="AD56" i="1" l="1"/>
  <c r="CX57" i="1"/>
  <c r="CX243" i="1" s="1"/>
  <c r="AD57" i="1"/>
  <c r="CX60" i="1" l="1"/>
  <c r="CX250" i="1"/>
  <c r="CX64" i="1"/>
  <c r="CX58" i="1"/>
  <c r="CX261" i="1" s="1"/>
  <c r="CX59" i="1"/>
  <c r="AD59" i="1"/>
  <c r="AD77" i="1"/>
  <c r="AD64" i="1"/>
  <c r="AD58" i="1"/>
  <c r="AD261" i="1" s="1"/>
  <c r="CX82" i="1" l="1"/>
  <c r="CX85" i="1" s="1"/>
  <c r="CX209" i="1"/>
  <c r="CX211" i="1" s="1"/>
  <c r="CX215" i="1" s="1"/>
  <c r="CX229" i="1" s="1"/>
  <c r="CX135" i="1"/>
  <c r="AD67" i="1"/>
  <c r="AD68" i="1" s="1"/>
  <c r="AD209" i="1"/>
  <c r="AD211" i="1" s="1"/>
  <c r="AD215" i="1" s="1"/>
  <c r="AD229" i="1" s="1"/>
  <c r="AD135" i="1" l="1"/>
  <c r="AD136" i="1" s="1"/>
  <c r="CX136" i="1"/>
  <c r="CX223" i="1" s="1"/>
  <c r="CX221" i="1" s="1"/>
  <c r="CX226" i="1" s="1"/>
  <c r="CX86" i="1"/>
  <c r="CX94" i="1"/>
  <c r="CX101" i="1"/>
  <c r="CX95" i="1"/>
  <c r="AD191" i="1" l="1"/>
  <c r="AD145" i="1"/>
  <c r="AD71" i="1" s="1"/>
  <c r="AD70" i="1"/>
  <c r="AD223" i="1"/>
  <c r="AD221" i="1" s="1"/>
  <c r="AD226" i="1" s="1"/>
  <c r="CX145" i="1"/>
  <c r="CX71" i="1" s="1"/>
  <c r="CX108" i="1"/>
  <c r="CX110" i="1" s="1"/>
  <c r="CX70" i="1"/>
  <c r="CX176" i="1"/>
  <c r="CX98" i="1"/>
  <c r="CX124" i="1"/>
  <c r="AD95" i="1"/>
  <c r="CX123" i="1"/>
  <c r="CX97" i="1"/>
  <c r="AD94" i="1"/>
  <c r="AD98" i="1" l="1"/>
  <c r="AD97" i="1"/>
  <c r="CX177" i="1"/>
  <c r="AD176" i="1"/>
  <c r="AD177" i="1" s="1"/>
  <c r="AD264" i="1" l="1"/>
  <c r="AD262" i="1"/>
  <c r="AD260" i="1"/>
  <c r="CX264" i="1"/>
  <c r="CX262" i="1"/>
  <c r="CX260" i="1"/>
  <c r="AE225" i="1"/>
  <c r="AD181" i="1"/>
  <c r="AD184" i="1"/>
  <c r="AD125" i="1" s="1"/>
  <c r="AD227" i="1"/>
  <c r="CY225" i="1"/>
  <c r="CX181" i="1"/>
  <c r="CX184" i="1"/>
  <c r="CX227" i="1"/>
  <c r="AD182" i="1" l="1"/>
  <c r="CX125" i="1"/>
  <c r="CY52" i="1"/>
  <c r="CY268" i="1" s="1"/>
  <c r="CX182" i="1"/>
  <c r="CY54" i="1" l="1"/>
  <c r="CX126" i="1"/>
  <c r="CX129" i="1" s="1"/>
  <c r="CX127" i="1"/>
  <c r="CX130" i="1" s="1"/>
  <c r="CY55" i="1" l="1"/>
  <c r="CY57" i="1" l="1"/>
  <c r="CY58" i="1" l="1"/>
  <c r="CY261" i="1" s="1"/>
  <c r="CY250" i="1"/>
  <c r="CY59" i="1"/>
  <c r="CY60" i="1"/>
  <c r="CY64" i="1"/>
  <c r="CY243" i="1"/>
  <c r="CY82" i="1" l="1"/>
  <c r="CY209" i="1"/>
  <c r="CY211" i="1" s="1"/>
  <c r="CY215" i="1" s="1"/>
  <c r="CY229" i="1" s="1"/>
  <c r="CY135" i="1"/>
  <c r="CY136" i="1" l="1"/>
  <c r="CY85" i="1"/>
  <c r="CY86" i="1" s="1"/>
  <c r="CY94" i="1" l="1"/>
  <c r="CY101" i="1"/>
  <c r="CY95" i="1"/>
  <c r="CY108" i="1"/>
  <c r="CY110" i="1" s="1"/>
  <c r="CY145" i="1"/>
  <c r="CY71" i="1" s="1"/>
  <c r="CY223" i="1"/>
  <c r="CY221" i="1" s="1"/>
  <c r="CY226" i="1" s="1"/>
  <c r="CY70" i="1"/>
  <c r="CY176" i="1" l="1"/>
  <c r="CY177" i="1" s="1"/>
  <c r="CY124" i="1"/>
  <c r="CY98" i="1"/>
  <c r="CY97" i="1"/>
  <c r="CY123" i="1"/>
  <c r="CY227" i="1" l="1"/>
  <c r="CY264" i="1"/>
  <c r="CY262" i="1"/>
  <c r="CY260" i="1"/>
  <c r="CZ225" i="1"/>
  <c r="CY181" i="1"/>
  <c r="CY184" i="1"/>
  <c r="CY182" i="1" l="1"/>
  <c r="CZ52" i="1"/>
  <c r="CZ268" i="1" s="1"/>
  <c r="CY125" i="1"/>
  <c r="CY127" i="1" l="1"/>
  <c r="CY130" i="1" s="1"/>
  <c r="CY126" i="1"/>
  <c r="CY129" i="1" s="1"/>
  <c r="CZ54" i="1"/>
  <c r="CZ55" i="1" l="1"/>
  <c r="CZ57" i="1" l="1"/>
  <c r="CZ250" i="1" l="1"/>
  <c r="CZ59" i="1"/>
  <c r="CZ58" i="1"/>
  <c r="CZ261" i="1" s="1"/>
  <c r="CZ60" i="1"/>
  <c r="CZ64" i="1"/>
  <c r="CZ243" i="1"/>
  <c r="CZ209" i="1" l="1"/>
  <c r="CZ211" i="1" s="1"/>
  <c r="CZ215" i="1" s="1"/>
  <c r="CZ229" i="1" s="1"/>
  <c r="CZ82" i="1"/>
  <c r="CZ135" i="1"/>
  <c r="CZ136" i="1" l="1"/>
  <c r="CZ85" i="1"/>
  <c r="CZ86" i="1" s="1"/>
  <c r="CZ101" i="1" l="1"/>
  <c r="CZ95" i="1"/>
  <c r="CZ94" i="1"/>
  <c r="CZ145" i="1"/>
  <c r="CZ71" i="1" s="1"/>
  <c r="CZ223" i="1"/>
  <c r="CZ221" i="1" s="1"/>
  <c r="CZ226" i="1" s="1"/>
  <c r="CZ108" i="1"/>
  <c r="CZ110" i="1" s="1"/>
  <c r="CZ70" i="1"/>
  <c r="CZ176" i="1" l="1"/>
  <c r="CZ177" i="1" s="1"/>
  <c r="CZ123" i="1"/>
  <c r="CZ97" i="1"/>
  <c r="CZ98" i="1"/>
  <c r="CZ124" i="1"/>
  <c r="CZ262" i="1" l="1"/>
  <c r="CZ260" i="1"/>
  <c r="CZ264" i="1"/>
  <c r="CZ181" i="1"/>
  <c r="CZ184" i="1"/>
  <c r="DA225" i="1"/>
  <c r="CZ227" i="1"/>
  <c r="CZ125" i="1" l="1"/>
  <c r="DA52" i="1"/>
  <c r="DA268" i="1" s="1"/>
  <c r="CZ182" i="1"/>
  <c r="DA54" i="1" l="1"/>
  <c r="CZ126" i="1"/>
  <c r="CZ129" i="1" s="1"/>
  <c r="CZ127" i="1"/>
  <c r="CZ130" i="1" s="1"/>
  <c r="DA55" i="1" l="1"/>
  <c r="DA57" i="1" l="1"/>
  <c r="DA250" i="1" l="1"/>
  <c r="DA64" i="1"/>
  <c r="DA59" i="1"/>
  <c r="DA60" i="1"/>
  <c r="DA58" i="1"/>
  <c r="DA261" i="1" s="1"/>
  <c r="DA243" i="1"/>
  <c r="DA82" i="1" l="1"/>
  <c r="DA209" i="1"/>
  <c r="DA211" i="1" s="1"/>
  <c r="DA215" i="1" s="1"/>
  <c r="DA229" i="1" s="1"/>
  <c r="DA135" i="1"/>
  <c r="DA136" i="1" l="1"/>
  <c r="DA85" i="1"/>
  <c r="DA86" i="1" s="1"/>
  <c r="DA95" i="1" l="1"/>
  <c r="DA94" i="1"/>
  <c r="DA101" i="1"/>
  <c r="DA145" i="1"/>
  <c r="DA71" i="1" s="1"/>
  <c r="DA223" i="1"/>
  <c r="DA221" i="1" s="1"/>
  <c r="DA226" i="1" s="1"/>
  <c r="DA108" i="1"/>
  <c r="DA110" i="1" s="1"/>
  <c r="DA70" i="1"/>
  <c r="DA176" i="1" l="1"/>
  <c r="DA177" i="1" s="1"/>
  <c r="DA123" i="1"/>
  <c r="DA97" i="1"/>
  <c r="DA98" i="1"/>
  <c r="DA124" i="1"/>
  <c r="DA227" i="1" l="1"/>
  <c r="DA264" i="1"/>
  <c r="DA260" i="1"/>
  <c r="DA262" i="1"/>
  <c r="DA184" i="1"/>
  <c r="DB225" i="1"/>
  <c r="DA181" i="1"/>
  <c r="DA182" i="1" l="1"/>
  <c r="DA125" i="1"/>
  <c r="DB52" i="1"/>
  <c r="DB268" i="1" s="1"/>
  <c r="DA127" i="1" l="1"/>
  <c r="DA130" i="1" s="1"/>
  <c r="DA126" i="1"/>
  <c r="DA129" i="1" s="1"/>
  <c r="DB54" i="1"/>
  <c r="AE52" i="1"/>
  <c r="AE53" i="1" l="1"/>
  <c r="AE268" i="1"/>
  <c r="AE54" i="1"/>
  <c r="DB55" i="1"/>
  <c r="AE55" i="1" s="1"/>
  <c r="AE56" i="1" l="1"/>
  <c r="DB57" i="1"/>
  <c r="AE57" i="1"/>
  <c r="AE59" i="1" s="1"/>
  <c r="AE58" i="1" l="1"/>
  <c r="AE261" i="1" s="1"/>
  <c r="AE64" i="1"/>
  <c r="AE77" i="1"/>
  <c r="DB59" i="1"/>
  <c r="DB60" i="1"/>
  <c r="DB250" i="1"/>
  <c r="DB58" i="1"/>
  <c r="DB261" i="1" s="1"/>
  <c r="DB64" i="1"/>
  <c r="DB243" i="1"/>
  <c r="AE67" i="1" l="1"/>
  <c r="AE68" i="1" s="1"/>
  <c r="AE209" i="1"/>
  <c r="AE211" i="1" s="1"/>
  <c r="AE215" i="1" s="1"/>
  <c r="AE229" i="1" s="1"/>
  <c r="DB209" i="1"/>
  <c r="DB211" i="1" s="1"/>
  <c r="DB215" i="1" s="1"/>
  <c r="DB229" i="1" s="1"/>
  <c r="DB82" i="1"/>
  <c r="DB85" i="1" s="1"/>
  <c r="DB86" i="1" s="1"/>
  <c r="DB135" i="1"/>
  <c r="AE135" i="1" l="1"/>
  <c r="AE136" i="1" s="1"/>
  <c r="DB136" i="1"/>
  <c r="DB95" i="1"/>
  <c r="DB94" i="1"/>
  <c r="DB101" i="1"/>
  <c r="DB123" i="1" l="1"/>
  <c r="DB97" i="1"/>
  <c r="AE94" i="1"/>
  <c r="DB124" i="1"/>
  <c r="DB98" i="1"/>
  <c r="AE95" i="1"/>
  <c r="DB223" i="1"/>
  <c r="DB221" i="1" s="1"/>
  <c r="DB226" i="1" s="1"/>
  <c r="DB145" i="1"/>
  <c r="DB71" i="1" s="1"/>
  <c r="DB108" i="1"/>
  <c r="DB110" i="1" s="1"/>
  <c r="DB70" i="1"/>
  <c r="AE223" i="1"/>
  <c r="AE221" i="1" s="1"/>
  <c r="AE226" i="1" s="1"/>
  <c r="AE145" i="1"/>
  <c r="AE71" i="1" s="1"/>
  <c r="AE191" i="1"/>
  <c r="AE70" i="1"/>
  <c r="AE98" i="1" l="1"/>
  <c r="AE97" i="1"/>
  <c r="DB176" i="1"/>
  <c r="AE176" i="1" l="1"/>
  <c r="AE177" i="1" s="1"/>
  <c r="DB177" i="1"/>
  <c r="DB260" i="1" l="1"/>
  <c r="DB264" i="1"/>
  <c r="DB262" i="1"/>
  <c r="AE262" i="1"/>
  <c r="AE260" i="1"/>
  <c r="AE264" i="1"/>
  <c r="DB181" i="1"/>
  <c r="DB184" i="1"/>
  <c r="DB125" i="1" s="1"/>
  <c r="DB227" i="1"/>
  <c r="AE184" i="1"/>
  <c r="AE125" i="1" s="1"/>
  <c r="AE181" i="1"/>
  <c r="AE227" i="1"/>
  <c r="AE182" i="1" l="1"/>
  <c r="DB126" i="1"/>
  <c r="DB129" i="1" s="1"/>
  <c r="DB127" i="1"/>
  <c r="DB130" i="1" s="1"/>
  <c r="DB182" i="1"/>
  <c r="AA79" i="1" l="1"/>
  <c r="AB79" i="1"/>
  <c r="AA81" i="1"/>
  <c r="AA82" i="1"/>
  <c r="AA85" i="1"/>
  <c r="AA86" i="1"/>
  <c r="AA102" i="1"/>
  <c r="AA101" i="1"/>
  <c r="AA123" i="1"/>
  <c r="AA126" i="1"/>
  <c r="AA129" i="1"/>
  <c r="AA103" i="1"/>
  <c r="AA124" i="1"/>
  <c r="AA127" i="1"/>
  <c r="AA130" i="1"/>
  <c r="AA108" i="1"/>
  <c r="AA115" i="1"/>
  <c r="AA111" i="1"/>
  <c r="AA112" i="1"/>
  <c r="AA110" i="1"/>
  <c r="AA118" i="1"/>
  <c r="AA120" i="1"/>
  <c r="AA119" i="1"/>
  <c r="AA84" i="1"/>
  <c r="AA80" i="1"/>
  <c r="AB80" i="1"/>
  <c r="Z80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X81" i="1"/>
  <c r="X123" i="1"/>
  <c r="X126" i="1"/>
  <c r="X129" i="1"/>
  <c r="X124" i="1"/>
  <c r="X127" i="1"/>
  <c r="X130" i="1"/>
  <c r="X108" i="1"/>
  <c r="X112" i="1"/>
  <c r="X115" i="1"/>
  <c r="X120" i="1"/>
  <c r="X119" i="1"/>
  <c r="X118" i="1"/>
  <c r="Y81" i="1"/>
  <c r="Y82" i="1"/>
  <c r="Y85" i="1"/>
  <c r="Y101" i="1"/>
  <c r="Y102" i="1"/>
  <c r="X82" i="1"/>
  <c r="X85" i="1"/>
  <c r="Y86" i="1"/>
  <c r="X84" i="1"/>
  <c r="X111" i="1"/>
  <c r="X110" i="1"/>
  <c r="Y103" i="1"/>
  <c r="X101" i="1"/>
  <c r="X103" i="1"/>
  <c r="X102" i="1"/>
  <c r="I81" i="1"/>
  <c r="I115" i="1"/>
  <c r="Q81" i="1"/>
  <c r="Q115" i="1"/>
  <c r="U81" i="1"/>
  <c r="U115" i="1"/>
  <c r="F81" i="1"/>
  <c r="F115" i="1"/>
  <c r="R81" i="1"/>
  <c r="R115" i="1"/>
  <c r="N81" i="1"/>
  <c r="N82" i="1"/>
  <c r="N85" i="1"/>
  <c r="E81" i="1"/>
  <c r="E115" i="1"/>
  <c r="G81" i="1"/>
  <c r="T81" i="1"/>
  <c r="P81" i="1"/>
  <c r="G82" i="1"/>
  <c r="J81" i="1"/>
  <c r="N86" i="1"/>
  <c r="O81" i="1"/>
  <c r="O108" i="1"/>
  <c r="N123" i="1"/>
  <c r="L81" i="1"/>
  <c r="R108" i="1"/>
  <c r="AC80" i="1"/>
  <c r="Y123" i="1"/>
  <c r="R118" i="1"/>
  <c r="G84" i="1"/>
  <c r="N126" i="1"/>
  <c r="Q124" i="1"/>
  <c r="U124" i="1"/>
  <c r="L123" i="1"/>
  <c r="W81" i="1"/>
  <c r="AC79" i="1"/>
  <c r="Y124" i="1"/>
  <c r="AD79" i="1"/>
  <c r="AE79" i="1"/>
  <c r="AE81" i="1"/>
  <c r="AE82" i="1"/>
  <c r="AE85" i="1"/>
  <c r="AE86" i="1"/>
  <c r="X86" i="1"/>
  <c r="W115" i="1"/>
  <c r="J108" i="1"/>
  <c r="J82" i="1"/>
  <c r="AE124" i="1"/>
  <c r="E108" i="1"/>
  <c r="W108" i="1"/>
  <c r="H81" i="1"/>
  <c r="H82" i="1"/>
  <c r="H85" i="1"/>
  <c r="I118" i="1"/>
  <c r="N84" i="1"/>
  <c r="W120" i="1"/>
  <c r="N102" i="1"/>
  <c r="I123" i="1"/>
  <c r="N108" i="1"/>
  <c r="E119" i="1"/>
  <c r="S81" i="1"/>
  <c r="S82" i="1"/>
  <c r="S85" i="1"/>
  <c r="S101" i="1"/>
  <c r="I108" i="1"/>
  <c r="O110" i="1"/>
  <c r="G108" i="1"/>
  <c r="Y84" i="1"/>
  <c r="K81" i="1"/>
  <c r="K82" i="1"/>
  <c r="K85" i="1"/>
  <c r="K86" i="1"/>
  <c r="AE115" i="1"/>
  <c r="AE119" i="1"/>
  <c r="E123" i="1"/>
  <c r="W82" i="1"/>
  <c r="W85" i="1"/>
  <c r="W103" i="1"/>
  <c r="AD81" i="1"/>
  <c r="AD82" i="1"/>
  <c r="AD85" i="1"/>
  <c r="AD103" i="1"/>
  <c r="V81" i="1"/>
  <c r="V82" i="1"/>
  <c r="V85" i="1"/>
  <c r="V103" i="1"/>
  <c r="G111" i="1"/>
  <c r="O112" i="1"/>
  <c r="AC105" i="1"/>
  <c r="G112" i="1"/>
  <c r="J105" i="1"/>
  <c r="Z81" i="1"/>
  <c r="Z108" i="1"/>
  <c r="Z110" i="1"/>
  <c r="O111" i="1"/>
  <c r="J111" i="1"/>
  <c r="V101" i="1"/>
  <c r="R111" i="1"/>
  <c r="AD80" i="1"/>
  <c r="V105" i="1"/>
  <c r="W102" i="1"/>
  <c r="E124" i="1"/>
  <c r="S103" i="1"/>
  <c r="R112" i="1"/>
  <c r="K103" i="1"/>
  <c r="E111" i="1"/>
  <c r="F82" i="1"/>
  <c r="F85" i="1"/>
  <c r="F86" i="1"/>
  <c r="M81" i="1"/>
  <c r="U127" i="1"/>
  <c r="J115" i="1"/>
  <c r="X105" i="1"/>
  <c r="E82" i="1"/>
  <c r="M124" i="1"/>
  <c r="E84" i="1"/>
  <c r="W124" i="1"/>
  <c r="W127" i="1"/>
  <c r="W130" i="1"/>
  <c r="U82" i="1"/>
  <c r="O115" i="1"/>
  <c r="O120" i="1"/>
  <c r="G85" i="1"/>
  <c r="E118" i="1"/>
  <c r="S84" i="1"/>
  <c r="F108" i="1"/>
  <c r="Y115" i="1"/>
  <c r="H124" i="1"/>
  <c r="H127" i="1"/>
  <c r="P82" i="1"/>
  <c r="P85" i="1"/>
  <c r="P103" i="1"/>
  <c r="F120" i="1"/>
  <c r="N124" i="1"/>
  <c r="H115" i="1"/>
  <c r="H119" i="1"/>
  <c r="I120" i="1"/>
  <c r="Q82" i="1"/>
  <c r="Q85" i="1"/>
  <c r="Q102" i="1"/>
  <c r="N103" i="1"/>
  <c r="P123" i="1"/>
  <c r="T108" i="1"/>
  <c r="U108" i="1"/>
  <c r="H108" i="1"/>
  <c r="H111" i="1"/>
  <c r="T110" i="1"/>
  <c r="Q120" i="1"/>
  <c r="Y80" i="1"/>
  <c r="X80" i="1"/>
  <c r="W80" i="1"/>
  <c r="V80" i="1"/>
  <c r="W123" i="1"/>
  <c r="W126" i="1"/>
  <c r="W129" i="1"/>
  <c r="F124" i="1"/>
  <c r="F127" i="1"/>
  <c r="F130" i="1"/>
  <c r="T123" i="1"/>
  <c r="T126" i="1"/>
  <c r="T129" i="1"/>
  <c r="T124" i="1"/>
  <c r="T127" i="1"/>
  <c r="T130" i="1"/>
  <c r="J123" i="1"/>
  <c r="J126" i="1"/>
  <c r="J129" i="1"/>
  <c r="J124" i="1"/>
  <c r="J127" i="1"/>
  <c r="J130" i="1"/>
  <c r="R123" i="1"/>
  <c r="R126" i="1"/>
  <c r="R129" i="1"/>
  <c r="U111" i="1"/>
  <c r="U112" i="1"/>
  <c r="G124" i="1"/>
  <c r="G127" i="1"/>
  <c r="G130" i="1"/>
  <c r="G123" i="1"/>
  <c r="G126" i="1"/>
  <c r="G129" i="1"/>
  <c r="Q123" i="1"/>
  <c r="Q126" i="1"/>
  <c r="Q129" i="1"/>
  <c r="O123" i="1"/>
  <c r="O126" i="1"/>
  <c r="O129" i="1"/>
  <c r="K123" i="1"/>
  <c r="K126" i="1"/>
  <c r="K129" i="1"/>
  <c r="K124" i="1"/>
  <c r="K127" i="1"/>
  <c r="K130" i="1"/>
  <c r="K108" i="1"/>
  <c r="K112" i="1"/>
  <c r="S108" i="1"/>
  <c r="S111" i="1"/>
  <c r="S112" i="1"/>
  <c r="P108" i="1"/>
  <c r="P110" i="1"/>
  <c r="P111" i="1"/>
  <c r="U123" i="1"/>
  <c r="U126" i="1"/>
  <c r="U129" i="1"/>
  <c r="P124" i="1"/>
  <c r="P127" i="1"/>
  <c r="P130" i="1"/>
  <c r="P126" i="1"/>
  <c r="P129" i="1"/>
  <c r="K111" i="1"/>
  <c r="L126" i="1"/>
  <c r="AC81" i="1"/>
  <c r="U110" i="1"/>
  <c r="N127" i="1"/>
  <c r="E85" i="1"/>
  <c r="Y127" i="1"/>
  <c r="F119" i="1"/>
  <c r="F123" i="1"/>
  <c r="W105" i="1"/>
  <c r="Z112" i="1"/>
  <c r="T82" i="1"/>
  <c r="O119" i="1"/>
  <c r="G86" i="1"/>
  <c r="R82" i="1"/>
  <c r="R85" i="1"/>
  <c r="R101" i="1"/>
  <c r="AD124" i="1"/>
  <c r="AD127" i="1"/>
  <c r="AE127" i="1"/>
  <c r="Y119" i="1"/>
  <c r="M123" i="1"/>
  <c r="W111" i="1"/>
  <c r="AD108" i="1"/>
  <c r="U80" i="1"/>
  <c r="T80" i="1"/>
  <c r="S80" i="1"/>
  <c r="R80" i="1"/>
  <c r="Q80" i="1"/>
  <c r="P80" i="1"/>
  <c r="O80" i="1"/>
  <c r="N80" i="1"/>
  <c r="M80" i="1"/>
  <c r="L80" i="1"/>
  <c r="H84" i="1"/>
  <c r="L82" i="1"/>
  <c r="U118" i="1"/>
  <c r="M105" i="1"/>
  <c r="F118" i="1"/>
  <c r="F103" i="1"/>
  <c r="Q103" i="1"/>
  <c r="I82" i="1"/>
  <c r="E103" i="1"/>
  <c r="S124" i="1"/>
  <c r="S127" i="1"/>
  <c r="S130" i="1"/>
  <c r="W112" i="1"/>
  <c r="L124" i="1"/>
  <c r="S86" i="1"/>
  <c r="J110" i="1"/>
  <c r="P105" i="1"/>
  <c r="O124" i="1"/>
  <c r="S102" i="1"/>
  <c r="N112" i="1"/>
  <c r="E120" i="1"/>
  <c r="O82" i="1"/>
  <c r="N115" i="1"/>
  <c r="F105" i="1"/>
  <c r="H118" i="1"/>
  <c r="K80" i="1"/>
  <c r="J80" i="1"/>
  <c r="I80" i="1"/>
  <c r="H80" i="1"/>
  <c r="G80" i="1"/>
  <c r="F80" i="1"/>
  <c r="AE120" i="1"/>
  <c r="AB81" i="1"/>
  <c r="AB124" i="1"/>
  <c r="AB127" i="1"/>
  <c r="AD123" i="1"/>
  <c r="AD126" i="1"/>
  <c r="AD129" i="1"/>
  <c r="N118" i="1"/>
  <c r="E126" i="1"/>
  <c r="O118" i="1"/>
  <c r="R124" i="1"/>
  <c r="R127" i="1"/>
  <c r="R130" i="1"/>
  <c r="G101" i="1"/>
  <c r="Q127" i="1"/>
  <c r="AE123" i="1"/>
  <c r="I126" i="1"/>
  <c r="AD101" i="1"/>
  <c r="F112" i="1"/>
  <c r="G105" i="1"/>
  <c r="N110" i="1"/>
  <c r="S123" i="1"/>
  <c r="S126" i="1"/>
  <c r="S129" i="1"/>
  <c r="U130" i="1"/>
  <c r="J118" i="1"/>
  <c r="Z124" i="1"/>
  <c r="V86" i="1"/>
  <c r="N130" i="1"/>
  <c r="S115" i="1"/>
  <c r="S119" i="1"/>
  <c r="W118" i="1"/>
  <c r="AC123" i="1"/>
  <c r="AC126" i="1"/>
  <c r="J112" i="1"/>
  <c r="J85" i="1"/>
  <c r="I105" i="1"/>
  <c r="J101" i="1"/>
  <c r="AD105" i="1"/>
  <c r="V102" i="1"/>
  <c r="D105" i="1"/>
  <c r="S120" i="1"/>
  <c r="Z115" i="1"/>
  <c r="I119" i="1"/>
  <c r="E127" i="1"/>
  <c r="AE130" i="1"/>
  <c r="Z118" i="1"/>
  <c r="Z82" i="1"/>
  <c r="Z85" i="1"/>
  <c r="I85" i="1"/>
  <c r="H105" i="1"/>
  <c r="AD110" i="1"/>
  <c r="AE102" i="1"/>
  <c r="H123" i="1"/>
  <c r="H126" i="1"/>
  <c r="H129" i="1"/>
  <c r="I124" i="1"/>
  <c r="I127" i="1"/>
  <c r="I130" i="1"/>
  <c r="T112" i="1"/>
  <c r="V123" i="1"/>
  <c r="V126" i="1"/>
  <c r="V129" i="1"/>
  <c r="V124" i="1"/>
  <c r="V127" i="1"/>
  <c r="AB115" i="1"/>
  <c r="AB120" i="1"/>
  <c r="P84" i="1"/>
  <c r="O127" i="1"/>
  <c r="AD102" i="1"/>
  <c r="R120" i="1"/>
  <c r="AC108" i="1"/>
  <c r="Y120" i="1"/>
  <c r="M108" i="1"/>
  <c r="M111" i="1"/>
  <c r="Q118" i="1"/>
  <c r="N120" i="1"/>
  <c r="E130" i="1"/>
  <c r="K110" i="1"/>
  <c r="AE84" i="1"/>
  <c r="P86" i="1"/>
  <c r="H130" i="1"/>
  <c r="R102" i="1"/>
  <c r="H110" i="1"/>
  <c r="Z103" i="1"/>
  <c r="H86" i="1"/>
  <c r="I101" i="1"/>
  <c r="E112" i="1"/>
  <c r="K102" i="1"/>
  <c r="M115" i="1"/>
  <c r="M118" i="1"/>
  <c r="V115" i="1"/>
  <c r="V120" i="1"/>
  <c r="V118" i="1"/>
  <c r="M112" i="1"/>
  <c r="M110" i="1"/>
  <c r="T111" i="1"/>
  <c r="V130" i="1"/>
  <c r="AB119" i="1"/>
  <c r="R105" i="1"/>
  <c r="Z111" i="1"/>
  <c r="Y105" i="1"/>
  <c r="AC110" i="1"/>
  <c r="K115" i="1"/>
  <c r="M127" i="1"/>
  <c r="L127" i="1"/>
  <c r="T115" i="1"/>
  <c r="T119" i="1"/>
  <c r="I110" i="1"/>
  <c r="Q101" i="1"/>
  <c r="AC115" i="1"/>
  <c r="AC119" i="1"/>
  <c r="AB108" i="1"/>
  <c r="AB110" i="1"/>
  <c r="M120" i="1"/>
  <c r="Z120" i="1"/>
  <c r="Z102" i="1"/>
  <c r="AC112" i="1"/>
  <c r="M82" i="1"/>
  <c r="M85" i="1"/>
  <c r="M102" i="1"/>
  <c r="W119" i="1"/>
  <c r="I111" i="1"/>
  <c r="L129" i="1"/>
  <c r="T118" i="1"/>
  <c r="AE101" i="1"/>
  <c r="K101" i="1"/>
  <c r="O130" i="1"/>
  <c r="Z86" i="1"/>
  <c r="M86" i="1"/>
  <c r="L130" i="1"/>
  <c r="K118" i="1"/>
  <c r="I112" i="1"/>
  <c r="M119" i="1"/>
  <c r="V119" i="1"/>
  <c r="M103" i="1"/>
  <c r="L105" i="1"/>
  <c r="M130" i="1"/>
  <c r="K120" i="1"/>
  <c r="T120" i="1"/>
  <c r="AC111" i="1"/>
  <c r="K119" i="1"/>
  <c r="AC82" i="1"/>
  <c r="Y108" i="1"/>
  <c r="AC124" i="1"/>
  <c r="N101" i="1"/>
  <c r="L115" i="1"/>
  <c r="AD86" i="1"/>
  <c r="AD130" i="1"/>
  <c r="Z123" i="1"/>
  <c r="H112" i="1"/>
  <c r="M126" i="1"/>
  <c r="T85" i="1"/>
  <c r="AB82" i="1"/>
  <c r="AB85" i="1"/>
  <c r="AB123" i="1"/>
  <c r="AB126" i="1"/>
  <c r="AD111" i="1"/>
  <c r="T103" i="1"/>
  <c r="L108" i="1"/>
  <c r="O105" i="1"/>
  <c r="L85" i="1"/>
  <c r="U120" i="1"/>
  <c r="E105" i="1"/>
  <c r="U119" i="1"/>
  <c r="H120" i="1"/>
  <c r="N111" i="1"/>
  <c r="H101" i="1"/>
  <c r="I103" i="1"/>
  <c r="L84" i="1"/>
  <c r="F84" i="1"/>
  <c r="I84" i="1"/>
  <c r="L112" i="1"/>
  <c r="R110" i="1"/>
  <c r="G115" i="1"/>
  <c r="Q105" i="1"/>
  <c r="I102" i="1"/>
  <c r="Y126" i="1"/>
  <c r="F102" i="1"/>
  <c r="W110" i="1"/>
  <c r="AB84" i="1"/>
  <c r="AE103" i="1"/>
  <c r="Q119" i="1"/>
  <c r="G110" i="1"/>
  <c r="AE108" i="1"/>
  <c r="Q84" i="1"/>
  <c r="U85" i="1"/>
  <c r="T105" i="1"/>
  <c r="Z126" i="1"/>
  <c r="AC85" i="1"/>
  <c r="U101" i="1"/>
  <c r="S118" i="1"/>
  <c r="E129" i="1"/>
  <c r="AC101" i="1"/>
  <c r="F111" i="1"/>
  <c r="J84" i="1"/>
  <c r="AD84" i="1"/>
  <c r="V108" i="1"/>
  <c r="AE126" i="1"/>
  <c r="I129" i="1"/>
  <c r="O84" i="1"/>
  <c r="F126" i="1"/>
  <c r="F110" i="1"/>
  <c r="Z84" i="1"/>
  <c r="F101" i="1"/>
  <c r="E110" i="1"/>
  <c r="R119" i="1"/>
  <c r="E86" i="1"/>
  <c r="E101" i="1"/>
  <c r="Z127" i="1"/>
  <c r="Z130" i="1"/>
  <c r="V84" i="1"/>
  <c r="AC127" i="1"/>
  <c r="AC130" i="1"/>
  <c r="AC86" i="1"/>
  <c r="W86" i="1"/>
  <c r="N129" i="1"/>
  <c r="AC120" i="1"/>
  <c r="H103" i="1"/>
  <c r="R103" i="1"/>
  <c r="AE80" i="1"/>
  <c r="AE118" i="1"/>
  <c r="U105" i="1"/>
  <c r="W101" i="1"/>
  <c r="AC118" i="1"/>
  <c r="W84" i="1"/>
  <c r="AB118" i="1"/>
  <c r="Q108" i="1"/>
  <c r="G119" i="1"/>
  <c r="G118" i="1"/>
  <c r="L120" i="1"/>
  <c r="AD115" i="1"/>
  <c r="I86" i="1"/>
  <c r="Y110" i="1"/>
  <c r="Z101" i="1"/>
  <c r="H102" i="1"/>
  <c r="Z119" i="1"/>
  <c r="P115" i="1"/>
  <c r="Z105" i="1"/>
  <c r="O85" i="1"/>
  <c r="S110" i="1"/>
  <c r="Y118" i="1"/>
  <c r="Y130" i="1"/>
  <c r="P102" i="1"/>
  <c r="P112" i="1"/>
  <c r="L119" i="1"/>
  <c r="G102" i="1"/>
  <c r="AA105" i="1"/>
  <c r="AB129" i="1"/>
  <c r="L86" i="1"/>
  <c r="Q86" i="1"/>
  <c r="AB111" i="1"/>
  <c r="L118" i="1"/>
  <c r="P101" i="1"/>
  <c r="N119" i="1"/>
  <c r="AB112" i="1"/>
  <c r="AC84" i="1"/>
  <c r="E80" i="1"/>
  <c r="AB130" i="1"/>
  <c r="AE110" i="1"/>
  <c r="AC102" i="1"/>
  <c r="J120" i="1"/>
  <c r="G103" i="1"/>
  <c r="V112" i="1"/>
  <c r="AE129" i="1"/>
  <c r="U84" i="1"/>
  <c r="J119" i="1"/>
  <c r="R86" i="1"/>
  <c r="L101" i="1"/>
  <c r="AC129" i="1"/>
  <c r="AD112" i="1"/>
  <c r="J86" i="1"/>
  <c r="J102" i="1"/>
  <c r="E102" i="1"/>
  <c r="J103" i="1"/>
  <c r="Q130" i="1"/>
  <c r="V111" i="1"/>
  <c r="M101" i="1"/>
  <c r="Y129" i="1"/>
  <c r="T84" i="1"/>
  <c r="T102" i="1"/>
  <c r="M84" i="1"/>
  <c r="L111" i="1"/>
  <c r="S105" i="1"/>
  <c r="G120" i="1"/>
  <c r="M129" i="1"/>
  <c r="Z129" i="1"/>
  <c r="AB105" i="1"/>
  <c r="AC103" i="1"/>
  <c r="F129" i="1"/>
  <c r="K84" i="1"/>
  <c r="K105" i="1"/>
  <c r="AB102" i="1"/>
  <c r="AB103" i="1"/>
  <c r="T101" i="1"/>
  <c r="Q111" i="1"/>
  <c r="Q110" i="1"/>
  <c r="L103" i="1"/>
  <c r="Y112" i="1"/>
  <c r="P119" i="1"/>
  <c r="AB101" i="1"/>
  <c r="V110" i="1"/>
  <c r="L102" i="1"/>
  <c r="P118" i="1"/>
  <c r="O86" i="1"/>
  <c r="AD120" i="1"/>
  <c r="AE112" i="1"/>
  <c r="AE111" i="1"/>
  <c r="AB86" i="1"/>
  <c r="T86" i="1"/>
  <c r="Y111" i="1"/>
  <c r="N105" i="1"/>
  <c r="O101" i="1"/>
  <c r="AD119" i="1"/>
  <c r="O103" i="1"/>
  <c r="R84" i="1"/>
  <c r="L110" i="1"/>
  <c r="U103" i="1"/>
  <c r="Q112" i="1"/>
  <c r="O102" i="1"/>
  <c r="U102" i="1"/>
  <c r="U86" i="1"/>
  <c r="AD118" i="1"/>
  <c r="P1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<sst xmlns="http://schemas.openxmlformats.org/spreadsheetml/2006/main" count="677" uniqueCount="537">
  <si>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</si>
  <si>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</si>
  <si>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</si>
  <si>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</si>
  <si>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</si>
  <si>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</si>
  <si>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</si>
  <si>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</si>
  <si>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</si>
  <si>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</si>
  <si>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</si>
  <si>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</si>
  <si>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</si>
  <si>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</si>
  <si>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</si>
  <si>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</si>
  <si>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</si>
  <si>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</si>
  <si>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</si>
  <si>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</si>
  <si>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</si>
  <si>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</si>
  <si>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</si>
  <si>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</si>
  <si>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</si>
  <si>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</si>
  <si>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</si>
  <si>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</si>
  <si>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</si>
  <si>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</si>
  <si>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</si>
  <si>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</si>
  <si>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</si>
  <si>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</si>
  <si>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</si>
  <si>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</si>
  <si>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</si>
  <si>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</si>
  <si>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</si>
  <si>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</si>
  <si>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</si>
  <si>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</si>
  <si>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</si>
  <si>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</si>
  <si>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</si>
  <si>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</si>
  <si>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</si>
  <si>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</si>
  <si>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</si>
  <si>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</si>
  <si>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</si>
  <si>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</si>
  <si>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</si>
  <si>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</si>
  <si>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</si>
  <si>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</si>
  <si>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</si>
  <si>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</si>
  <si>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</si>
  <si>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</si>
  <si>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</si>
  <si>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</si>
  <si>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</si>
  <si>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</si>
  <si>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</si>
  <si>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</si>
  <si>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</si>
  <si>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</si>
  <si>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</si>
  <si>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</si>
  <si>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</si>
  <si>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</si>
  <si>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</si>
  <si>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</si>
  <si>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</si>
  <si>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</si>
  <si>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</si>
  <si>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</si>
  <si>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</si>
  <si>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</si>
  <si>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</si>
  <si>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</si>
  <si>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</si>
  <si>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</si>
  <si>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</si>
  <si>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</si>
  <si>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</si>
  <si>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</si>
  <si>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</si>
  <si>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</si>
  <si>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</si>
  <si>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</si>
  <si>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</si>
  <si>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</si>
  <si>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</si>
  <si>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</si>
  <si>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</si>
  <si>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</si>
  <si>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</si>
  <si>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</si>
  <si>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</si>
  <si>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</si>
  <si>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</si>
  <si>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</si>
  <si>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</si>
  <si>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</si>
  <si>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</si>
  <si>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</si>
  <si>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</si>
  <si>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</si>
  <si>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</si>
  <si>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</si>
  <si>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</si>
  <si>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</si>
  <si>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</si>
  <si>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</si>
  <si>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</si>
  <si>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</si>
  <si>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</si>
  <si>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</si>
  <si>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</si>
  <si>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</si>
  <si>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</si>
  <si>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</si>
  <si>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</si>
  <si>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</si>
  <si>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</si>
  <si>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</si>
  <si>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</si>
  <si>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</si>
  <si>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</si>
  <si>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</si>
  <si>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</si>
  <si>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</si>
  <si>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</si>
  <si>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</si>
  <si>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</si>
  <si>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</si>
  <si>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</si>
  <si>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</si>
  <si>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</si>
  <si>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</si>
  <si>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</si>
  <si>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</si>
  <si>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</si>
  <si>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</si>
  <si>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</si>
  <si>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</si>
  <si>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</si>
  <si>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</si>
  <si>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</si>
  <si>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</si>
  <si>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</si>
  <si>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</si>
  <si>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</si>
  <si>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</si>
  <si>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</si>
  <si>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</si>
  <si>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</si>
  <si>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</si>
  <si>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</si>
  <si>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</si>
  <si>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</si>
  <si>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</si>
  <si>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</si>
  <si>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</si>
  <si>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</si>
  <si>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</si>
  <si>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</si>
  <si>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</si>
  <si>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</si>
  <si>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</si>
  <si>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</si>
  <si>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</si>
  <si>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</si>
  <si>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</si>
  <si>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</si>
  <si>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</si>
  <si>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</si>
  <si>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</si>
  <si>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</si>
  <si>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</si>
  <si>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</si>
  <si>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</si>
  <si>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</si>
  <si>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</si>
  <si>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</si>
  <si>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</si>
  <si>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</si>
  <si>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</si>
  <si>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</si>
  <si>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</si>
  <si>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</si>
  <si>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</si>
  <si>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</si>
  <si>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</si>
  <si>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</si>
  <si>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</si>
  <si>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</si>
  <si>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</si>
  <si>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</si>
  <si>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</si>
  <si>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</si>
  <si>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</si>
  <si>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</si>
  <si>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</si>
  <si>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</si>
  <si>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</si>
  <si>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</si>
  <si>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</si>
  <si>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</si>
  <si>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</si>
  <si>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</si>
  <si>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</si>
  <si>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</si>
  <si>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</si>
  <si>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</si>
  <si>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</si>
  <si>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</si>
  <si>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</si>
  <si>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</si>
  <si>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</si>
  <si>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</si>
  <si>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</si>
  <si>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</si>
  <si>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</si>
  <si>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</si>
  <si>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</si>
  <si>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</si>
  <si>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</si>
  <si>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</si>
  <si>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</si>
  <si>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</si>
  <si>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</si>
  <si>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</si>
  <si>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</si>
  <si>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</si>
  <si>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</si>
  <si>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</si>
  <si>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</si>
  <si>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</si>
  <si>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</si>
  <si>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</si>
  <si>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</si>
  <si>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</si>
  <si>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</si>
  <si>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</si>
  <si>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</si>
  <si>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</si>
  <si>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</si>
  <si>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</si>
  <si>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</si>
  <si>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</si>
  <si>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</si>
  <si>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</si>
  <si>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</si>
  <si>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</si>
  <si>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</si>
  <si>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</si>
  <si>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</si>
  <si>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</si>
  <si>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</si>
  <si>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</si>
  <si>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</si>
  <si>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</si>
  <si>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</si>
  <si>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</si>
  <si>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</si>
  <si>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</si>
  <si>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</si>
  <si>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</si>
  <si>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</si>
  <si>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</si>
  <si>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</si>
  <si>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</si>
  <si>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</si>
  <si>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</si>
  <si>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</si>
  <si>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</si>
  <si>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</si>
  <si>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</si>
  <si>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</si>
  <si>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</si>
  <si>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</si>
  <si>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</si>
  <si>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</si>
  <si>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</si>
  <si>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</si>
  <si>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</si>
  <si>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</si>
  <si>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</si>
  <si>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</si>
  <si>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</si>
  <si>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</si>
  <si>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</si>
  <si>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</si>
  <si>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</si>
  <si>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</si>
  <si>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</si>
  <si>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</si>
  <si>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</si>
  <si>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</si>
  <si>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</si>
  <si>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</si>
  <si>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</si>
  <si>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</si>
  <si>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</si>
  <si>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</si>
  <si>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</si>
  <si>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</si>
  <si>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</si>
  <si>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</si>
  <si>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</si>
  <si>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</si>
  <si>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</si>
  <si>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</si>
  <si>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</si>
  <si>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</si>
  <si>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</si>
  <si>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</si>
  <si>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</si>
  <si>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</si>
  <si>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</si>
  <si>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</si>
  <si>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</si>
  <si>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</si>
  <si>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</si>
  <si>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</si>
  <si>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</si>
  <si>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</si>
  <si>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</si>
  <si>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</si>
  <si>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</si>
  <si>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</si>
  <si>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</si>
  <si>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</si>
  <si>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</si>
  <si>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</si>
  <si>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</si>
  <si>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</si>
  <si>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</si>
  <si>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</si>
  <si>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</si>
  <si>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</si>
  <si>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</si>
  <si>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</si>
  <si>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</si>
  <si>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</si>
  <si>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</si>
  <si>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</si>
  <si>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</si>
  <si>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</si>
  <si>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</si>
  <si>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</si>
  <si>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</si>
  <si>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</si>
  <si>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</si>
  <si>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</si>
  <si>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</si>
  <si>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</si>
  <si>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</si>
  <si>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</si>
  <si>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</si>
  <si>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</si>
  <si>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</si>
  <si>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</si>
  <si>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</si>
  <si>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</si>
  <si>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</si>
  <si>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</si>
  <si>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</si>
  <si>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</si>
  <si>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</si>
  <si>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</si>
  <si>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</si>
  <si>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</si>
  <si>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</si>
  <si>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</si>
  <si>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</si>
  <si>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</si>
  <si>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</si>
  <si>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</si>
  <si>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</si>
  <si>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</si>
  <si>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</si>
  <si>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</si>
  <si>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</si>
  <si>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</si>
  <si>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</si>
  <si>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</si>
  <si>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</si>
  <si>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</si>
  <si>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</si>
  <si>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</si>
  <si>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</si>
  <si>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</si>
  <si>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</si>
  <si>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</si>
  <si>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</si>
  <si>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</si>
  <si>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</si>
  <si>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</si>
  <si>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</si>
  <si>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</si>
  <si>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</si>
  <si>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</si>
  <si>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</si>
  <si>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</si>
  <si>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</si>
  <si>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</si>
  <si>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</si>
  <si>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</si>
  <si>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</si>
  <si>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</si>
  <si>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</si>
  <si>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</si>
  <si>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</si>
  <si>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</si>
  <si>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</si>
  <si>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</si>
  <si>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</si>
  <si>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</si>
  <si>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</si>
  <si>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</si>
  <si>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</si>
  <si>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</si>
  <si>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</si>
  <si>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</si>
  <si>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</si>
  <si>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</si>
  <si>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</si>
  <si>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</si>
  <si>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</si>
  <si>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</si>
  <si>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</si>
  <si>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</si>
  <si>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</si>
  <si>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</si>
  <si>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</si>
  <si>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</si>
  <si>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</si>
  <si>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</si>
  <si>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</si>
  <si>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</si>
  <si>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</si>
  <si>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</si>
  <si>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</si>
  <si>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</si>
  <si>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</si>
  <si>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</si>
  <si>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</si>
  <si>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</si>
  <si>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</si>
  <si>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</si>
  <si>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</si>
  <si>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</si>
  <si>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</si>
  <si>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</si>
  <si>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</si>
  <si>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</si>
  <si>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</si>
  <si>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</si>
  <si>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</si>
  <si>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</si>
  <si>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</si>
  <si>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</si>
  <si>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</si>
  <si>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</si>
  <si>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</si>
  <si>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</si>
  <si>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</si>
  <si>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</si>
  <si>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</si>
  <si>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</si>
  <si>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</si>
  <si>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</si>
  <si>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</si>
  <si>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</si>
  <si>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</si>
  <si>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</si>
  <si>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</si>
  <si>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</si>
  <si>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</si>
  <si>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</si>
  <si>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</si>
  <si>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</si>
  <si>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</si>
  <si>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</si>
  <si>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</si>
  <si>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</si>
  <si>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</si>
  <si>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</si>
  <si>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</si>
  <si>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</si>
  <si>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</si>
  <si>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</si>
  <si>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</si>
  <si>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</si>
  <si>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</si>
  <si>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</si>
  <si>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</si>
  <si>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</si>
  <si>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</si>
  <si>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</si>
  <si>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</si>
  <si>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</si>
  <si>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</si>
  <si>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</si>
  <si>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</si>
  <si>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</si>
  <si>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</si>
  <si>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</si>
  <si>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</si>
  <si>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</si>
  <si>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</si>
  <si>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Voltas Ltd.</t>
  </si>
  <si>
    <t>DATE</t>
  </si>
  <si>
    <t>ADJHIGH</t>
  </si>
  <si>
    <t>ADJCLOSE</t>
  </si>
  <si>
    <t>ADJLOW</t>
  </si>
  <si>
    <t>ADJOPEN</t>
  </si>
  <si>
    <t>CLOSE</t>
  </si>
  <si>
    <t>VOLUME</t>
  </si>
  <si>
    <t>Less: Inter-segment Revenue</t>
  </si>
  <si>
    <t>Revenue - Electro Mechanical Projects &amp; Services</t>
  </si>
  <si>
    <t>Revenue - Engineering Product Services</t>
  </si>
  <si>
    <t>Revenue - Unitary Cooling Products</t>
  </si>
  <si>
    <t>Revenue - Others</t>
  </si>
  <si>
    <t>Revenue - Other operating income</t>
  </si>
  <si>
    <t>Revenue YoY% - Electro Mechanical Projects &amp; Services</t>
  </si>
  <si>
    <t>Revenue YoY% - Unitary Cooling Products</t>
  </si>
  <si>
    <t>Revenue YoY% - Other operating income</t>
  </si>
  <si>
    <t>Inter-segment Revenue YoY%</t>
  </si>
  <si>
    <t>Net Revenue YoY%</t>
  </si>
  <si>
    <t>Revenue YoY% - Engineering Product Services</t>
  </si>
  <si>
    <t>Revenue YoY% - Others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</si>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</sst>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1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9" fontId="18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0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3" sqref="DF23:DF270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Voltas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0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524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>
        <f>+SUM(AM4:AP4)</f>
        <v>2692.4199999999996</v>
      </c>
      <c r="P4" s="156">
        <f>+SUM(AQ4:AT4)</f>
        <v>2208.54</v>
      </c>
      <c r="Q4" s="156">
        <f>+SUM(AU4:AX4)</f>
        <v>2717.1499999999996</v>
      </c>
      <c r="R4" s="156">
        <f>+SUM(AY4:BB4)</f>
        <v>2655.03</v>
      </c>
      <c r="S4" s="156">
        <f>+SUM(BC4:BF4)</f>
        <v>2845.21</v>
      </c>
      <c r="T4" s="156">
        <f>+SUM(BG4:BJ4)</f>
        <v>3619.08</v>
      </c>
      <c r="U4" s="156">
        <f>+SUM(BK4:BN4)</f>
        <v>3246.14</v>
      </c>
      <c r="V4" s="156">
        <f>+SUM(BO4:BR4)</f>
        <v>3566.3799999999997</v>
      </c>
      <c r="W4" s="156">
        <f>+SUM(BS4:BV4)</f>
        <v>2470.4899999999998</v>
      </c>
      <c r="X4" s="156">
        <f>+SUM(BW4:BZ4)</f>
        <v>2402.91</v>
      </c>
      <c r="Y4" s="156">
        <f>+SUM(CA4:CD4)</f>
        <v>3683.03</v>
      </c>
      <c r="Z4" s="156">
        <f>+SUM(CE4:CH4)</f>
        <v>4156.79</v>
      </c>
      <c r="AA4" s="157">
        <f>+SUM(CI4:CL4)</f>
        <v>2862.18</v>
      </c>
      <c r="AB4" s="157">
        <f>+SUM(CM4:CP4)</f>
        <v>0</v>
      </c>
      <c r="AC4" s="157">
        <f>+SUM(CQ4:CT4)</f>
        <v>0</v>
      </c>
      <c r="AD4" s="157">
        <f>+SUM(CU4:CX4)</f>
        <v>0</v>
      </c>
      <c r="AE4" s="157">
        <f>+SUM(CY4:DB4)</f>
        <v>0</v>
      </c>
      <c r="AI4" s="156"/>
      <c r="AJ4" s="156"/>
      <c r="AK4" s="156"/>
      <c r="AL4" s="156">
        <v>883.35</v>
      </c>
      <c r="AM4" s="156">
        <v>692.95</v>
      </c>
      <c r="AN4" s="156">
        <v>670.88</v>
      </c>
      <c r="AO4" s="156">
        <v>642.91</v>
      </c>
      <c r="AP4" s="156">
        <v>685.68</v>
      </c>
      <c r="AQ4" s="156">
        <v>622.24</v>
      </c>
      <c r="AR4" s="156">
        <v>525.32000000000005</v>
      </c>
      <c r="AS4" s="156">
        <v>461.31</v>
      </c>
      <c r="AT4" s="156">
        <v>599.66999999999996</v>
      </c>
      <c r="AU4" s="156">
        <v>555.92999999999995</v>
      </c>
      <c r="AV4" s="156">
        <v>620.79999999999995</v>
      </c>
      <c r="AW4" s="156">
        <v>721.87</v>
      </c>
      <c r="AX4" s="156">
        <v>818.55</v>
      </c>
      <c r="AY4" s="156">
        <v>580.21</v>
      </c>
      <c r="AZ4" s="156">
        <v>543.24</v>
      </c>
      <c r="BA4" s="156">
        <v>702.58</v>
      </c>
      <c r="BB4" s="156">
        <v>829</v>
      </c>
      <c r="BC4" s="156">
        <v>660.83</v>
      </c>
      <c r="BD4" s="156">
        <v>557.47</v>
      </c>
      <c r="BE4" s="156">
        <v>753.37</v>
      </c>
      <c r="BF4" s="156">
        <v>873.54</v>
      </c>
      <c r="BG4" s="156">
        <v>866.37</v>
      </c>
      <c r="BH4" s="156">
        <v>901.48</v>
      </c>
      <c r="BI4" s="156">
        <v>875.23</v>
      </c>
      <c r="BJ4" s="156">
        <v>976</v>
      </c>
      <c r="BK4" s="156">
        <v>824.12</v>
      </c>
      <c r="BL4" s="156">
        <v>809.33</v>
      </c>
      <c r="BM4" s="156">
        <v>808.13</v>
      </c>
      <c r="BN4" s="156">
        <v>804.56</v>
      </c>
      <c r="BO4" s="156">
        <v>518.09</v>
      </c>
      <c r="BP4" s="156">
        <v>927.8</v>
      </c>
      <c r="BQ4" s="156">
        <v>1016.66</v>
      </c>
      <c r="BR4" s="156">
        <v>1103.83</v>
      </c>
      <c r="BS4" s="156">
        <v>688.42</v>
      </c>
      <c r="BT4" s="156">
        <v>536.48</v>
      </c>
      <c r="BU4" s="156">
        <v>553.78</v>
      </c>
      <c r="BV4" s="156">
        <v>691.81</v>
      </c>
      <c r="BW4" s="156">
        <v>454.69</v>
      </c>
      <c r="BX4" s="156">
        <v>554.04</v>
      </c>
      <c r="BY4" s="156">
        <v>648.39</v>
      </c>
      <c r="BZ4" s="156">
        <v>745.79</v>
      </c>
      <c r="CA4" s="156">
        <v>679.06</v>
      </c>
      <c r="CB4" s="156">
        <v>924.19</v>
      </c>
      <c r="CC4" s="156">
        <v>981.88</v>
      </c>
      <c r="CD4" s="156">
        <v>1097.9000000000001</v>
      </c>
      <c r="CE4" s="156">
        <v>949.13</v>
      </c>
      <c r="CF4" s="156">
        <v>879.91</v>
      </c>
      <c r="CG4" s="156">
        <v>1190.23</v>
      </c>
      <c r="CH4" s="156">
        <v>1137.52</v>
      </c>
      <c r="CI4" s="156">
        <v>921.83</v>
      </c>
      <c r="CJ4" s="156">
        <v>966.17</v>
      </c>
      <c r="CK4" s="156">
        <v>974.18</v>
      </c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>
        <f t="shared" ref="O5:O9" si="33">+SUM(AM5:AP5)</f>
        <v>448.21999999999997</v>
      </c>
      <c r="P5" s="156">
        <f t="shared" ref="P5:P9" si="34">+SUM(AQ5:AT5)</f>
        <v>360.06</v>
      </c>
      <c r="Q5" s="156">
        <f t="shared" ref="Q5:Q9" si="35">+SUM(AU5:AX5)</f>
        <v>370.18999999999994</v>
      </c>
      <c r="R5" s="156">
        <f t="shared" ref="R5:R9" si="36">+SUM(AY5:BB5)</f>
        <v>331.81</v>
      </c>
      <c r="S5" s="156">
        <f t="shared" ref="S5:S9" si="37">+SUM(BC5:BF5)</f>
        <v>309.93</v>
      </c>
      <c r="T5" s="156">
        <f t="shared" ref="T5:T9" si="38">+SUM(BG5:BJ5)</f>
        <v>311.64999999999998</v>
      </c>
      <c r="U5" s="156">
        <f t="shared" ref="U5:U9" si="39">+SUM(BK5:BN5)</f>
        <v>331.65999999999997</v>
      </c>
      <c r="V5" s="156">
        <f t="shared" ref="V5:V9" si="40">+SUM(BO5:BR5)</f>
        <v>359.49</v>
      </c>
      <c r="W5" s="156">
        <f t="shared" ref="W5:W9" si="41">+SUM(BS5:BV5)</f>
        <v>488.66</v>
      </c>
      <c r="X5" s="156">
        <f t="shared" ref="X5:X9" si="42">+SUM(BW5:BZ5)</f>
        <v>521.96</v>
      </c>
      <c r="Y5" s="156">
        <f t="shared" ref="Y5:Y9" si="43">+SUM(CA5:CD5)</f>
        <v>587.91000000000008</v>
      </c>
      <c r="Z5" s="156">
        <f t="shared" ref="Z5:Z9" si="44">+SUM(CE5:CH5)</f>
        <v>568.25</v>
      </c>
      <c r="AA5" s="157">
        <f t="shared" ref="AA5:AA9" si="45">+SUM(CI5:CL5)</f>
        <v>431.06</v>
      </c>
      <c r="AB5" s="157">
        <f t="shared" ref="AB5:AB9" si="46">+SUM(CM5:CP5)</f>
        <v>0</v>
      </c>
      <c r="AC5" s="157">
        <f t="shared" ref="AC5:AC9" si="47">+SUM(CQ5:CT5)</f>
        <v>0</v>
      </c>
      <c r="AD5" s="157">
        <f t="shared" ref="AD5:AD9" si="48">+SUM(CU5:CX5)</f>
        <v>0</v>
      </c>
      <c r="AE5" s="157">
        <f t="shared" ref="AE5:AE9" si="49">+SUM(CY5:DB5)</f>
        <v>0</v>
      </c>
      <c r="AI5" s="156"/>
      <c r="AJ5" s="156"/>
      <c r="AK5" s="156"/>
      <c r="AL5" s="156">
        <v>103.9</v>
      </c>
      <c r="AM5" s="156">
        <v>111.17</v>
      </c>
      <c r="AN5" s="156">
        <v>126.46</v>
      </c>
      <c r="AO5" s="156">
        <v>111.83</v>
      </c>
      <c r="AP5" s="156">
        <v>98.76</v>
      </c>
      <c r="AQ5" s="156">
        <v>110.89</v>
      </c>
      <c r="AR5" s="156">
        <v>87.17</v>
      </c>
      <c r="AS5" s="156">
        <v>80.95</v>
      </c>
      <c r="AT5" s="156">
        <v>81.05</v>
      </c>
      <c r="AU5" s="156">
        <v>70</v>
      </c>
      <c r="AV5" s="156">
        <v>96.12</v>
      </c>
      <c r="AW5" s="156">
        <v>111.41</v>
      </c>
      <c r="AX5" s="156">
        <v>92.66</v>
      </c>
      <c r="AY5" s="156">
        <v>69.14</v>
      </c>
      <c r="AZ5" s="156">
        <v>75.099999999999994</v>
      </c>
      <c r="BA5" s="156">
        <v>80.739999999999995</v>
      </c>
      <c r="BB5" s="156">
        <v>106.83</v>
      </c>
      <c r="BC5" s="156">
        <v>90.35</v>
      </c>
      <c r="BD5" s="156">
        <v>66.62</v>
      </c>
      <c r="BE5" s="156">
        <v>69.52</v>
      </c>
      <c r="BF5" s="156">
        <v>83.44</v>
      </c>
      <c r="BG5" s="156">
        <v>77.16</v>
      </c>
      <c r="BH5" s="156">
        <v>72.86</v>
      </c>
      <c r="BI5" s="156">
        <v>83.16</v>
      </c>
      <c r="BJ5" s="156">
        <v>78.47</v>
      </c>
      <c r="BK5" s="156">
        <v>73.959999999999994</v>
      </c>
      <c r="BL5" s="156">
        <v>80.3</v>
      </c>
      <c r="BM5" s="156">
        <v>82.6</v>
      </c>
      <c r="BN5" s="156">
        <v>94.8</v>
      </c>
      <c r="BO5" s="156">
        <v>47.61</v>
      </c>
      <c r="BP5" s="156">
        <v>93.29</v>
      </c>
      <c r="BQ5" s="156">
        <v>120.91</v>
      </c>
      <c r="BR5" s="156">
        <v>97.68</v>
      </c>
      <c r="BS5" s="156">
        <v>115.06</v>
      </c>
      <c r="BT5" s="156">
        <v>125.42</v>
      </c>
      <c r="BU5" s="156">
        <v>124.68</v>
      </c>
      <c r="BV5" s="156">
        <v>123.5</v>
      </c>
      <c r="BW5" s="156">
        <v>124.33</v>
      </c>
      <c r="BX5" s="156">
        <v>137.37</v>
      </c>
      <c r="BY5" s="156">
        <v>117.91</v>
      </c>
      <c r="BZ5" s="156">
        <v>142.35</v>
      </c>
      <c r="CA5" s="156">
        <v>142.31</v>
      </c>
      <c r="CB5" s="156">
        <v>134.44</v>
      </c>
      <c r="CC5" s="156">
        <v>154.80000000000001</v>
      </c>
      <c r="CD5" s="156">
        <v>156.36000000000001</v>
      </c>
      <c r="CE5" s="156">
        <v>160.78</v>
      </c>
      <c r="CF5" s="156">
        <v>145.71</v>
      </c>
      <c r="CG5" s="156">
        <v>129.66999999999999</v>
      </c>
      <c r="CH5" s="156">
        <v>132.09</v>
      </c>
      <c r="CI5" s="156">
        <v>135.44</v>
      </c>
      <c r="CJ5" s="156">
        <v>139.05000000000001</v>
      </c>
      <c r="CK5" s="156">
        <v>156.57</v>
      </c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526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>
        <f t="shared" si="33"/>
        <v>2052.42</v>
      </c>
      <c r="P6" s="156">
        <f t="shared" si="34"/>
        <v>2510.4899999999998</v>
      </c>
      <c r="Q6" s="156">
        <f t="shared" si="35"/>
        <v>2556.63</v>
      </c>
      <c r="R6" s="156">
        <f t="shared" si="36"/>
        <v>3046.8599999999997</v>
      </c>
      <c r="S6" s="156">
        <f t="shared" si="37"/>
        <v>3226.09</v>
      </c>
      <c r="T6" s="156">
        <f t="shared" si="38"/>
        <v>3155.56</v>
      </c>
      <c r="U6" s="156">
        <f t="shared" si="39"/>
        <v>4073.7</v>
      </c>
      <c r="V6" s="156">
        <f t="shared" si="40"/>
        <v>3555.04</v>
      </c>
      <c r="W6" s="156">
        <f t="shared" si="41"/>
        <v>4881.92</v>
      </c>
      <c r="X6" s="156">
        <f t="shared" si="42"/>
        <v>6474.5</v>
      </c>
      <c r="Y6" s="156">
        <f t="shared" si="43"/>
        <v>8153.4999999999991</v>
      </c>
      <c r="Z6" s="156">
        <f t="shared" si="44"/>
        <v>10613.92</v>
      </c>
      <c r="AA6" s="157">
        <f t="shared" si="45"/>
        <v>6007.1900000000005</v>
      </c>
      <c r="AB6" s="157">
        <f t="shared" si="46"/>
        <v>0</v>
      </c>
      <c r="AC6" s="157">
        <f t="shared" si="47"/>
        <v>0</v>
      </c>
      <c r="AD6" s="157">
        <f t="shared" si="48"/>
        <v>0</v>
      </c>
      <c r="AE6" s="157">
        <f t="shared" si="49"/>
        <v>0</v>
      </c>
      <c r="AI6" s="156"/>
      <c r="AJ6" s="156"/>
      <c r="AK6" s="156"/>
      <c r="AL6" s="156">
        <v>585.51</v>
      </c>
      <c r="AM6" s="156">
        <v>786.74</v>
      </c>
      <c r="AN6" s="156">
        <v>264.31</v>
      </c>
      <c r="AO6" s="156">
        <v>347.04</v>
      </c>
      <c r="AP6" s="156">
        <v>654.33000000000004</v>
      </c>
      <c r="AQ6" s="156">
        <v>1001.38</v>
      </c>
      <c r="AR6" s="156">
        <v>344.87</v>
      </c>
      <c r="AS6" s="156">
        <v>383.51</v>
      </c>
      <c r="AT6" s="156">
        <v>780.73</v>
      </c>
      <c r="AU6" s="156">
        <v>948.95</v>
      </c>
      <c r="AV6" s="156">
        <v>314.10000000000002</v>
      </c>
      <c r="AW6" s="156">
        <v>434.53</v>
      </c>
      <c r="AX6" s="156">
        <v>859.05</v>
      </c>
      <c r="AY6" s="156">
        <v>1195.6199999999999</v>
      </c>
      <c r="AZ6" s="156">
        <v>354.16</v>
      </c>
      <c r="BA6" s="156">
        <v>411.07</v>
      </c>
      <c r="BB6" s="156">
        <v>1086.01</v>
      </c>
      <c r="BC6" s="156">
        <v>1211.6600000000001</v>
      </c>
      <c r="BD6" s="156">
        <v>407.77</v>
      </c>
      <c r="BE6" s="156">
        <v>542.16999999999996</v>
      </c>
      <c r="BF6" s="156">
        <v>1064.49</v>
      </c>
      <c r="BG6" s="156">
        <v>1191.06</v>
      </c>
      <c r="BH6" s="156">
        <v>441.01</v>
      </c>
      <c r="BI6" s="156">
        <v>525.91999999999996</v>
      </c>
      <c r="BJ6" s="156">
        <v>997.57</v>
      </c>
      <c r="BK6" s="156">
        <v>1748.78</v>
      </c>
      <c r="BL6" s="156">
        <v>525.54999999999995</v>
      </c>
      <c r="BM6" s="156">
        <v>600.51</v>
      </c>
      <c r="BN6" s="156">
        <v>1198.8599999999999</v>
      </c>
      <c r="BO6" s="156">
        <v>707.11</v>
      </c>
      <c r="BP6" s="156">
        <v>571.65</v>
      </c>
      <c r="BQ6" s="156">
        <v>839.61</v>
      </c>
      <c r="BR6" s="156">
        <v>1436.67</v>
      </c>
      <c r="BS6" s="156">
        <v>963.11</v>
      </c>
      <c r="BT6" s="156">
        <v>1006.8</v>
      </c>
      <c r="BU6" s="156">
        <v>1093.5999999999999</v>
      </c>
      <c r="BV6" s="156">
        <v>1818.41</v>
      </c>
      <c r="BW6" s="156">
        <v>2162.1999999999998</v>
      </c>
      <c r="BX6" s="156">
        <v>1047.71</v>
      </c>
      <c r="BY6" s="156">
        <v>1215.97</v>
      </c>
      <c r="BZ6" s="156">
        <v>2048.62</v>
      </c>
      <c r="CA6" s="156">
        <v>2513.9699999999998</v>
      </c>
      <c r="CB6" s="156">
        <v>1208.8</v>
      </c>
      <c r="CC6" s="156">
        <v>1475.61</v>
      </c>
      <c r="CD6" s="156">
        <v>2955.12</v>
      </c>
      <c r="CE6" s="156">
        <v>3802.17</v>
      </c>
      <c r="CF6" s="156">
        <v>1582.19</v>
      </c>
      <c r="CG6" s="156">
        <v>1771.13</v>
      </c>
      <c r="CH6" s="156">
        <v>3458.43</v>
      </c>
      <c r="CI6" s="156">
        <v>2867.86</v>
      </c>
      <c r="CJ6" s="156">
        <v>1215.1300000000001</v>
      </c>
      <c r="CK6" s="156">
        <v>1924.2</v>
      </c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527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>
        <f t="shared" si="33"/>
        <v>52.04</v>
      </c>
      <c r="P7" s="156">
        <f t="shared" si="34"/>
        <v>66.12</v>
      </c>
      <c r="Q7" s="156">
        <f t="shared" si="35"/>
        <v>188.45</v>
      </c>
      <c r="R7" s="156">
        <f t="shared" si="36"/>
        <v>0</v>
      </c>
      <c r="S7" s="156">
        <f t="shared" si="37"/>
        <v>0</v>
      </c>
      <c r="T7" s="156">
        <f t="shared" si="38"/>
        <v>0</v>
      </c>
      <c r="U7" s="156">
        <f t="shared" si="39"/>
        <v>0</v>
      </c>
      <c r="V7" s="156">
        <f t="shared" si="40"/>
        <v>0</v>
      </c>
      <c r="W7" s="156">
        <f t="shared" si="41"/>
        <v>0</v>
      </c>
      <c r="X7" s="156">
        <f t="shared" si="42"/>
        <v>0</v>
      </c>
      <c r="Y7" s="156">
        <f t="shared" si="43"/>
        <v>0</v>
      </c>
      <c r="Z7" s="156">
        <f t="shared" si="44"/>
        <v>0</v>
      </c>
      <c r="AA7" s="157">
        <f t="shared" si="45"/>
        <v>0</v>
      </c>
      <c r="AB7" s="157">
        <f t="shared" si="46"/>
        <v>0</v>
      </c>
      <c r="AC7" s="157">
        <f t="shared" si="47"/>
        <v>0</v>
      </c>
      <c r="AD7" s="157">
        <f t="shared" si="48"/>
        <v>0</v>
      </c>
      <c r="AE7" s="157">
        <f t="shared" si="49"/>
        <v>0</v>
      </c>
      <c r="AI7" s="156"/>
      <c r="AJ7" s="156"/>
      <c r="AK7" s="156"/>
      <c r="AL7" s="156">
        <v>19.82</v>
      </c>
      <c r="AM7" s="156">
        <v>11.16</v>
      </c>
      <c r="AN7" s="156">
        <v>15.05</v>
      </c>
      <c r="AO7" s="156">
        <v>13.36</v>
      </c>
      <c r="AP7" s="156">
        <v>12.47</v>
      </c>
      <c r="AQ7" s="156">
        <v>18.11</v>
      </c>
      <c r="AR7" s="156">
        <v>11.68</v>
      </c>
      <c r="AS7" s="156">
        <v>13.39</v>
      </c>
      <c r="AT7" s="156">
        <v>22.94</v>
      </c>
      <c r="AU7" s="156">
        <v>20.53</v>
      </c>
      <c r="AV7" s="156">
        <v>28.88</v>
      </c>
      <c r="AW7" s="156">
        <v>33.44</v>
      </c>
      <c r="AX7" s="156">
        <v>105.6</v>
      </c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528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>
        <f t="shared" si="33"/>
        <v>22.38</v>
      </c>
      <c r="P8" s="156">
        <f t="shared" si="34"/>
        <v>38.800000000000004</v>
      </c>
      <c r="Q8" s="156">
        <f t="shared" si="35"/>
        <v>26.84</v>
      </c>
      <c r="R8" s="156">
        <f t="shared" si="36"/>
        <v>62.239999999999995</v>
      </c>
      <c r="S8" s="156">
        <f t="shared" si="37"/>
        <v>47.589999999999996</v>
      </c>
      <c r="T8" s="156">
        <f t="shared" si="38"/>
        <v>39.480000000000004</v>
      </c>
      <c r="U8" s="156">
        <f t="shared" si="39"/>
        <v>30.93</v>
      </c>
      <c r="V8" s="156">
        <f t="shared" si="40"/>
        <v>99.22999999999999</v>
      </c>
      <c r="W8" s="156">
        <f t="shared" si="41"/>
        <v>93.38</v>
      </c>
      <c r="X8" s="156">
        <f t="shared" si="42"/>
        <v>99.4</v>
      </c>
      <c r="Y8" s="156">
        <f t="shared" si="43"/>
        <v>73.850000000000009</v>
      </c>
      <c r="Z8" s="156">
        <f t="shared" si="44"/>
        <v>92.34</v>
      </c>
      <c r="AA8" s="157">
        <f t="shared" si="45"/>
        <v>77.210000000000008</v>
      </c>
      <c r="AB8" s="157">
        <f t="shared" si="46"/>
        <v>0</v>
      </c>
      <c r="AC8" s="157">
        <f t="shared" si="47"/>
        <v>0</v>
      </c>
      <c r="AD8" s="157">
        <f t="shared" si="48"/>
        <v>0</v>
      </c>
      <c r="AE8" s="157">
        <f t="shared" si="49"/>
        <v>0</v>
      </c>
      <c r="AI8" s="156"/>
      <c r="AJ8" s="156"/>
      <c r="AK8" s="156"/>
      <c r="AL8" s="156">
        <v>4.8899999999999997</v>
      </c>
      <c r="AM8" s="156">
        <v>1.52</v>
      </c>
      <c r="AN8" s="156">
        <v>4</v>
      </c>
      <c r="AO8" s="156">
        <v>4.41</v>
      </c>
      <c r="AP8" s="156">
        <v>12.45</v>
      </c>
      <c r="AQ8" s="156">
        <v>5.03</v>
      </c>
      <c r="AR8" s="156">
        <v>15.73</v>
      </c>
      <c r="AS8" s="156">
        <v>12.16</v>
      </c>
      <c r="AT8" s="156">
        <v>5.88</v>
      </c>
      <c r="AU8" s="156">
        <v>3.1</v>
      </c>
      <c r="AV8" s="156">
        <v>3.02</v>
      </c>
      <c r="AW8" s="156">
        <v>6.77</v>
      </c>
      <c r="AX8" s="156">
        <v>13.95</v>
      </c>
      <c r="AY8" s="156">
        <v>10.37</v>
      </c>
      <c r="AZ8" s="156">
        <v>9.17</v>
      </c>
      <c r="BA8" s="156">
        <v>5.95</v>
      </c>
      <c r="BB8" s="156">
        <v>36.75</v>
      </c>
      <c r="BC8" s="156">
        <v>5.74</v>
      </c>
      <c r="BD8" s="156">
        <v>5.05</v>
      </c>
      <c r="BE8" s="156">
        <v>9.7200000000000006</v>
      </c>
      <c r="BF8" s="156">
        <v>27.08</v>
      </c>
      <c r="BG8" s="156">
        <v>13.68</v>
      </c>
      <c r="BH8" s="156">
        <v>6.66</v>
      </c>
      <c r="BI8" s="156">
        <v>7.93</v>
      </c>
      <c r="BJ8" s="156">
        <v>11.21</v>
      </c>
      <c r="BK8" s="156">
        <v>7.33</v>
      </c>
      <c r="BL8" s="156">
        <v>6.92</v>
      </c>
      <c r="BM8" s="156">
        <v>5.44</v>
      </c>
      <c r="BN8" s="156">
        <v>11.24</v>
      </c>
      <c r="BO8" s="156">
        <v>26.18</v>
      </c>
      <c r="BP8" s="156">
        <v>24.99</v>
      </c>
      <c r="BQ8" s="156">
        <v>24.24</v>
      </c>
      <c r="BR8" s="156">
        <v>23.82</v>
      </c>
      <c r="BS8" s="156">
        <v>18.61</v>
      </c>
      <c r="BT8" s="156">
        <v>20.38</v>
      </c>
      <c r="BU8" s="156">
        <v>21.53</v>
      </c>
      <c r="BV8" s="156">
        <v>32.86</v>
      </c>
      <c r="BW8" s="156">
        <v>26.78</v>
      </c>
      <c r="BX8" s="156">
        <v>29.24</v>
      </c>
      <c r="BY8" s="156">
        <v>23.34</v>
      </c>
      <c r="BZ8" s="156">
        <v>20.04</v>
      </c>
      <c r="CA8" s="156">
        <v>24.52</v>
      </c>
      <c r="CB8" s="156">
        <v>25.32</v>
      </c>
      <c r="CC8" s="156">
        <v>13.43</v>
      </c>
      <c r="CD8" s="156">
        <v>10.58</v>
      </c>
      <c r="CE8" s="156">
        <v>17.11</v>
      </c>
      <c r="CF8" s="156">
        <v>17.96</v>
      </c>
      <c r="CG8" s="156">
        <v>17.75</v>
      </c>
      <c r="CH8" s="156">
        <v>39.520000000000003</v>
      </c>
      <c r="CI8" s="156">
        <v>26.29</v>
      </c>
      <c r="CJ8" s="156">
        <v>32.92</v>
      </c>
      <c r="CK8" s="156">
        <v>18</v>
      </c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523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>
        <f t="shared" si="33"/>
        <v>1.4400000000002819</v>
      </c>
      <c r="P9" s="156">
        <f t="shared" si="34"/>
        <v>0.91999999999984539</v>
      </c>
      <c r="Q9" s="156">
        <f t="shared" si="35"/>
        <v>112.59999999999968</v>
      </c>
      <c r="R9" s="156">
        <f t="shared" si="36"/>
        <v>0.91999999999984539</v>
      </c>
      <c r="S9" s="156">
        <f t="shared" si="37"/>
        <v>0.95000000000027285</v>
      </c>
      <c r="T9" s="156">
        <f t="shared" si="38"/>
        <v>1.7000000000000455</v>
      </c>
      <c r="U9" s="156">
        <f t="shared" si="39"/>
        <v>24.349999999999909</v>
      </c>
      <c r="V9" s="156">
        <f t="shared" si="40"/>
        <v>24.359999999999673</v>
      </c>
      <c r="W9" s="156">
        <f t="shared" si="41"/>
        <v>0</v>
      </c>
      <c r="X9" s="156">
        <f t="shared" si="42"/>
        <v>0</v>
      </c>
      <c r="Y9" s="156">
        <f t="shared" si="43"/>
        <v>17.079999999999927</v>
      </c>
      <c r="Z9" s="156">
        <f t="shared" si="44"/>
        <v>19.5</v>
      </c>
      <c r="AA9" s="157">
        <f t="shared" si="45"/>
        <v>20.98</v>
      </c>
      <c r="AB9" s="157">
        <f t="shared" si="46"/>
        <v>0</v>
      </c>
      <c r="AC9" s="157">
        <f t="shared" si="47"/>
        <v>0</v>
      </c>
      <c r="AD9" s="157">
        <f t="shared" si="48"/>
        <v>0</v>
      </c>
      <c r="AE9" s="157">
        <f t="shared" si="49"/>
        <v>0</v>
      </c>
      <c r="AI9" s="156"/>
      <c r="AJ9" s="156"/>
      <c r="AK9" s="156"/>
      <c r="AL9" s="156">
        <v>0.35999999999989996</v>
      </c>
      <c r="AM9" s="156">
        <v>0.24000000000023647</v>
      </c>
      <c r="AN9" s="156">
        <v>0.17000000000007276</v>
      </c>
      <c r="AO9" s="156">
        <v>0.14999999999986358</v>
      </c>
      <c r="AP9" s="156">
        <v>0.88000000000010914</v>
      </c>
      <c r="AQ9" s="156">
        <v>0.30999999999994543</v>
      </c>
      <c r="AR9" s="156">
        <v>0.12000000000000455</v>
      </c>
      <c r="AS9" s="156">
        <v>0.18999999999994088</v>
      </c>
      <c r="AT9" s="156">
        <v>0.29999999999995453</v>
      </c>
      <c r="AU9" s="156">
        <v>34.240000000000009</v>
      </c>
      <c r="AV9" s="156">
        <v>16.240000000000009</v>
      </c>
      <c r="AW9" s="156">
        <v>35.670000000000073</v>
      </c>
      <c r="AX9" s="156">
        <v>26.449999999999591</v>
      </c>
      <c r="AY9" s="156">
        <v>0.15999999999985448</v>
      </c>
      <c r="AZ9" s="156">
        <v>0.21000000000003638</v>
      </c>
      <c r="BA9" s="156">
        <v>0.22000000000002728</v>
      </c>
      <c r="BB9" s="156">
        <v>0.32999999999992724</v>
      </c>
      <c r="BC9" s="156">
        <v>0.47000000000025466</v>
      </c>
      <c r="BD9" s="156">
        <v>0.20000000000004547</v>
      </c>
      <c r="BE9" s="156">
        <v>0.10999999999989996</v>
      </c>
      <c r="BF9" s="156">
        <v>0.17000000000007276</v>
      </c>
      <c r="BG9" s="156">
        <v>0.18000000000029104</v>
      </c>
      <c r="BH9" s="156">
        <v>0.64999999999986358</v>
      </c>
      <c r="BI9" s="156">
        <v>0.46000000000003638</v>
      </c>
      <c r="BJ9" s="156">
        <v>0.40999999999985448</v>
      </c>
      <c r="BK9" s="156">
        <v>0.19000000000005457</v>
      </c>
      <c r="BL9" s="156">
        <v>0.15999999999985448</v>
      </c>
      <c r="BM9" s="156">
        <v>4.1700000000000728</v>
      </c>
      <c r="BN9" s="156">
        <v>19.829999999999927</v>
      </c>
      <c r="BO9" s="156">
        <v>2.0499999999999545</v>
      </c>
      <c r="BP9" s="156">
        <v>5.1899999999998272</v>
      </c>
      <c r="BQ9" s="156">
        <v>6.7799999999997453</v>
      </c>
      <c r="BR9" s="156">
        <v>10.340000000000146</v>
      </c>
      <c r="BS9" s="156">
        <v>0</v>
      </c>
      <c r="BT9" s="156">
        <v>0</v>
      </c>
      <c r="BU9" s="156">
        <v>0</v>
      </c>
      <c r="BV9" s="156">
        <v>0</v>
      </c>
      <c r="BW9" s="156">
        <v>0</v>
      </c>
      <c r="BX9" s="156">
        <v>0</v>
      </c>
      <c r="BY9" s="156">
        <v>0</v>
      </c>
      <c r="BZ9" s="156">
        <v>0</v>
      </c>
      <c r="CA9" s="156">
        <v>0</v>
      </c>
      <c r="CB9" s="156">
        <v>0</v>
      </c>
      <c r="CC9" s="156">
        <v>0</v>
      </c>
      <c r="CD9" s="156">
        <v>17.079999999999927</v>
      </c>
      <c r="CE9" s="156">
        <v>8.17</v>
      </c>
      <c r="CF9" s="156">
        <v>7.66</v>
      </c>
      <c r="CG9" s="156">
        <v>3.67</v>
      </c>
      <c r="CH9" s="156"/>
      <c r="CI9" s="156">
        <v>12.84</v>
      </c>
      <c r="CJ9" s="156">
        <v>5.96</v>
      </c>
      <c r="CK9" s="156">
        <v>2.1800000000000002</v>
      </c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09" customFormat="1" x14ac:dyDescent="0.2">
      <c r="A10" s="186" t="s">
        <v>431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>
        <f t="shared" ref="O10:AE10" si="50">+SUM(O4:O8)-O9</f>
        <v>5266.0399999999991</v>
      </c>
      <c r="P10" s="107">
        <f t="shared" si="50"/>
        <v>5183.09</v>
      </c>
      <c r="Q10" s="107">
        <f t="shared" si="50"/>
        <v>5746.66</v>
      </c>
      <c r="R10" s="107">
        <f t="shared" si="50"/>
        <v>6095.0199999999995</v>
      </c>
      <c r="S10" s="107">
        <f t="shared" si="50"/>
        <v>6427.869999999999</v>
      </c>
      <c r="T10" s="107">
        <f t="shared" si="50"/>
        <v>7124.07</v>
      </c>
      <c r="U10" s="107">
        <f t="shared" si="50"/>
        <v>7658.08</v>
      </c>
      <c r="V10" s="107">
        <f t="shared" si="50"/>
        <v>7555.78</v>
      </c>
      <c r="W10" s="107">
        <f t="shared" si="50"/>
        <v>7934.45</v>
      </c>
      <c r="X10" s="107">
        <f t="shared" si="50"/>
        <v>9498.7699999999986</v>
      </c>
      <c r="Y10" s="107">
        <f t="shared" si="50"/>
        <v>12481.21</v>
      </c>
      <c r="Z10" s="107">
        <f t="shared" si="50"/>
        <v>15411.8</v>
      </c>
      <c r="AA10" s="108">
        <f t="shared" si="50"/>
        <v>9356.66</v>
      </c>
      <c r="AB10" s="108">
        <f t="shared" si="50"/>
        <v>0</v>
      </c>
      <c r="AC10" s="108">
        <f t="shared" si="50"/>
        <v>0</v>
      </c>
      <c r="AD10" s="108">
        <f t="shared" si="50"/>
        <v>0</v>
      </c>
      <c r="AE10" s="108">
        <f t="shared" si="50"/>
        <v>0</v>
      </c>
      <c r="AI10" s="107"/>
      <c r="AJ10" s="107"/>
      <c r="AK10" s="107"/>
      <c r="AL10" s="107">
        <f>+SUM(AL4:AL8)-AL9</f>
        <v>1597.1100000000001</v>
      </c>
      <c r="AM10" s="107">
        <f t="shared" ref="AM10:CG10" si="51">+SUM(AM4:AM8)-AM9</f>
        <v>1603.3</v>
      </c>
      <c r="AN10" s="107">
        <f t="shared" si="51"/>
        <v>1080.53</v>
      </c>
      <c r="AO10" s="107">
        <f t="shared" si="51"/>
        <v>1119.4000000000001</v>
      </c>
      <c r="AP10" s="107">
        <f t="shared" si="51"/>
        <v>1462.81</v>
      </c>
      <c r="AQ10" s="107">
        <f t="shared" si="51"/>
        <v>1757.34</v>
      </c>
      <c r="AR10" s="107">
        <f t="shared" si="51"/>
        <v>984.65</v>
      </c>
      <c r="AS10" s="107">
        <f t="shared" si="51"/>
        <v>951.13</v>
      </c>
      <c r="AT10" s="107">
        <f t="shared" si="51"/>
        <v>1489.97</v>
      </c>
      <c r="AU10" s="107">
        <f t="shared" si="51"/>
        <v>1564.27</v>
      </c>
      <c r="AV10" s="107">
        <f t="shared" si="51"/>
        <v>1046.68</v>
      </c>
      <c r="AW10" s="107">
        <f t="shared" si="51"/>
        <v>1272.3499999999999</v>
      </c>
      <c r="AX10" s="107">
        <f t="shared" si="51"/>
        <v>1863.3600000000001</v>
      </c>
      <c r="AY10" s="107">
        <f t="shared" si="51"/>
        <v>1855.1799999999998</v>
      </c>
      <c r="AZ10" s="107">
        <f t="shared" si="51"/>
        <v>981.45999999999992</v>
      </c>
      <c r="BA10" s="107">
        <f t="shared" si="51"/>
        <v>1200.1200000000001</v>
      </c>
      <c r="BB10" s="107">
        <f t="shared" si="51"/>
        <v>2058.2600000000002</v>
      </c>
      <c r="BC10" s="107">
        <f t="shared" si="51"/>
        <v>1968.11</v>
      </c>
      <c r="BD10" s="107">
        <f t="shared" si="51"/>
        <v>1036.71</v>
      </c>
      <c r="BE10" s="107">
        <f t="shared" si="51"/>
        <v>1374.67</v>
      </c>
      <c r="BF10" s="107">
        <f t="shared" si="51"/>
        <v>2048.38</v>
      </c>
      <c r="BG10" s="107">
        <f t="shared" si="51"/>
        <v>2148.0899999999997</v>
      </c>
      <c r="BH10" s="107">
        <f t="shared" si="51"/>
        <v>1421.3600000000001</v>
      </c>
      <c r="BI10" s="107">
        <f t="shared" si="51"/>
        <v>1491.78</v>
      </c>
      <c r="BJ10" s="107">
        <f t="shared" si="51"/>
        <v>2062.84</v>
      </c>
      <c r="BK10" s="107">
        <f t="shared" si="51"/>
        <v>2654</v>
      </c>
      <c r="BL10" s="107">
        <f t="shared" si="51"/>
        <v>1421.94</v>
      </c>
      <c r="BM10" s="107">
        <f t="shared" si="51"/>
        <v>1492.51</v>
      </c>
      <c r="BN10" s="107">
        <f t="shared" si="51"/>
        <v>2089.6299999999997</v>
      </c>
      <c r="BO10" s="107">
        <f t="shared" si="51"/>
        <v>1296.94</v>
      </c>
      <c r="BP10" s="107">
        <f t="shared" si="51"/>
        <v>1612.54</v>
      </c>
      <c r="BQ10" s="107">
        <f t="shared" si="51"/>
        <v>1994.64</v>
      </c>
      <c r="BR10" s="107">
        <f t="shared" si="51"/>
        <v>2651.6600000000003</v>
      </c>
      <c r="BS10" s="107">
        <f t="shared" si="51"/>
        <v>1785.2</v>
      </c>
      <c r="BT10" s="107">
        <f t="shared" si="51"/>
        <v>1689.08</v>
      </c>
      <c r="BU10" s="107">
        <f t="shared" si="51"/>
        <v>1793.59</v>
      </c>
      <c r="BV10" s="107">
        <f t="shared" si="51"/>
        <v>2666.5800000000004</v>
      </c>
      <c r="BW10" s="107">
        <f t="shared" si="51"/>
        <v>2768</v>
      </c>
      <c r="BX10" s="107">
        <f t="shared" si="51"/>
        <v>1768.36</v>
      </c>
      <c r="BY10" s="107">
        <f t="shared" si="51"/>
        <v>2005.61</v>
      </c>
      <c r="BZ10" s="107">
        <f t="shared" si="51"/>
        <v>2956.7999999999997</v>
      </c>
      <c r="CA10" s="107">
        <f t="shared" si="51"/>
        <v>3359.8599999999997</v>
      </c>
      <c r="CB10" s="107">
        <f t="shared" si="51"/>
        <v>2292.7500000000005</v>
      </c>
      <c r="CC10" s="107">
        <f t="shared" si="51"/>
        <v>2625.72</v>
      </c>
      <c r="CD10" s="107">
        <f t="shared" si="51"/>
        <v>4202.88</v>
      </c>
      <c r="CE10" s="107">
        <f t="shared" si="51"/>
        <v>4921.0199999999995</v>
      </c>
      <c r="CF10" s="107">
        <f t="shared" si="51"/>
        <v>2618.11</v>
      </c>
      <c r="CG10" s="107">
        <f t="shared" si="51"/>
        <v>3105.11</v>
      </c>
      <c r="CH10" s="107">
        <f t="shared" ref="CH10" si="52">+SUM(CH4:CH8)-CH9</f>
        <v>4767.5600000000004</v>
      </c>
      <c r="CI10" s="107">
        <f t="shared" ref="CI10" si="53">+SUM(CI4:CI8)-CI9</f>
        <v>3938.58</v>
      </c>
      <c r="CJ10" s="107">
        <f t="shared" ref="CJ10:CK10" si="54">+SUM(CJ4:CJ8)-CJ9</f>
        <v>2347.3100000000004</v>
      </c>
      <c r="CK10" s="107">
        <f t="shared" si="54"/>
        <v>3070.77</v>
      </c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E10" s="117"/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>
        <f t="shared" ref="O11" si="55">+O10-O24</f>
        <v>-36.814800000001014</v>
      </c>
      <c r="P11" s="156">
        <f t="shared" ref="P11" si="56">+P10-P24</f>
        <v>-21.706699999999728</v>
      </c>
      <c r="Q11" s="156">
        <f t="shared" ref="Q11" si="57">+Q10-Q24</f>
        <v>7.0999999998093699E-3</v>
      </c>
      <c r="R11" s="156">
        <f t="shared" ref="R11" si="58">+R10-R24</f>
        <v>0</v>
      </c>
      <c r="S11" s="156">
        <f t="shared" ref="S11" si="59">+S10-S24</f>
        <v>0</v>
      </c>
      <c r="T11" s="156">
        <f t="shared" ref="T11" si="60">+T10-T24</f>
        <v>0</v>
      </c>
      <c r="U11" s="156">
        <f t="shared" ref="U11" si="61">+U10-U24</f>
        <v>0</v>
      </c>
      <c r="V11" s="156">
        <f t="shared" ref="V11" si="62">+V10-V24</f>
        <v>0</v>
      </c>
      <c r="W11" s="156">
        <f t="shared" ref="W11" si="63">+W10-W24</f>
        <v>0</v>
      </c>
      <c r="X11" s="156">
        <f t="shared" ref="X11" si="64">+X10-X24</f>
        <v>0</v>
      </c>
      <c r="Y11" s="156">
        <f t="shared" ref="Y11" si="65">+Y10-Y24</f>
        <v>0</v>
      </c>
      <c r="Z11" s="156">
        <f t="shared" ref="Z11" si="66">+Z10-Z24</f>
        <v>-0.99000000000160071</v>
      </c>
      <c r="AA11" s="157"/>
      <c r="AB11" s="157"/>
      <c r="AC11" s="157"/>
      <c r="AD11" s="157"/>
      <c r="AE11" s="157"/>
      <c r="AI11" s="156"/>
      <c r="AJ11" s="156"/>
      <c r="AK11" s="156"/>
      <c r="AL11" s="156">
        <f t="shared" ref="AL11:BQ11" si="67">+AL10-AL24</f>
        <v>0</v>
      </c>
      <c r="AM11" s="156">
        <f t="shared" si="67"/>
        <v>0</v>
      </c>
      <c r="AN11" s="156">
        <f t="shared" si="67"/>
        <v>0</v>
      </c>
      <c r="AO11" s="156">
        <f t="shared" si="67"/>
        <v>0</v>
      </c>
      <c r="AP11" s="156">
        <f t="shared" si="67"/>
        <v>0</v>
      </c>
      <c r="AQ11" s="156">
        <f t="shared" si="67"/>
        <v>0</v>
      </c>
      <c r="AR11" s="156">
        <f t="shared" si="67"/>
        <v>0</v>
      </c>
      <c r="AS11" s="156">
        <f t="shared" si="67"/>
        <v>0</v>
      </c>
      <c r="AT11" s="156">
        <f t="shared" si="67"/>
        <v>0</v>
      </c>
      <c r="AU11" s="156">
        <f t="shared" si="67"/>
        <v>0</v>
      </c>
      <c r="AV11" s="156">
        <f t="shared" si="67"/>
        <v>0</v>
      </c>
      <c r="AW11" s="156">
        <f t="shared" si="67"/>
        <v>0</v>
      </c>
      <c r="AX11" s="156">
        <f t="shared" si="67"/>
        <v>0</v>
      </c>
      <c r="AY11" s="156">
        <f t="shared" si="67"/>
        <v>0</v>
      </c>
      <c r="AZ11" s="156">
        <f t="shared" si="67"/>
        <v>0</v>
      </c>
      <c r="BA11" s="156">
        <f t="shared" si="67"/>
        <v>0</v>
      </c>
      <c r="BB11" s="156">
        <f t="shared" si="67"/>
        <v>0</v>
      </c>
      <c r="BC11" s="156">
        <f t="shared" si="67"/>
        <v>0</v>
      </c>
      <c r="BD11" s="156">
        <f t="shared" si="67"/>
        <v>0</v>
      </c>
      <c r="BE11" s="156">
        <f t="shared" si="67"/>
        <v>0</v>
      </c>
      <c r="BF11" s="156">
        <f t="shared" si="67"/>
        <v>0</v>
      </c>
      <c r="BG11" s="156">
        <f t="shared" si="67"/>
        <v>0</v>
      </c>
      <c r="BH11" s="156">
        <f t="shared" si="67"/>
        <v>0</v>
      </c>
      <c r="BI11" s="156">
        <f t="shared" si="67"/>
        <v>0</v>
      </c>
      <c r="BJ11" s="156">
        <f t="shared" si="67"/>
        <v>0</v>
      </c>
      <c r="BK11" s="156">
        <f t="shared" si="67"/>
        <v>0</v>
      </c>
      <c r="BL11" s="156">
        <f t="shared" si="67"/>
        <v>0</v>
      </c>
      <c r="BM11" s="156">
        <f t="shared" si="67"/>
        <v>0</v>
      </c>
      <c r="BN11" s="156">
        <f t="shared" si="67"/>
        <v>0</v>
      </c>
      <c r="BO11" s="156">
        <f t="shared" si="67"/>
        <v>0</v>
      </c>
      <c r="BP11" s="156">
        <f t="shared" si="67"/>
        <v>0</v>
      </c>
      <c r="BQ11" s="156">
        <f t="shared" si="67"/>
        <v>0</v>
      </c>
      <c r="BR11" s="156">
        <f t="shared" ref="BR11:CJ11" si="68">+BR10-BR24</f>
        <v>0</v>
      </c>
      <c r="BS11" s="156">
        <f t="shared" si="68"/>
        <v>0</v>
      </c>
      <c r="BT11" s="156">
        <f t="shared" si="68"/>
        <v>0</v>
      </c>
      <c r="BU11" s="156">
        <f t="shared" si="68"/>
        <v>0</v>
      </c>
      <c r="BV11" s="156">
        <f t="shared" si="68"/>
        <v>0</v>
      </c>
      <c r="BW11" s="156">
        <f t="shared" si="68"/>
        <v>0</v>
      </c>
      <c r="BX11" s="156">
        <f t="shared" si="68"/>
        <v>0</v>
      </c>
      <c r="BY11" s="156">
        <f t="shared" si="68"/>
        <v>0</v>
      </c>
      <c r="BZ11" s="156">
        <f t="shared" si="68"/>
        <v>0</v>
      </c>
      <c r="CA11" s="156">
        <f t="shared" si="68"/>
        <v>0</v>
      </c>
      <c r="CB11" s="156">
        <f t="shared" si="68"/>
        <v>0</v>
      </c>
      <c r="CC11" s="156">
        <f t="shared" si="68"/>
        <v>0</v>
      </c>
      <c r="CD11" s="156">
        <f t="shared" si="68"/>
        <v>0</v>
      </c>
      <c r="CE11" s="156">
        <f t="shared" si="68"/>
        <v>0</v>
      </c>
      <c r="CF11" s="156">
        <f t="shared" si="68"/>
        <v>-1</v>
      </c>
      <c r="CG11" s="156">
        <f t="shared" si="68"/>
        <v>0</v>
      </c>
      <c r="CH11" s="156">
        <f t="shared" si="68"/>
        <v>0</v>
      </c>
      <c r="CI11" s="156">
        <f t="shared" si="68"/>
        <v>0</v>
      </c>
      <c r="CJ11" s="156">
        <f t="shared" si="68"/>
        <v>-9.999999999308784E-3</v>
      </c>
      <c r="CK11" s="156">
        <f t="shared" ref="CK11" si="69">+CK10-CK24</f>
        <v>0</v>
      </c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529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85">
        <f>+P4/O4-1</f>
        <v>-0.17971936027811397</v>
      </c>
      <c r="Q13" s="185">
        <f t="shared" ref="Q13:Z13" si="70">+Q4/P4-1</f>
        <v>0.23029241037065207</v>
      </c>
      <c r="R13" s="185">
        <f t="shared" si="70"/>
        <v>-2.2862190162486251E-2</v>
      </c>
      <c r="S13" s="185">
        <f t="shared" si="70"/>
        <v>7.1630075743023491E-2</v>
      </c>
      <c r="T13" s="185">
        <f t="shared" si="70"/>
        <v>0.27199046819039707</v>
      </c>
      <c r="U13" s="185">
        <f t="shared" si="70"/>
        <v>-0.10304828851531334</v>
      </c>
      <c r="V13" s="185">
        <f t="shared" si="70"/>
        <v>9.8652553494303907E-2</v>
      </c>
      <c r="W13" s="185">
        <f t="shared" si="70"/>
        <v>-0.30728357606312284</v>
      </c>
      <c r="X13" s="185">
        <f t="shared" si="70"/>
        <v>-2.7354897206626982E-2</v>
      </c>
      <c r="Y13" s="185">
        <f t="shared" si="70"/>
        <v>0.53273738924886915</v>
      </c>
      <c r="Z13" s="185">
        <f t="shared" si="70"/>
        <v>0.12863321775820435</v>
      </c>
      <c r="AA13" s="188">
        <f t="shared" ref="AA13:AE13" si="71">+AA4/Z4-1</f>
        <v>-0.31144464839455444</v>
      </c>
      <c r="AB13" s="188">
        <f t="shared" si="71"/>
        <v>-1</v>
      </c>
      <c r="AC13" s="188" t="e">
        <f t="shared" si="71"/>
        <v>#DIV/0!</v>
      </c>
      <c r="AD13" s="188" t="e">
        <f t="shared" si="71"/>
        <v>#DIV/0!</v>
      </c>
      <c r="AE13" s="188" t="e">
        <f t="shared" si="71"/>
        <v>#DIV/0!</v>
      </c>
      <c r="AI13" s="156"/>
      <c r="AJ13" s="156"/>
      <c r="AK13" s="156"/>
      <c r="AL13" s="156"/>
      <c r="AM13" s="156"/>
      <c r="AN13" s="156"/>
      <c r="AO13" s="156"/>
      <c r="AP13" s="185">
        <f>+AP4/AL4-1</f>
        <v>-0.22377313635591789</v>
      </c>
      <c r="AQ13" s="185">
        <f t="shared" ref="AQ13:CK13" si="72">+AQ4/AM4-1</f>
        <v>-0.10204199437188832</v>
      </c>
      <c r="AR13" s="185">
        <f t="shared" si="72"/>
        <v>-0.21696875745289756</v>
      </c>
      <c r="AS13" s="185">
        <f t="shared" si="72"/>
        <v>-0.28246566393429873</v>
      </c>
      <c r="AT13" s="185">
        <f t="shared" si="72"/>
        <v>-0.1254375218760938</v>
      </c>
      <c r="AU13" s="185">
        <f t="shared" si="72"/>
        <v>-0.10656659809719726</v>
      </c>
      <c r="AV13" s="185">
        <f t="shared" si="72"/>
        <v>0.18175588212898774</v>
      </c>
      <c r="AW13" s="185">
        <f t="shared" si="72"/>
        <v>0.56482625566321998</v>
      </c>
      <c r="AX13" s="185">
        <f t="shared" si="72"/>
        <v>0.36500075041272706</v>
      </c>
      <c r="AY13" s="185">
        <f t="shared" si="72"/>
        <v>4.3674563344306083E-2</v>
      </c>
      <c r="AZ13" s="185">
        <f t="shared" si="72"/>
        <v>-0.12493556701030917</v>
      </c>
      <c r="BA13" s="185">
        <f t="shared" si="72"/>
        <v>-2.6722263011345504E-2</v>
      </c>
      <c r="BB13" s="185">
        <f t="shared" si="72"/>
        <v>1.2766477307433854E-2</v>
      </c>
      <c r="BC13" s="185">
        <f t="shared" si="72"/>
        <v>0.13894969062925489</v>
      </c>
      <c r="BD13" s="185">
        <f t="shared" si="72"/>
        <v>2.6194683749355852E-2</v>
      </c>
      <c r="BE13" s="185">
        <f t="shared" si="72"/>
        <v>7.2290699991460095E-2</v>
      </c>
      <c r="BF13" s="185">
        <f t="shared" si="72"/>
        <v>5.3727382388419676E-2</v>
      </c>
      <c r="BG13" s="185">
        <f t="shared" si="72"/>
        <v>0.31103309474448793</v>
      </c>
      <c r="BH13" s="185">
        <f t="shared" si="72"/>
        <v>0.61709150268175872</v>
      </c>
      <c r="BI13" s="185">
        <f t="shared" si="72"/>
        <v>0.16175318900407509</v>
      </c>
      <c r="BJ13" s="185">
        <f t="shared" si="72"/>
        <v>0.11729285436270809</v>
      </c>
      <c r="BK13" s="185">
        <f t="shared" si="72"/>
        <v>-4.8766693214215673E-2</v>
      </c>
      <c r="BL13" s="185">
        <f t="shared" si="72"/>
        <v>-0.10222079247459726</v>
      </c>
      <c r="BM13" s="185">
        <f t="shared" si="72"/>
        <v>-7.6665562195080139E-2</v>
      </c>
      <c r="BN13" s="185">
        <f t="shared" si="72"/>
        <v>-0.17565573770491805</v>
      </c>
      <c r="BO13" s="185">
        <f t="shared" si="72"/>
        <v>-0.37134155220113574</v>
      </c>
      <c r="BP13" s="185">
        <f t="shared" si="72"/>
        <v>0.14638033929299543</v>
      </c>
      <c r="BQ13" s="185">
        <f t="shared" si="72"/>
        <v>0.25804016680484576</v>
      </c>
      <c r="BR13" s="185">
        <f t="shared" si="72"/>
        <v>0.37196728646713728</v>
      </c>
      <c r="BS13" s="185">
        <f t="shared" si="72"/>
        <v>0.32876527244301168</v>
      </c>
      <c r="BT13" s="185">
        <f t="shared" si="72"/>
        <v>-0.42177193360638066</v>
      </c>
      <c r="BU13" s="185">
        <f t="shared" si="72"/>
        <v>-0.45529478881828733</v>
      </c>
      <c r="BV13" s="185">
        <f t="shared" si="72"/>
        <v>-0.37326399898535101</v>
      </c>
      <c r="BW13" s="185">
        <f t="shared" si="72"/>
        <v>-0.33951657418436421</v>
      </c>
      <c r="BX13" s="185">
        <f t="shared" si="72"/>
        <v>3.2731881896808757E-2</v>
      </c>
      <c r="BY13" s="185">
        <f t="shared" si="72"/>
        <v>0.17084401747986577</v>
      </c>
      <c r="BZ13" s="185">
        <f t="shared" si="72"/>
        <v>7.8027204001098527E-2</v>
      </c>
      <c r="CA13" s="185">
        <f t="shared" si="72"/>
        <v>0.49345708064835381</v>
      </c>
      <c r="CB13" s="185">
        <f t="shared" si="72"/>
        <v>0.66809255649411625</v>
      </c>
      <c r="CC13" s="185">
        <f t="shared" si="72"/>
        <v>0.5143355079504619</v>
      </c>
      <c r="CD13" s="185">
        <f t="shared" si="72"/>
        <v>0.47213022432588292</v>
      </c>
      <c r="CE13" s="185">
        <f t="shared" si="72"/>
        <v>0.39771154242629536</v>
      </c>
      <c r="CF13" s="185">
        <f t="shared" si="72"/>
        <v>-4.791222584100685E-2</v>
      </c>
      <c r="CG13" s="185">
        <f t="shared" si="72"/>
        <v>0.21219497290911304</v>
      </c>
      <c r="CH13" s="185">
        <f t="shared" si="72"/>
        <v>3.6087075325621498E-2</v>
      </c>
      <c r="CI13" s="185">
        <f t="shared" si="72"/>
        <v>-2.8763183125599223E-2</v>
      </c>
      <c r="CJ13" s="185">
        <f t="shared" si="72"/>
        <v>9.803275334977446E-2</v>
      </c>
      <c r="CK13" s="185">
        <f t="shared" si="72"/>
        <v>-0.18151953824050815</v>
      </c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534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85">
        <f t="shared" ref="P14:Z14" si="73">+P5/O5-1</f>
        <v>-0.19668912587568599</v>
      </c>
      <c r="Q14" s="185">
        <f t="shared" si="73"/>
        <v>2.8134199855579523E-2</v>
      </c>
      <c r="R14" s="185">
        <f t="shared" si="73"/>
        <v>-0.10367649045084937</v>
      </c>
      <c r="S14" s="185">
        <f t="shared" si="73"/>
        <v>-6.5941351978541896E-2</v>
      </c>
      <c r="T14" s="185">
        <f t="shared" si="73"/>
        <v>5.5496402413446333E-3</v>
      </c>
      <c r="U14" s="185">
        <f t="shared" si="73"/>
        <v>6.4206642066420683E-2</v>
      </c>
      <c r="V14" s="185">
        <f t="shared" si="73"/>
        <v>8.3911234396671475E-2</v>
      </c>
      <c r="W14" s="185">
        <f t="shared" si="73"/>
        <v>0.35931458455033516</v>
      </c>
      <c r="X14" s="185">
        <f t="shared" si="73"/>
        <v>6.814554086686031E-2</v>
      </c>
      <c r="Y14" s="185">
        <f t="shared" si="73"/>
        <v>0.12635067821289003</v>
      </c>
      <c r="Z14" s="185">
        <f t="shared" si="73"/>
        <v>-3.3440492592403781E-2</v>
      </c>
      <c r="AA14" s="188">
        <f t="shared" ref="AA14:AE14" si="74">+AA5/Z5-1</f>
        <v>-0.24142542894852614</v>
      </c>
      <c r="AB14" s="188">
        <f t="shared" si="74"/>
        <v>-1</v>
      </c>
      <c r="AC14" s="188" t="e">
        <f t="shared" si="74"/>
        <v>#DIV/0!</v>
      </c>
      <c r="AD14" s="188" t="e">
        <f t="shared" si="74"/>
        <v>#DIV/0!</v>
      </c>
      <c r="AE14" s="188" t="e">
        <f t="shared" si="74"/>
        <v>#DIV/0!</v>
      </c>
      <c r="AI14" s="156"/>
      <c r="AJ14" s="156"/>
      <c r="AK14" s="156"/>
      <c r="AL14" s="156"/>
      <c r="AM14" s="156"/>
      <c r="AN14" s="156"/>
      <c r="AO14" s="156"/>
      <c r="AP14" s="185">
        <f t="shared" ref="AP14:AP19" si="75">+AP5/AL5-1</f>
        <v>-4.9470644850818091E-2</v>
      </c>
      <c r="AQ14" s="185">
        <f t="shared" ref="AQ14:AQ19" si="76">+AQ5/AM5-1</f>
        <v>-2.51866510749299E-3</v>
      </c>
      <c r="AR14" s="185">
        <f t="shared" ref="AR14:AR19" si="77">+AR5/AN5-1</f>
        <v>-0.31069112762928985</v>
      </c>
      <c r="AS14" s="185">
        <f t="shared" ref="AS14:AS19" si="78">+AS5/AO5-1</f>
        <v>-0.27613341679334702</v>
      </c>
      <c r="AT14" s="185">
        <f t="shared" ref="AT14:AT19" si="79">+AT5/AP5-1</f>
        <v>-0.17932361279870401</v>
      </c>
      <c r="AU14" s="185">
        <f t="shared" ref="AU14:AU19" si="80">+AU5/AQ5-1</f>
        <v>-0.368743800162323</v>
      </c>
      <c r="AV14" s="185">
        <f t="shared" ref="AV14:AV19" si="81">+AV5/AR5-1</f>
        <v>0.10267293793736387</v>
      </c>
      <c r="AW14" s="185">
        <f t="shared" ref="AW14:AW19" si="82">+AW5/AS5-1</f>
        <v>0.37628165534280411</v>
      </c>
      <c r="AX14" s="185">
        <f t="shared" ref="AX14:AX19" si="83">+AX5/AT5-1</f>
        <v>0.14324491054904387</v>
      </c>
      <c r="AY14" s="185">
        <f t="shared" ref="AY14:AY19" si="84">+AY5/AU5-1</f>
        <v>-1.2285714285714233E-2</v>
      </c>
      <c r="AZ14" s="185">
        <f t="shared" ref="AZ14:AZ19" si="85">+AZ5/AV5-1</f>
        <v>-0.21868497711194346</v>
      </c>
      <c r="BA14" s="185">
        <f t="shared" ref="BA14:BA19" si="86">+BA5/AW5-1</f>
        <v>-0.27528947132214343</v>
      </c>
      <c r="BB14" s="185">
        <f t="shared" ref="BB14:BB19" si="87">+BB5/AX5-1</f>
        <v>0.1529246708396288</v>
      </c>
      <c r="BC14" s="185">
        <f t="shared" ref="BC14:BC19" si="88">+BC5/AY5-1</f>
        <v>0.30676887474689019</v>
      </c>
      <c r="BD14" s="185">
        <f t="shared" ref="BD14:BD19" si="89">+BD5/AZ5-1</f>
        <v>-0.11291611185086536</v>
      </c>
      <c r="BE14" s="185">
        <f t="shared" ref="BE14:BE19" si="90">+BE5/BA5-1</f>
        <v>-0.13896457765667569</v>
      </c>
      <c r="BF14" s="185">
        <f t="shared" ref="BF14:BF19" si="91">+BF5/BB5-1</f>
        <v>-0.21894598895441353</v>
      </c>
      <c r="BG14" s="185">
        <f t="shared" ref="BG14:BG19" si="92">+BG5/BC5-1</f>
        <v>-0.1459878251245158</v>
      </c>
      <c r="BH14" s="185">
        <f t="shared" ref="BH14:BH19" si="93">+BH5/BD5-1</f>
        <v>9.3665565896127179E-2</v>
      </c>
      <c r="BI14" s="185">
        <f t="shared" ref="BI14:BI19" si="94">+BI5/BE5-1</f>
        <v>0.19620253164556956</v>
      </c>
      <c r="BJ14" s="185">
        <f t="shared" ref="BJ14:BJ19" si="95">+BJ5/BF5-1</f>
        <v>-5.9563758389261756E-2</v>
      </c>
      <c r="BK14" s="185">
        <f t="shared" ref="BK14:BK19" si="96">+BK5/BG5-1</f>
        <v>-4.1472265422498711E-2</v>
      </c>
      <c r="BL14" s="185">
        <f t="shared" ref="BL14:BL19" si="97">+BL5/BH5-1</f>
        <v>0.10211364260225086</v>
      </c>
      <c r="BM14" s="185">
        <f t="shared" ref="BM14:BM19" si="98">+BM5/BI5-1</f>
        <v>-6.7340067340068144E-3</v>
      </c>
      <c r="BN14" s="185">
        <f t="shared" ref="BN14:BN19" si="99">+BN5/BJ5-1</f>
        <v>0.20810500828342038</v>
      </c>
      <c r="BO14" s="185">
        <f t="shared" ref="BO14:BO19" si="100">+BO5/BK5-1</f>
        <v>-0.35627366143861539</v>
      </c>
      <c r="BP14" s="185">
        <f t="shared" ref="BP14:BP19" si="101">+BP5/BL5-1</f>
        <v>0.16176836861768384</v>
      </c>
      <c r="BQ14" s="185">
        <f t="shared" ref="BQ14:BQ19" si="102">+BQ5/BM5-1</f>
        <v>0.4638014527845038</v>
      </c>
      <c r="BR14" s="185">
        <f t="shared" ref="BR14:BR19" si="103">+BR5/BN5-1</f>
        <v>3.03797468354432E-2</v>
      </c>
      <c r="BS14" s="185">
        <f t="shared" ref="BS14:BS19" si="104">+BS5/BO5-1</f>
        <v>1.4167191766435625</v>
      </c>
      <c r="BT14" s="185">
        <f t="shared" ref="BT14:BT19" si="105">+BT5/BP5-1</f>
        <v>0.34440990459856358</v>
      </c>
      <c r="BU14" s="185">
        <f t="shared" ref="BU14:BU19" si="106">+BU5/BQ5-1</f>
        <v>3.1180216690100071E-2</v>
      </c>
      <c r="BV14" s="185">
        <f t="shared" ref="BV14:BV19" si="107">+BV5/BR5-1</f>
        <v>0.26433251433251415</v>
      </c>
      <c r="BW14" s="185">
        <f t="shared" ref="BW14:BW19" si="108">+BW5/BS5-1</f>
        <v>8.0566660872588125E-2</v>
      </c>
      <c r="BX14" s="185">
        <f t="shared" ref="BX14:BX19" si="109">+BX5/BT5-1</f>
        <v>9.5279859671503875E-2</v>
      </c>
      <c r="BY14" s="185">
        <f t="shared" ref="BY14:BY19" si="110">+BY5/BU5-1</f>
        <v>-5.4299005453962268E-2</v>
      </c>
      <c r="BZ14" s="185">
        <f t="shared" ref="BZ14:BZ19" si="111">+BZ5/BV5-1</f>
        <v>0.15263157894736845</v>
      </c>
      <c r="CA14" s="185">
        <f t="shared" ref="CA14:CA19" si="112">+CA5/BW5-1</f>
        <v>0.14461513713504393</v>
      </c>
      <c r="CB14" s="185">
        <f t="shared" ref="CB14:CB19" si="113">+CB5/BX5-1</f>
        <v>-2.1329256751838166E-2</v>
      </c>
      <c r="CC14" s="185">
        <f t="shared" ref="CC14:CC19" si="114">+CC5/BY5-1</f>
        <v>0.31286574505979159</v>
      </c>
      <c r="CD14" s="185">
        <f t="shared" ref="CD14:CD19" si="115">+CD5/BZ5-1</f>
        <v>9.8419388830347954E-2</v>
      </c>
      <c r="CE14" s="185">
        <f t="shared" ref="CE14:CE19" si="116">+CE5/CA5-1</f>
        <v>0.12978708453376431</v>
      </c>
      <c r="CF14" s="185">
        <f t="shared" ref="CF14:CF19" si="117">+CF5/CB5-1</f>
        <v>8.3829217494793218E-2</v>
      </c>
      <c r="CG14" s="185">
        <f t="shared" ref="CG14:CG19" si="118">+CG5/CC5-1</f>
        <v>-0.16233850129198979</v>
      </c>
      <c r="CH14" s="185">
        <f t="shared" ref="CH14:CH19" si="119">+CH5/CD5-1</f>
        <v>-0.15521872601688413</v>
      </c>
      <c r="CI14" s="185">
        <f t="shared" ref="CI14:CI19" si="120">+CI5/CE5-1</f>
        <v>-0.1576066674959572</v>
      </c>
      <c r="CJ14" s="185">
        <f t="shared" ref="CJ14:CK19" si="121">+CJ5/CF5-1</f>
        <v>-4.5707226683137758E-2</v>
      </c>
      <c r="CK14" s="185">
        <f t="shared" si="121"/>
        <v>0.20744967995681352</v>
      </c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530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85">
        <f t="shared" ref="P15:Z15" si="122">+P6/O6-1</f>
        <v>0.22318531294764221</v>
      </c>
      <c r="Q15" s="185">
        <f t="shared" si="122"/>
        <v>1.8378882210245973E-2</v>
      </c>
      <c r="R15" s="185">
        <f t="shared" si="122"/>
        <v>0.19174851269053383</v>
      </c>
      <c r="S15" s="185">
        <f t="shared" si="122"/>
        <v>5.8824494725717713E-2</v>
      </c>
      <c r="T15" s="185">
        <f t="shared" si="122"/>
        <v>-2.1862378296947704E-2</v>
      </c>
      <c r="U15" s="185">
        <f t="shared" si="122"/>
        <v>0.2909594493528882</v>
      </c>
      <c r="V15" s="185">
        <f t="shared" si="122"/>
        <v>-0.12731914475783679</v>
      </c>
      <c r="W15" s="185">
        <f t="shared" si="122"/>
        <v>0.37323911967235257</v>
      </c>
      <c r="X15" s="185">
        <f t="shared" si="122"/>
        <v>0.32622001179863669</v>
      </c>
      <c r="Y15" s="185">
        <f t="shared" si="122"/>
        <v>0.25932504440497328</v>
      </c>
      <c r="Z15" s="185">
        <f t="shared" si="122"/>
        <v>0.30176243331084818</v>
      </c>
      <c r="AA15" s="188">
        <f t="shared" ref="AA15:AE15" si="123">+AA6/Z6-1</f>
        <v>-0.43402720201395895</v>
      </c>
      <c r="AB15" s="188">
        <f t="shared" si="123"/>
        <v>-1</v>
      </c>
      <c r="AC15" s="188" t="e">
        <f t="shared" si="123"/>
        <v>#DIV/0!</v>
      </c>
      <c r="AD15" s="188" t="e">
        <f t="shared" si="123"/>
        <v>#DIV/0!</v>
      </c>
      <c r="AE15" s="188" t="e">
        <f t="shared" si="123"/>
        <v>#DIV/0!</v>
      </c>
      <c r="AI15" s="156"/>
      <c r="AJ15" s="156"/>
      <c r="AK15" s="156"/>
      <c r="AL15" s="156"/>
      <c r="AM15" s="156"/>
      <c r="AN15" s="156"/>
      <c r="AO15" s="156"/>
      <c r="AP15" s="185">
        <f t="shared" si="75"/>
        <v>0.11753855613055286</v>
      </c>
      <c r="AQ15" s="185">
        <f t="shared" si="76"/>
        <v>0.27282202506546005</v>
      </c>
      <c r="AR15" s="185">
        <f t="shared" si="77"/>
        <v>0.30479361355983503</v>
      </c>
      <c r="AS15" s="185">
        <f t="shared" si="78"/>
        <v>0.10508875057630229</v>
      </c>
      <c r="AT15" s="185">
        <f t="shared" si="79"/>
        <v>0.19317469778246443</v>
      </c>
      <c r="AU15" s="185">
        <f t="shared" si="80"/>
        <v>-5.2357746310092046E-2</v>
      </c>
      <c r="AV15" s="185">
        <f t="shared" si="81"/>
        <v>-8.9222025690839923E-2</v>
      </c>
      <c r="AW15" s="185">
        <f t="shared" si="82"/>
        <v>0.13303434069515774</v>
      </c>
      <c r="AX15" s="185">
        <f t="shared" si="83"/>
        <v>0.10031637057625553</v>
      </c>
      <c r="AY15" s="185">
        <f t="shared" si="84"/>
        <v>0.25993993361083279</v>
      </c>
      <c r="AZ15" s="185">
        <f t="shared" si="85"/>
        <v>0.12753900031836984</v>
      </c>
      <c r="BA15" s="185">
        <f t="shared" si="86"/>
        <v>-5.3989367822704915E-2</v>
      </c>
      <c r="BB15" s="185">
        <f t="shared" si="87"/>
        <v>0.26419882428263786</v>
      </c>
      <c r="BC15" s="185">
        <f t="shared" si="88"/>
        <v>1.3415633729780607E-2</v>
      </c>
      <c r="BD15" s="185">
        <f t="shared" si="89"/>
        <v>0.15137226112491509</v>
      </c>
      <c r="BE15" s="185">
        <f t="shared" si="90"/>
        <v>0.31892378427031876</v>
      </c>
      <c r="BF15" s="185">
        <f t="shared" si="91"/>
        <v>-1.9815655472785632E-2</v>
      </c>
      <c r="BG15" s="185">
        <f t="shared" si="92"/>
        <v>-1.7001469058977037E-2</v>
      </c>
      <c r="BH15" s="185">
        <f t="shared" si="93"/>
        <v>8.1516541187434122E-2</v>
      </c>
      <c r="BI15" s="185">
        <f t="shared" si="94"/>
        <v>-2.9972148956969202E-2</v>
      </c>
      <c r="BJ15" s="185">
        <f t="shared" si="95"/>
        <v>-6.286578549352273E-2</v>
      </c>
      <c r="BK15" s="185">
        <f t="shared" si="96"/>
        <v>0.46825516766577668</v>
      </c>
      <c r="BL15" s="185">
        <f t="shared" si="97"/>
        <v>0.19169633341647563</v>
      </c>
      <c r="BM15" s="185">
        <f t="shared" si="98"/>
        <v>0.1418276543961059</v>
      </c>
      <c r="BN15" s="185">
        <f t="shared" si="99"/>
        <v>0.20178032619264807</v>
      </c>
      <c r="BO15" s="185">
        <f t="shared" si="100"/>
        <v>-0.59565525680760301</v>
      </c>
      <c r="BP15" s="185">
        <f t="shared" si="101"/>
        <v>8.7717629150413812E-2</v>
      </c>
      <c r="BQ15" s="185">
        <f t="shared" si="102"/>
        <v>0.39816156267172897</v>
      </c>
      <c r="BR15" s="185">
        <f t="shared" si="103"/>
        <v>0.19836344527300942</v>
      </c>
      <c r="BS15" s="185">
        <f t="shared" si="104"/>
        <v>0.36203702394252657</v>
      </c>
      <c r="BT15" s="185">
        <f t="shared" si="105"/>
        <v>0.76121752820781952</v>
      </c>
      <c r="BU15" s="185">
        <f t="shared" si="106"/>
        <v>0.3025094984576171</v>
      </c>
      <c r="BV15" s="185">
        <f t="shared" si="107"/>
        <v>0.26571168048333993</v>
      </c>
      <c r="BW15" s="185">
        <f t="shared" si="108"/>
        <v>1.2450187413691061</v>
      </c>
      <c r="BX15" s="185">
        <f t="shared" si="109"/>
        <v>4.0633690901867414E-2</v>
      </c>
      <c r="BY15" s="185">
        <f t="shared" si="110"/>
        <v>0.11189648866130231</v>
      </c>
      <c r="BZ15" s="185">
        <f t="shared" si="111"/>
        <v>0.12659961174872536</v>
      </c>
      <c r="CA15" s="185">
        <f t="shared" si="112"/>
        <v>0.16269077791138664</v>
      </c>
      <c r="CB15" s="185">
        <f t="shared" si="113"/>
        <v>0.1537543785971307</v>
      </c>
      <c r="CC15" s="185">
        <f t="shared" si="114"/>
        <v>0.21352500472873492</v>
      </c>
      <c r="CD15" s="185">
        <f t="shared" si="115"/>
        <v>0.4424929952846306</v>
      </c>
      <c r="CE15" s="185">
        <f t="shared" si="116"/>
        <v>0.51241661595007115</v>
      </c>
      <c r="CF15" s="185">
        <f t="shared" si="117"/>
        <v>0.30889311714096634</v>
      </c>
      <c r="CG15" s="185">
        <f t="shared" si="118"/>
        <v>0.20026971896368306</v>
      </c>
      <c r="CH15" s="185">
        <f t="shared" si="119"/>
        <v>0.17031795663120275</v>
      </c>
      <c r="CI15" s="185">
        <f t="shared" si="120"/>
        <v>-0.24573072745300706</v>
      </c>
      <c r="CJ15" s="185">
        <f t="shared" si="121"/>
        <v>-0.23199489315442512</v>
      </c>
      <c r="CK15" s="185">
        <f t="shared" si="121"/>
        <v>8.6425050673863524E-2</v>
      </c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535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85">
        <f t="shared" ref="P16:R16" si="124">+P7/O7-1</f>
        <v>0.27056110684089174</v>
      </c>
      <c r="Q16" s="185">
        <f t="shared" si="124"/>
        <v>1.8501209921355106</v>
      </c>
      <c r="R16" s="185">
        <f t="shared" si="124"/>
        <v>-1</v>
      </c>
      <c r="S16" s="185"/>
      <c r="T16" s="185"/>
      <c r="U16" s="185"/>
      <c r="V16" s="185"/>
      <c r="W16" s="185"/>
      <c r="X16" s="185"/>
      <c r="Y16" s="185"/>
      <c r="Z16" s="185"/>
      <c r="AA16" s="188"/>
      <c r="AB16" s="188"/>
      <c r="AC16" s="188"/>
      <c r="AD16" s="188"/>
      <c r="AE16" s="188"/>
      <c r="AI16" s="156"/>
      <c r="AJ16" s="156"/>
      <c r="AK16" s="156"/>
      <c r="AL16" s="156"/>
      <c r="AM16" s="156"/>
      <c r="AN16" s="156"/>
      <c r="AO16" s="156"/>
      <c r="AP16" s="185">
        <f t="shared" si="75"/>
        <v>-0.37083753784056506</v>
      </c>
      <c r="AQ16" s="185">
        <f t="shared" si="76"/>
        <v>0.62275985663082434</v>
      </c>
      <c r="AR16" s="185">
        <f t="shared" si="77"/>
        <v>-0.22392026578073099</v>
      </c>
      <c r="AS16" s="185">
        <f t="shared" si="78"/>
        <v>2.2455089820359042E-3</v>
      </c>
      <c r="AT16" s="185">
        <f t="shared" si="79"/>
        <v>0.83961507618283893</v>
      </c>
      <c r="AU16" s="185">
        <f t="shared" si="80"/>
        <v>0.13362782992821653</v>
      </c>
      <c r="AV16" s="185">
        <f t="shared" si="81"/>
        <v>1.4726027397260273</v>
      </c>
      <c r="AW16" s="185">
        <f t="shared" si="82"/>
        <v>1.4973861090365941</v>
      </c>
      <c r="AX16" s="185">
        <f t="shared" si="83"/>
        <v>3.6033129904097638</v>
      </c>
      <c r="AY16" s="185">
        <f t="shared" si="84"/>
        <v>-1</v>
      </c>
      <c r="AZ16" s="185">
        <f t="shared" si="85"/>
        <v>-1</v>
      </c>
      <c r="BA16" s="185">
        <f t="shared" si="86"/>
        <v>-1</v>
      </c>
      <c r="BB16" s="185">
        <f t="shared" si="87"/>
        <v>-1</v>
      </c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531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85">
        <f t="shared" ref="P17:Z17" si="125">+P8/O8-1</f>
        <v>0.73369079535299409</v>
      </c>
      <c r="Q17" s="185">
        <f t="shared" si="125"/>
        <v>-0.3082474226804125</v>
      </c>
      <c r="R17" s="185">
        <f t="shared" si="125"/>
        <v>1.3189269746646795</v>
      </c>
      <c r="S17" s="185">
        <f t="shared" si="125"/>
        <v>-0.23537917737789205</v>
      </c>
      <c r="T17" s="185">
        <f t="shared" si="125"/>
        <v>-0.17041395251103153</v>
      </c>
      <c r="U17" s="185">
        <f t="shared" si="125"/>
        <v>-0.21656534954407303</v>
      </c>
      <c r="V17" s="185">
        <f t="shared" si="125"/>
        <v>2.208212091820239</v>
      </c>
      <c r="W17" s="185">
        <f t="shared" si="125"/>
        <v>-5.8953945379421446E-2</v>
      </c>
      <c r="X17" s="185">
        <f t="shared" si="125"/>
        <v>6.4467766116941716E-2</v>
      </c>
      <c r="Y17" s="185">
        <f t="shared" si="125"/>
        <v>-0.25704225352112675</v>
      </c>
      <c r="Z17" s="185">
        <f t="shared" si="125"/>
        <v>0.25037237643872712</v>
      </c>
      <c r="AA17" s="188">
        <f t="shared" ref="AA17:AE17" si="126">+AA8/Z8-1</f>
        <v>-0.16385098548841237</v>
      </c>
      <c r="AB17" s="188">
        <f t="shared" si="126"/>
        <v>-1</v>
      </c>
      <c r="AC17" s="188" t="e">
        <f t="shared" si="126"/>
        <v>#DIV/0!</v>
      </c>
      <c r="AD17" s="188" t="e">
        <f t="shared" si="126"/>
        <v>#DIV/0!</v>
      </c>
      <c r="AE17" s="188" t="e">
        <f t="shared" si="126"/>
        <v>#DIV/0!</v>
      </c>
      <c r="AI17" s="156"/>
      <c r="AJ17" s="156"/>
      <c r="AK17" s="156"/>
      <c r="AL17" s="156"/>
      <c r="AM17" s="156"/>
      <c r="AN17" s="156"/>
      <c r="AO17" s="156"/>
      <c r="AP17" s="185">
        <f t="shared" si="75"/>
        <v>1.5460122699386503</v>
      </c>
      <c r="AQ17" s="185">
        <f t="shared" si="76"/>
        <v>2.3092105263157894</v>
      </c>
      <c r="AR17" s="185">
        <f t="shared" si="77"/>
        <v>2.9325000000000001</v>
      </c>
      <c r="AS17" s="185">
        <f t="shared" si="78"/>
        <v>1.7573696145124718</v>
      </c>
      <c r="AT17" s="185">
        <f t="shared" si="79"/>
        <v>-0.52771084337349394</v>
      </c>
      <c r="AU17" s="185">
        <f t="shared" si="80"/>
        <v>-0.38369781312127238</v>
      </c>
      <c r="AV17" s="185">
        <f t="shared" si="81"/>
        <v>-0.80801017164653532</v>
      </c>
      <c r="AW17" s="185">
        <f t="shared" si="82"/>
        <v>-0.44325657894736847</v>
      </c>
      <c r="AX17" s="185">
        <f t="shared" si="83"/>
        <v>1.3724489795918369</v>
      </c>
      <c r="AY17" s="185">
        <f t="shared" si="84"/>
        <v>2.3451612903225802</v>
      </c>
      <c r="AZ17" s="185">
        <f t="shared" si="85"/>
        <v>2.0364238410596025</v>
      </c>
      <c r="BA17" s="185">
        <f t="shared" si="86"/>
        <v>-0.12112259970457895</v>
      </c>
      <c r="BB17" s="185">
        <f t="shared" si="87"/>
        <v>1.634408602150538</v>
      </c>
      <c r="BC17" s="185">
        <f t="shared" si="88"/>
        <v>-0.44648023143683702</v>
      </c>
      <c r="BD17" s="185">
        <f t="shared" si="89"/>
        <v>-0.44929116684841874</v>
      </c>
      <c r="BE17" s="185">
        <f t="shared" si="90"/>
        <v>0.63361344537815123</v>
      </c>
      <c r="BF17" s="185">
        <f t="shared" si="91"/>
        <v>-0.26312925170068036</v>
      </c>
      <c r="BG17" s="185">
        <f t="shared" si="92"/>
        <v>1.3832752613240418</v>
      </c>
      <c r="BH17" s="185">
        <f t="shared" si="93"/>
        <v>0.31881188118811887</v>
      </c>
      <c r="BI17" s="185">
        <f t="shared" si="94"/>
        <v>-0.18415637860082312</v>
      </c>
      <c r="BJ17" s="185">
        <f t="shared" si="95"/>
        <v>-0.58604135893648446</v>
      </c>
      <c r="BK17" s="185">
        <f t="shared" si="96"/>
        <v>-0.46418128654970758</v>
      </c>
      <c r="BL17" s="185">
        <f t="shared" si="97"/>
        <v>3.9039039039038936E-2</v>
      </c>
      <c r="BM17" s="185">
        <f t="shared" si="98"/>
        <v>-0.31399747793190413</v>
      </c>
      <c r="BN17" s="185">
        <f t="shared" si="99"/>
        <v>2.67618198037467E-3</v>
      </c>
      <c r="BO17" s="185">
        <f t="shared" si="100"/>
        <v>2.5716234652114598</v>
      </c>
      <c r="BP17" s="185">
        <f t="shared" si="101"/>
        <v>2.6112716763005777</v>
      </c>
      <c r="BQ17" s="185">
        <f t="shared" si="102"/>
        <v>3.4558823529411757</v>
      </c>
      <c r="BR17" s="185">
        <f t="shared" si="103"/>
        <v>1.1192170818505338</v>
      </c>
      <c r="BS17" s="185">
        <f t="shared" si="104"/>
        <v>-0.28915202444614208</v>
      </c>
      <c r="BT17" s="185">
        <f t="shared" si="105"/>
        <v>-0.18447378951580629</v>
      </c>
      <c r="BU17" s="185">
        <f t="shared" si="106"/>
        <v>-0.11179867986798675</v>
      </c>
      <c r="BV17" s="185">
        <f t="shared" si="107"/>
        <v>0.37951301427371953</v>
      </c>
      <c r="BW17" s="185">
        <f t="shared" si="108"/>
        <v>0.43901128425577651</v>
      </c>
      <c r="BX17" s="185">
        <f t="shared" si="109"/>
        <v>0.43473994111874381</v>
      </c>
      <c r="BY17" s="185">
        <f t="shared" si="110"/>
        <v>8.4068741291221549E-2</v>
      </c>
      <c r="BZ17" s="185">
        <f t="shared" si="111"/>
        <v>-0.39013998782714543</v>
      </c>
      <c r="CA17" s="185">
        <f t="shared" si="112"/>
        <v>-8.439133681852129E-2</v>
      </c>
      <c r="CB17" s="185">
        <f t="shared" si="113"/>
        <v>-0.13406292749658</v>
      </c>
      <c r="CC17" s="185">
        <f t="shared" si="114"/>
        <v>-0.42459297343616109</v>
      </c>
      <c r="CD17" s="185">
        <f t="shared" si="115"/>
        <v>-0.47205588822355282</v>
      </c>
      <c r="CE17" s="185">
        <f t="shared" si="116"/>
        <v>-0.30220228384991843</v>
      </c>
      <c r="CF17" s="185">
        <f t="shared" si="117"/>
        <v>-0.29067930489731431</v>
      </c>
      <c r="CG17" s="185">
        <f t="shared" si="118"/>
        <v>0.3216679076693969</v>
      </c>
      <c r="CH17" s="185">
        <f t="shared" si="119"/>
        <v>2.7353497164461249</v>
      </c>
      <c r="CI17" s="185">
        <f t="shared" si="120"/>
        <v>0.53652834599649335</v>
      </c>
      <c r="CJ17" s="185">
        <f t="shared" si="121"/>
        <v>0.8329621380846326</v>
      </c>
      <c r="CK17" s="185">
        <f t="shared" si="121"/>
        <v>1.4084507042253502E-2</v>
      </c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 t="s">
        <v>532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85">
        <f t="shared" ref="P18:Z18" si="127">+P9/O9-1</f>
        <v>-0.36111111111134353</v>
      </c>
      <c r="Q18" s="185">
        <f t="shared" si="127"/>
        <v>121.39130434784632</v>
      </c>
      <c r="R18" s="185">
        <f t="shared" si="127"/>
        <v>-0.99182948490231038</v>
      </c>
      <c r="S18" s="185">
        <f t="shared" si="127"/>
        <v>3.2608695652644126E-2</v>
      </c>
      <c r="T18" s="185">
        <f t="shared" si="127"/>
        <v>0.78947368421006026</v>
      </c>
      <c r="U18" s="185">
        <f t="shared" si="127"/>
        <v>13.32352941176427</v>
      </c>
      <c r="V18" s="185">
        <f t="shared" si="127"/>
        <v>4.1067761806012903E-4</v>
      </c>
      <c r="W18" s="185">
        <f t="shared" si="127"/>
        <v>-1</v>
      </c>
      <c r="X18" s="185" t="e">
        <f t="shared" si="127"/>
        <v>#DIV/0!</v>
      </c>
      <c r="Y18" s="185" t="e">
        <f t="shared" si="127"/>
        <v>#DIV/0!</v>
      </c>
      <c r="Z18" s="185">
        <f t="shared" si="127"/>
        <v>0.14168618266979416</v>
      </c>
      <c r="AA18" s="188">
        <f t="shared" ref="AA18:AE18" si="128">+AA9/Z9-1</f>
        <v>7.5897435897436027E-2</v>
      </c>
      <c r="AB18" s="188">
        <f t="shared" si="128"/>
        <v>-1</v>
      </c>
      <c r="AC18" s="188" t="e">
        <f t="shared" si="128"/>
        <v>#DIV/0!</v>
      </c>
      <c r="AD18" s="188" t="e">
        <f t="shared" si="128"/>
        <v>#DIV/0!</v>
      </c>
      <c r="AE18" s="188" t="e">
        <f t="shared" si="128"/>
        <v>#DIV/0!</v>
      </c>
      <c r="AI18" s="156"/>
      <c r="AJ18" s="156"/>
      <c r="AK18" s="156"/>
      <c r="AL18" s="156"/>
      <c r="AM18" s="156"/>
      <c r="AN18" s="156"/>
      <c r="AO18" s="156"/>
      <c r="AP18" s="185">
        <f t="shared" si="75"/>
        <v>1.444444444445427</v>
      </c>
      <c r="AQ18" s="185">
        <f t="shared" si="76"/>
        <v>0.29166666666516661</v>
      </c>
      <c r="AR18" s="185">
        <f t="shared" si="77"/>
        <v>-0.29411764705909893</v>
      </c>
      <c r="AS18" s="185">
        <f t="shared" si="78"/>
        <v>0.26666666666742467</v>
      </c>
      <c r="AT18" s="185">
        <f t="shared" si="79"/>
        <v>-0.6590909090910031</v>
      </c>
      <c r="AU18" s="185">
        <f t="shared" si="80"/>
        <v>109.45161290324528</v>
      </c>
      <c r="AV18" s="185">
        <f t="shared" si="81"/>
        <v>134.33333333332828</v>
      </c>
      <c r="AW18" s="185">
        <f t="shared" si="82"/>
        <v>186.73684210532195</v>
      </c>
      <c r="AX18" s="185">
        <f t="shared" si="83"/>
        <v>87.166666666678665</v>
      </c>
      <c r="AY18" s="185">
        <f t="shared" si="84"/>
        <v>-0.99532710280374259</v>
      </c>
      <c r="AZ18" s="185">
        <f t="shared" si="85"/>
        <v>-0.98706896551723911</v>
      </c>
      <c r="BA18" s="185">
        <f t="shared" si="86"/>
        <v>-0.99383235211662391</v>
      </c>
      <c r="BB18" s="185">
        <f t="shared" si="87"/>
        <v>-0.98752362948960559</v>
      </c>
      <c r="BC18" s="185">
        <f t="shared" si="88"/>
        <v>1.9375000000042633</v>
      </c>
      <c r="BD18" s="185">
        <f t="shared" si="89"/>
        <v>-4.7619047618996047E-2</v>
      </c>
      <c r="BE18" s="185">
        <f t="shared" si="90"/>
        <v>-0.5000000000005167</v>
      </c>
      <c r="BF18" s="185">
        <f t="shared" si="91"/>
        <v>-0.4848484848481508</v>
      </c>
      <c r="BG18" s="185">
        <f t="shared" si="92"/>
        <v>-0.6170212765953329</v>
      </c>
      <c r="BH18" s="185">
        <f t="shared" si="93"/>
        <v>2.2499999999985789</v>
      </c>
      <c r="BI18" s="185">
        <f t="shared" si="94"/>
        <v>3.1818181818223161</v>
      </c>
      <c r="BJ18" s="185">
        <f t="shared" si="95"/>
        <v>1.4117647058804645</v>
      </c>
      <c r="BK18" s="185">
        <f t="shared" si="96"/>
        <v>5.5555555554152036E-2</v>
      </c>
      <c r="BL18" s="185">
        <f t="shared" si="97"/>
        <v>-0.75384615384632603</v>
      </c>
      <c r="BM18" s="185">
        <f t="shared" si="98"/>
        <v>8.0652173913037899</v>
      </c>
      <c r="BN18" s="185">
        <f t="shared" si="99"/>
        <v>47.365853658553576</v>
      </c>
      <c r="BO18" s="185">
        <f t="shared" si="100"/>
        <v>9.7894736842071879</v>
      </c>
      <c r="BP18" s="185">
        <f t="shared" si="101"/>
        <v>31.437500000028422</v>
      </c>
      <c r="BQ18" s="185">
        <f t="shared" si="102"/>
        <v>0.62589928057545019</v>
      </c>
      <c r="BR18" s="185">
        <f t="shared" si="103"/>
        <v>-0.47856782652545726</v>
      </c>
      <c r="BS18" s="185">
        <f t="shared" si="104"/>
        <v>-1</v>
      </c>
      <c r="BT18" s="185">
        <f t="shared" si="105"/>
        <v>-1</v>
      </c>
      <c r="BU18" s="185">
        <f t="shared" si="106"/>
        <v>-1</v>
      </c>
      <c r="BV18" s="185">
        <f t="shared" si="107"/>
        <v>-1</v>
      </c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>
        <f t="shared" si="119"/>
        <v>-1</v>
      </c>
      <c r="CI18" s="185">
        <f t="shared" si="120"/>
        <v>0.57160342717258272</v>
      </c>
      <c r="CJ18" s="185">
        <f t="shared" si="121"/>
        <v>-0.22193211488250653</v>
      </c>
      <c r="CK18" s="185">
        <f t="shared" si="121"/>
        <v>-0.40599455040871935</v>
      </c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09" customFormat="1" x14ac:dyDescent="0.2">
      <c r="A19" s="186" t="s">
        <v>533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87">
        <f t="shared" ref="P19:Z19" si="129">+P10/O10-1</f>
        <v>-1.5751874273647548E-2</v>
      </c>
      <c r="Q19" s="187">
        <f t="shared" si="129"/>
        <v>0.10873243567061341</v>
      </c>
      <c r="R19" s="187">
        <f t="shared" si="129"/>
        <v>6.0619559883480001E-2</v>
      </c>
      <c r="S19" s="187">
        <f t="shared" si="129"/>
        <v>5.4610157144685312E-2</v>
      </c>
      <c r="T19" s="187">
        <f t="shared" si="129"/>
        <v>0.10830959555809327</v>
      </c>
      <c r="U19" s="187">
        <f t="shared" si="129"/>
        <v>7.4958555993975384E-2</v>
      </c>
      <c r="V19" s="187">
        <f t="shared" si="129"/>
        <v>-1.3358439713348491E-2</v>
      </c>
      <c r="W19" s="187">
        <f t="shared" si="129"/>
        <v>5.0116599477486146E-2</v>
      </c>
      <c r="X19" s="187">
        <f t="shared" si="129"/>
        <v>0.19715544240621585</v>
      </c>
      <c r="Y19" s="187">
        <f t="shared" si="129"/>
        <v>0.31398170499970002</v>
      </c>
      <c r="Z19" s="187">
        <f t="shared" si="129"/>
        <v>0.23480015158786682</v>
      </c>
      <c r="AA19" s="189">
        <f t="shared" ref="AA19:AE19" si="130">+AA10/Z10-1</f>
        <v>-0.39288986361099931</v>
      </c>
      <c r="AB19" s="189">
        <f t="shared" si="130"/>
        <v>-1</v>
      </c>
      <c r="AC19" s="189" t="e">
        <f t="shared" si="130"/>
        <v>#DIV/0!</v>
      </c>
      <c r="AD19" s="189" t="e">
        <f t="shared" si="130"/>
        <v>#DIV/0!</v>
      </c>
      <c r="AE19" s="189" t="e">
        <f t="shared" si="130"/>
        <v>#DIV/0!</v>
      </c>
      <c r="AI19" s="107"/>
      <c r="AJ19" s="107"/>
      <c r="AK19" s="107"/>
      <c r="AL19" s="107"/>
      <c r="AM19" s="107"/>
      <c r="AN19" s="107"/>
      <c r="AO19" s="107"/>
      <c r="AP19" s="187">
        <f t="shared" si="75"/>
        <v>-8.408938645428321E-2</v>
      </c>
      <c r="AQ19" s="187">
        <f t="shared" si="76"/>
        <v>9.6076841514376676E-2</v>
      </c>
      <c r="AR19" s="187">
        <f t="shared" si="77"/>
        <v>-8.8734232274902181E-2</v>
      </c>
      <c r="AS19" s="187">
        <f t="shared" si="78"/>
        <v>-0.15032160085760238</v>
      </c>
      <c r="AT19" s="187">
        <f t="shared" si="79"/>
        <v>1.8567004600734238E-2</v>
      </c>
      <c r="AU19" s="187">
        <f t="shared" si="80"/>
        <v>-0.10986490946544203</v>
      </c>
      <c r="AV19" s="187">
        <f t="shared" si="81"/>
        <v>6.2997004011577706E-2</v>
      </c>
      <c r="AW19" s="187">
        <f t="shared" si="82"/>
        <v>0.3377246012637598</v>
      </c>
      <c r="AX19" s="187">
        <f t="shared" si="83"/>
        <v>0.25060236112136502</v>
      </c>
      <c r="AY19" s="187">
        <f t="shared" si="84"/>
        <v>0.18597173122287058</v>
      </c>
      <c r="AZ19" s="187">
        <f t="shared" si="85"/>
        <v>-6.2311308136202226E-2</v>
      </c>
      <c r="BA19" s="187">
        <f t="shared" si="86"/>
        <v>-5.6768970802059004E-2</v>
      </c>
      <c r="BB19" s="187">
        <f t="shared" si="87"/>
        <v>0.10459599862613778</v>
      </c>
      <c r="BC19" s="187">
        <f t="shared" si="88"/>
        <v>6.0872799404909639E-2</v>
      </c>
      <c r="BD19" s="187">
        <f t="shared" si="89"/>
        <v>5.6293684918387044E-2</v>
      </c>
      <c r="BE19" s="187">
        <f t="shared" si="90"/>
        <v>0.14544378895443777</v>
      </c>
      <c r="BF19" s="187">
        <f t="shared" si="91"/>
        <v>-4.8001710182387081E-3</v>
      </c>
      <c r="BG19" s="187">
        <f t="shared" si="92"/>
        <v>9.144814060189721E-2</v>
      </c>
      <c r="BH19" s="187">
        <f t="shared" si="93"/>
        <v>0.37102950680518187</v>
      </c>
      <c r="BI19" s="187">
        <f t="shared" si="94"/>
        <v>8.5191355016112968E-2</v>
      </c>
      <c r="BJ19" s="187">
        <f t="shared" si="95"/>
        <v>7.05923705562439E-3</v>
      </c>
      <c r="BK19" s="187">
        <f t="shared" si="96"/>
        <v>0.23551620276617857</v>
      </c>
      <c r="BL19" s="187">
        <f t="shared" si="97"/>
        <v>4.0805988630610024E-4</v>
      </c>
      <c r="BM19" s="187">
        <f t="shared" si="98"/>
        <v>4.8934829532498725E-4</v>
      </c>
      <c r="BN19" s="187">
        <f t="shared" si="99"/>
        <v>1.2986950030055455E-2</v>
      </c>
      <c r="BO19" s="187">
        <f t="shared" si="100"/>
        <v>-0.51132629992464196</v>
      </c>
      <c r="BP19" s="187">
        <f t="shared" si="101"/>
        <v>0.13404222400382571</v>
      </c>
      <c r="BQ19" s="187">
        <f t="shared" si="102"/>
        <v>0.33643325672859814</v>
      </c>
      <c r="BR19" s="187">
        <f t="shared" si="103"/>
        <v>0.26896149079023601</v>
      </c>
      <c r="BS19" s="187">
        <f t="shared" si="104"/>
        <v>0.37647076965780979</v>
      </c>
      <c r="BT19" s="187">
        <f t="shared" si="105"/>
        <v>4.7465489228174063E-2</v>
      </c>
      <c r="BU19" s="187">
        <f t="shared" si="106"/>
        <v>-0.10079513095094861</v>
      </c>
      <c r="BV19" s="187">
        <f t="shared" si="107"/>
        <v>5.6266640519524458E-3</v>
      </c>
      <c r="BW19" s="187">
        <f t="shared" si="108"/>
        <v>0.55052655164687425</v>
      </c>
      <c r="BX19" s="187">
        <f t="shared" si="109"/>
        <v>4.6936793994363679E-2</v>
      </c>
      <c r="BY19" s="187">
        <f t="shared" si="110"/>
        <v>0.11820984728951434</v>
      </c>
      <c r="BZ19" s="187">
        <f t="shared" si="111"/>
        <v>0.10883603717120782</v>
      </c>
      <c r="CA19" s="187">
        <f t="shared" si="112"/>
        <v>0.21382225433525992</v>
      </c>
      <c r="CB19" s="187">
        <f t="shared" si="113"/>
        <v>0.29654029722454744</v>
      </c>
      <c r="CC19" s="187">
        <f t="shared" si="114"/>
        <v>0.30918772842177678</v>
      </c>
      <c r="CD19" s="187">
        <f t="shared" si="115"/>
        <v>0.42142857142857171</v>
      </c>
      <c r="CE19" s="187">
        <f t="shared" si="116"/>
        <v>0.46465031281065272</v>
      </c>
      <c r="CF19" s="187">
        <f t="shared" si="117"/>
        <v>0.14190818885617684</v>
      </c>
      <c r="CG19" s="187">
        <f t="shared" si="118"/>
        <v>0.18257468427707457</v>
      </c>
      <c r="CH19" s="187">
        <f t="shared" si="119"/>
        <v>0.13435548956905752</v>
      </c>
      <c r="CI19" s="187">
        <f t="shared" si="120"/>
        <v>-0.19964153772998272</v>
      </c>
      <c r="CJ19" s="187">
        <f t="shared" si="121"/>
        <v>-0.10343339279098274</v>
      </c>
      <c r="CK19" s="187">
        <f t="shared" si="121"/>
        <v>-1.1059189529517566E-2</v>
      </c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E19" s="117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06" customFormat="1" x14ac:dyDescent="0.2">
      <c r="A22" s="151" t="s">
        <v>500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57"/>
      <c r="AB22" s="157"/>
      <c r="AC22" s="157"/>
      <c r="AD22" s="105"/>
      <c r="AE22" s="105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5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106" customFormat="1" x14ac:dyDescent="0.2">
      <c r="A23" s="151" t="s">
        <v>485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57"/>
      <c r="AC23" s="157"/>
      <c r="AD23" s="105"/>
      <c r="AE23" s="105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60"/>
      <c r="CK23" s="160"/>
      <c r="CL23" s="160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E23" s="118"/>
    </row>
    <row r="24" spans="1:110" s="25" customFormat="1" outlineLevel="1" x14ac:dyDescent="0.2">
      <c r="A24" s="25" t="s">
        <v>430</v>
      </c>
      <c r="B24" s="25">
        <f>'Annual Raw'!C6</f>
        <v>853.71659999999997</v>
      </c>
      <c r="C24" s="25">
        <f>'Annual Raw'!D6</f>
        <v>956.76239999999996</v>
      </c>
      <c r="D24" s="25">
        <f>'Annual Raw'!E6</f>
        <v>1342.1175000000001</v>
      </c>
      <c r="E24" s="25">
        <f>'Annual Raw'!F6</f>
        <v>1437.5206000000001</v>
      </c>
      <c r="F24" s="25">
        <f>'Annual Raw'!G6</f>
        <v>1550.7879</v>
      </c>
      <c r="G24" s="25">
        <f>'Annual Raw'!H6</f>
        <v>2022.7089000000001</v>
      </c>
      <c r="H24" s="25">
        <f>'Annual Raw'!I6</f>
        <v>2598.3009999999999</v>
      </c>
      <c r="I24" s="25">
        <f>'Annual Raw'!J6</f>
        <v>3264.3878</v>
      </c>
      <c r="J24" s="25">
        <f>'Annual Raw'!K6</f>
        <v>4373.9093999999996</v>
      </c>
      <c r="K24" s="25">
        <f>'Annual Raw'!L6</f>
        <v>4781.8289000000004</v>
      </c>
      <c r="L24" s="25">
        <f>'Annual Raw'!M6</f>
        <v>5225.9672</v>
      </c>
      <c r="M24" s="25">
        <f>'Annual Raw'!N6</f>
        <v>5219.0048999999999</v>
      </c>
      <c r="N24" s="25">
        <f>'Annual Raw'!O6</f>
        <v>5583.5321999999996</v>
      </c>
      <c r="O24" s="25">
        <f>'Annual Raw'!P6</f>
        <v>5302.8548000000001</v>
      </c>
      <c r="P24" s="25">
        <f>'Annual Raw'!Q6</f>
        <v>5204.7966999999999</v>
      </c>
      <c r="Q24" s="25">
        <f>'Annual Raw'!R6</f>
        <v>5746.6529</v>
      </c>
      <c r="R24" s="25">
        <f>'Annual Raw'!S6</f>
        <v>6095.02</v>
      </c>
      <c r="S24" s="25">
        <f>'Annual Raw'!T6</f>
        <v>6427.87</v>
      </c>
      <c r="T24" s="25">
        <f>'Annual Raw'!U6</f>
        <v>7124.07</v>
      </c>
      <c r="U24" s="25">
        <f>'Annual Raw'!V6</f>
        <v>7658.08</v>
      </c>
      <c r="V24" s="25">
        <f>'Annual Raw'!W6</f>
        <v>7555.78</v>
      </c>
      <c r="W24" s="25">
        <f>'Annual Raw'!X6</f>
        <v>7934.45</v>
      </c>
      <c r="X24" s="25">
        <f>'Annual Raw'!Y6</f>
        <v>9498.77</v>
      </c>
      <c r="Y24" s="25">
        <f>'Annual Raw'!Z6</f>
        <v>12481.21</v>
      </c>
      <c r="Z24" s="25">
        <f>'Annual Raw'!AA6</f>
        <v>15412.79</v>
      </c>
      <c r="AA24" s="25">
        <f>'Annual Raw'!AB6</f>
        <v>14244.5</v>
      </c>
      <c r="AB24" s="17">
        <f>+SUM(CM24:CP24)</f>
        <v>17093.400000000001</v>
      </c>
      <c r="AC24" s="17">
        <f>+SUM(CQ24:CT24)</f>
        <v>19657.41</v>
      </c>
      <c r="AD24" s="17">
        <f>+SUM(CU24:CX24)</f>
        <v>22606.021499999999</v>
      </c>
      <c r="AE24" s="17">
        <f>+SUM(CY24:DB24)</f>
        <v>25996.924725000001</v>
      </c>
      <c r="AI24" s="25">
        <f>'QTR Raw'!C6+'QTR Raw'!C8</f>
        <v>1616.82</v>
      </c>
      <c r="AJ24" s="25">
        <f>'QTR Raw'!D6+'QTR Raw'!D8</f>
        <v>1164.49</v>
      </c>
      <c r="AK24" s="25">
        <f>'QTR Raw'!E6+'QTR Raw'!E8</f>
        <v>1152.54</v>
      </c>
      <c r="AL24" s="25">
        <f>'QTR Raw'!F6+'QTR Raw'!F8</f>
        <v>1597.1100000000001</v>
      </c>
      <c r="AM24" s="25">
        <f>'QTR Raw'!G6+'QTR Raw'!G8</f>
        <v>1603.3</v>
      </c>
      <c r="AN24" s="25">
        <f>'QTR Raw'!H6+'QTR Raw'!H8</f>
        <v>1080.53</v>
      </c>
      <c r="AO24" s="25">
        <f>'QTR Raw'!I6+'QTR Raw'!I8</f>
        <v>1119.4000000000001</v>
      </c>
      <c r="AP24" s="25">
        <f>'QTR Raw'!J6+'QTR Raw'!J8</f>
        <v>1462.81</v>
      </c>
      <c r="AQ24" s="25">
        <f>'QTR Raw'!K6+'QTR Raw'!K8</f>
        <v>1757.34</v>
      </c>
      <c r="AR24" s="25">
        <f>'QTR Raw'!L6+'QTR Raw'!L8</f>
        <v>984.65</v>
      </c>
      <c r="AS24" s="25">
        <f>'QTR Raw'!M6+'QTR Raw'!M8</f>
        <v>951.13</v>
      </c>
      <c r="AT24" s="25">
        <f>'QTR Raw'!N6+'QTR Raw'!N8</f>
        <v>1489.97</v>
      </c>
      <c r="AU24" s="25">
        <f>'QTR Raw'!O6+'QTR Raw'!O8</f>
        <v>1564.27</v>
      </c>
      <c r="AV24" s="25">
        <f>'QTR Raw'!P6+'QTR Raw'!P8</f>
        <v>1046.68</v>
      </c>
      <c r="AW24" s="25">
        <f>'QTR Raw'!Q6+'QTR Raw'!Q8</f>
        <v>1272.3499999999999</v>
      </c>
      <c r="AX24" s="25">
        <f>'QTR Raw'!R6+'QTR Raw'!R8</f>
        <v>1863.3600000000001</v>
      </c>
      <c r="AY24" s="25">
        <f>'QTR Raw'!S6+'QTR Raw'!S8</f>
        <v>1855.1799999999998</v>
      </c>
      <c r="AZ24" s="25">
        <f>'QTR Raw'!T6+'QTR Raw'!T8</f>
        <v>981.45999999999992</v>
      </c>
      <c r="BA24" s="25">
        <f>'QTR Raw'!U6+'QTR Raw'!U8</f>
        <v>1200.1200000000001</v>
      </c>
      <c r="BB24" s="25">
        <f>'QTR Raw'!V6+'QTR Raw'!V8</f>
        <v>2058.2600000000002</v>
      </c>
      <c r="BC24" s="25">
        <f>'QTR Raw'!W6+'QTR Raw'!W8</f>
        <v>1968.11</v>
      </c>
      <c r="BD24" s="25">
        <f>'QTR Raw'!X6+'QTR Raw'!X8</f>
        <v>1036.71</v>
      </c>
      <c r="BE24" s="25">
        <f>'QTR Raw'!Y6+'QTR Raw'!Y8</f>
        <v>1374.67</v>
      </c>
      <c r="BF24" s="25">
        <f>'QTR Raw'!Z6+'QTR Raw'!Z8</f>
        <v>2048.38</v>
      </c>
      <c r="BG24" s="25">
        <f>'QTR Raw'!AA6+'QTR Raw'!AA8</f>
        <v>2148.0899999999997</v>
      </c>
      <c r="BH24" s="25">
        <f>'QTR Raw'!AB6+'QTR Raw'!AB8</f>
        <v>1421.3600000000001</v>
      </c>
      <c r="BI24" s="25">
        <f>'QTR Raw'!AC6+'QTR Raw'!AC8</f>
        <v>1491.78</v>
      </c>
      <c r="BJ24" s="25">
        <f>'QTR Raw'!AD6+'QTR Raw'!AD8</f>
        <v>2062.84</v>
      </c>
      <c r="BK24" s="25">
        <f>'QTR Raw'!AE6+'QTR Raw'!AE8</f>
        <v>2654</v>
      </c>
      <c r="BL24" s="25">
        <f>'QTR Raw'!AF6+'QTR Raw'!AF8</f>
        <v>1421.94</v>
      </c>
      <c r="BM24" s="25">
        <f>'QTR Raw'!AG6+'QTR Raw'!AG8</f>
        <v>1492.51</v>
      </c>
      <c r="BN24" s="25">
        <f>'QTR Raw'!AH6+'QTR Raw'!AH8</f>
        <v>2089.6299999999997</v>
      </c>
      <c r="BO24" s="25">
        <f>'QTR Raw'!AI6+'QTR Raw'!AI8</f>
        <v>1296.94</v>
      </c>
      <c r="BP24" s="25">
        <f>'QTR Raw'!AJ6+'QTR Raw'!AJ8</f>
        <v>1612.54</v>
      </c>
      <c r="BQ24" s="25">
        <f>'QTR Raw'!AK6+'QTR Raw'!AK8</f>
        <v>1994.64</v>
      </c>
      <c r="BR24" s="25">
        <f>'QTR Raw'!AL6+'QTR Raw'!AL8</f>
        <v>2651.6600000000003</v>
      </c>
      <c r="BS24" s="25">
        <f>'QTR Raw'!AM6+'QTR Raw'!AM8</f>
        <v>1785.1999999999998</v>
      </c>
      <c r="BT24" s="25">
        <f>'QTR Raw'!AN6+'QTR Raw'!AN8</f>
        <v>1689.0800000000002</v>
      </c>
      <c r="BU24" s="25">
        <f>'QTR Raw'!AO6+'QTR Raw'!AO8</f>
        <v>1793.59</v>
      </c>
      <c r="BV24" s="25">
        <f>'QTR Raw'!AP6+'QTR Raw'!AP8</f>
        <v>2666.58</v>
      </c>
      <c r="BW24" s="25">
        <f>'QTR Raw'!AQ6+'QTR Raw'!AQ8</f>
        <v>2768</v>
      </c>
      <c r="BX24" s="25">
        <f>'QTR Raw'!AR6+'QTR Raw'!AR8</f>
        <v>1768.36</v>
      </c>
      <c r="BY24" s="25">
        <f>'QTR Raw'!AS6+'QTR Raw'!AS8</f>
        <v>2005.61</v>
      </c>
      <c r="BZ24" s="25">
        <f>'QTR Raw'!AT6+'QTR Raw'!AT8</f>
        <v>2956.8</v>
      </c>
      <c r="CA24" s="25">
        <f>'QTR Raw'!AU6+'QTR Raw'!AU8</f>
        <v>3359.86</v>
      </c>
      <c r="CB24" s="25">
        <f>'QTR Raw'!AV6+'QTR Raw'!AV8</f>
        <v>2292.75</v>
      </c>
      <c r="CC24" s="25">
        <f>'QTR Raw'!AW6+'QTR Raw'!AW8</f>
        <v>2625.72</v>
      </c>
      <c r="CD24" s="25">
        <f>'QTR Raw'!AX6+'QTR Raw'!AX8</f>
        <v>4202.88</v>
      </c>
      <c r="CE24" s="25">
        <f>'QTR Raw'!AY6+'QTR Raw'!AY8</f>
        <v>4921.0199999999995</v>
      </c>
      <c r="CF24" s="25">
        <f>'QTR Raw'!AZ6+'QTR Raw'!AZ8</f>
        <v>2619.11</v>
      </c>
      <c r="CG24" s="25">
        <f>'QTR Raw'!BA6+'QTR Raw'!BA8</f>
        <v>3105.11</v>
      </c>
      <c r="CH24" s="25">
        <f>'QTR Raw'!BB6+'QTR Raw'!BB8</f>
        <v>4767.5600000000004</v>
      </c>
      <c r="CI24" s="25">
        <f>'QTR Raw'!BC6+'QTR Raw'!BC8</f>
        <v>3938.58</v>
      </c>
      <c r="CJ24" s="25">
        <f>'QTR Raw'!BD6+'QTR Raw'!BD8</f>
        <v>2347.3199999999997</v>
      </c>
      <c r="CK24" s="25">
        <f>'QTR Raw'!BE6+'QTR Raw'!BE8</f>
        <v>3070.77</v>
      </c>
      <c r="CL24" s="25">
        <f>'QTR Raw'!BF6+'QTR Raw'!BF8</f>
        <v>4887.83</v>
      </c>
      <c r="CM24" s="17">
        <f t="shared" ref="CM24:DB24" si="131">+CI26+(CM27*CI26)</f>
        <v>4726.2960000000003</v>
      </c>
      <c r="CN24" s="17">
        <f t="shared" si="131"/>
        <v>2816.7839999999997</v>
      </c>
      <c r="CO24" s="17">
        <f t="shared" si="131"/>
        <v>3684.924</v>
      </c>
      <c r="CP24" s="17">
        <f t="shared" si="131"/>
        <v>5865.3959999999997</v>
      </c>
      <c r="CQ24" s="17">
        <f t="shared" si="131"/>
        <v>5435.2404000000006</v>
      </c>
      <c r="CR24" s="17">
        <f t="shared" si="131"/>
        <v>3239.3015999999998</v>
      </c>
      <c r="CS24" s="17">
        <f t="shared" si="131"/>
        <v>4237.6625999999997</v>
      </c>
      <c r="CT24" s="17">
        <f t="shared" si="131"/>
        <v>6745.2053999999998</v>
      </c>
      <c r="CU24" s="17">
        <f t="shared" si="131"/>
        <v>6250.526460000001</v>
      </c>
      <c r="CV24" s="17">
        <f t="shared" si="131"/>
        <v>3725.1968399999996</v>
      </c>
      <c r="CW24" s="17">
        <f t="shared" si="131"/>
        <v>4873.3119899999992</v>
      </c>
      <c r="CX24" s="17">
        <f t="shared" si="131"/>
        <v>7756.98621</v>
      </c>
      <c r="CY24" s="17">
        <f t="shared" si="131"/>
        <v>7188.1054290000011</v>
      </c>
      <c r="CZ24" s="17">
        <f t="shared" si="131"/>
        <v>4283.9763659999999</v>
      </c>
      <c r="DA24" s="17">
        <f t="shared" si="131"/>
        <v>5604.3087884999986</v>
      </c>
      <c r="DB24" s="17">
        <f t="shared" si="131"/>
        <v>8920.5341415000003</v>
      </c>
      <c r="DE24" s="119"/>
      <c r="DF24" s="25">
        <v>5268.1538</v>
      </c>
    </row>
    <row r="25" spans="1:110" s="92" customFormat="1" outlineLevel="1" x14ac:dyDescent="0.2">
      <c r="A25" s="92" t="s">
        <v>109</v>
      </c>
      <c r="B25" s="92">
        <f>'Annual Raw'!C7+'Annual Raw'!C8+'Annual Raw'!C9</f>
        <v>89.163600000000002</v>
      </c>
      <c r="C25" s="92">
        <f>'Annual Raw'!D7+'Annual Raw'!D8+'Annual Raw'!D9</f>
        <v>75.602000000000004</v>
      </c>
      <c r="D25" s="92">
        <f>'Annual Raw'!E7+'Annual Raw'!E8+'Annual Raw'!E9</f>
        <v>86.575000000000003</v>
      </c>
      <c r="E25" s="92">
        <f>'Annual Raw'!F7+'Annual Raw'!F8+'Annual Raw'!F9</f>
        <v>77.566999999999993</v>
      </c>
      <c r="F25" s="92">
        <f>'Annual Raw'!G7+'Annual Raw'!G8+'Annual Raw'!G9</f>
        <v>73.720299999999995</v>
      </c>
      <c r="G25" s="92">
        <f>'Annual Raw'!H7+'Annual Raw'!H8+'Annual Raw'!H9</f>
        <v>68.271699999999996</v>
      </c>
      <c r="H25" s="92">
        <f>'Annual Raw'!I7+'Annual Raw'!I8+'Annual Raw'!I9</f>
        <v>71.563999999999993</v>
      </c>
      <c r="I25" s="92">
        <f>'Annual Raw'!J7+'Annual Raw'!J8+'Annual Raw'!J9</f>
        <v>61.461100000000002</v>
      </c>
      <c r="J25" s="92">
        <f>'Annual Raw'!K7+'Annual Raw'!K8+'Annual Raw'!K9</f>
        <v>48.011600000000001</v>
      </c>
      <c r="K25" s="92">
        <f>'Annual Raw'!L7+'Annual Raw'!L8+'Annual Raw'!L9</f>
        <v>24.3614</v>
      </c>
      <c r="L25" s="92">
        <f>'Annual Raw'!M7+'Annual Raw'!M8+'Annual Raw'!M9</f>
        <v>34.589199999999998</v>
      </c>
      <c r="M25" s="92">
        <f>'Annual Raw'!N7+'Annual Raw'!N8+'Annual Raw'!N9</f>
        <v>33.268599999999999</v>
      </c>
      <c r="N25" s="92">
        <f>'Annual Raw'!O7+'Annual Raw'!O8+'Annual Raw'!O9</f>
        <v>52.572099999999999</v>
      </c>
      <c r="O25" s="92">
        <f>'Annual Raw'!P7+'Annual Raw'!P8+'Annual Raw'!P9</f>
        <v>36.809899999999999</v>
      </c>
      <c r="P25" s="92">
        <f>'Annual Raw'!Q7+'Annual Raw'!Q8+'Annual Raw'!Q9</f>
        <v>21.710100000000001</v>
      </c>
      <c r="Q25" s="92">
        <f>'Annual Raw'!R7+'Annual Raw'!R8+'Annual Raw'!R9</f>
        <v>26.847799999999999</v>
      </c>
      <c r="R25" s="92">
        <f>'Annual Raw'!S7+'Annual Raw'!S8+'Annual Raw'!S9</f>
        <v>62.22</v>
      </c>
      <c r="S25" s="92">
        <f>'Annual Raw'!T7+'Annual Raw'!T8+'Annual Raw'!T9</f>
        <v>23.49</v>
      </c>
      <c r="T25" s="92">
        <f>'Annual Raw'!U7+'Annual Raw'!U8+'Annual Raw'!U9</f>
        <v>0</v>
      </c>
      <c r="U25" s="92">
        <f>'Annual Raw'!V7+'Annual Raw'!V8+'Annual Raw'!V9</f>
        <v>0</v>
      </c>
      <c r="V25" s="92">
        <f>'Annual Raw'!W7+'Annual Raw'!W8+'Annual Raw'!W9</f>
        <v>0</v>
      </c>
      <c r="W25" s="92">
        <f>'Annual Raw'!X7+'Annual Raw'!X8+'Annual Raw'!X9</f>
        <v>0</v>
      </c>
      <c r="X25" s="92">
        <f>'Annual Raw'!Y7+'Annual Raw'!Y8+'Annual Raw'!Y9</f>
        <v>0</v>
      </c>
      <c r="Y25" s="92">
        <f>'Annual Raw'!Z7+'Annual Raw'!Z8+'Annual Raw'!Z9</f>
        <v>0</v>
      </c>
      <c r="Z25" s="92">
        <f>'Annual Raw'!AA7+'Annual Raw'!AA8+'Annual Raw'!AA9</f>
        <v>0</v>
      </c>
      <c r="AA25" s="92">
        <f>'Annual Raw'!AB7+'Annual Raw'!AB8+'Annual Raw'!AB9</f>
        <v>0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92">
        <f>+'QTR Raw'!C20+'QTR Raw'!C19+'QTR Raw'!C13+'QTR Raw'!C7</f>
        <v>0</v>
      </c>
      <c r="AJ25" s="92">
        <f>+'QTR Raw'!D20+'QTR Raw'!D19+'QTR Raw'!D13+'QTR Raw'!D7</f>
        <v>0</v>
      </c>
      <c r="AK25" s="92">
        <f>+'QTR Raw'!E20+'QTR Raw'!E19+'QTR Raw'!E13+'QTR Raw'!E7</f>
        <v>0</v>
      </c>
      <c r="AL25" s="92">
        <f>+'QTR Raw'!F20+'QTR Raw'!F19+'QTR Raw'!F13+'QTR Raw'!F7</f>
        <v>0</v>
      </c>
      <c r="AM25" s="92">
        <f>+'QTR Raw'!G20+'QTR Raw'!G19+'QTR Raw'!G13+'QTR Raw'!G7</f>
        <v>0</v>
      </c>
      <c r="AN25" s="92">
        <f>+'QTR Raw'!H20+'QTR Raw'!H19+'QTR Raw'!H13+'QTR Raw'!H7</f>
        <v>0</v>
      </c>
      <c r="AO25" s="92">
        <f>+'QTR Raw'!I20+'QTR Raw'!I19+'QTR Raw'!I13+'QTR Raw'!I7</f>
        <v>0</v>
      </c>
      <c r="AP25" s="92">
        <f>+'QTR Raw'!J20+'QTR Raw'!J19+'QTR Raw'!J13+'QTR Raw'!J7</f>
        <v>0</v>
      </c>
      <c r="AQ25" s="92">
        <f>+'QTR Raw'!K20+'QTR Raw'!K19+'QTR Raw'!K13+'QTR Raw'!K7</f>
        <v>0</v>
      </c>
      <c r="AR25" s="92">
        <f>+'QTR Raw'!L20+'QTR Raw'!L19+'QTR Raw'!L13+'QTR Raw'!L7</f>
        <v>0</v>
      </c>
      <c r="AS25" s="92">
        <f>+'QTR Raw'!M20+'QTR Raw'!M19+'QTR Raw'!M13+'QTR Raw'!M7</f>
        <v>0</v>
      </c>
      <c r="AT25" s="92">
        <f>+'QTR Raw'!N20+'QTR Raw'!N19+'QTR Raw'!N13+'QTR Raw'!N7</f>
        <v>0</v>
      </c>
      <c r="AU25" s="92">
        <f>+'QTR Raw'!O20+'QTR Raw'!O19+'QTR Raw'!O13+'QTR Raw'!O7</f>
        <v>5.81</v>
      </c>
      <c r="AV25" s="92">
        <f>+'QTR Raw'!P20+'QTR Raw'!P19+'QTR Raw'!P13+'QTR Raw'!P7</f>
        <v>6.61</v>
      </c>
      <c r="AW25" s="92">
        <f>+'QTR Raw'!Q20+'QTR Raw'!Q19+'QTR Raw'!Q13+'QTR Raw'!Q7</f>
        <v>6.43</v>
      </c>
      <c r="AX25" s="92">
        <f>+'QTR Raw'!R20+'QTR Raw'!R19+'QTR Raw'!R13+'QTR Raw'!R7</f>
        <v>8</v>
      </c>
      <c r="AY25" s="92">
        <f>+'QTR Raw'!S20+'QTR Raw'!S19+'QTR Raw'!S13+'QTR Raw'!S7</f>
        <v>5.14</v>
      </c>
      <c r="AZ25" s="92">
        <f>+'QTR Raw'!T20+'QTR Raw'!T19+'QTR Raw'!T13+'QTR Raw'!T7</f>
        <v>14.24</v>
      </c>
      <c r="BA25" s="92">
        <f>+'QTR Raw'!U20+'QTR Raw'!U19+'QTR Raw'!U13+'QTR Raw'!U7</f>
        <v>19.64</v>
      </c>
      <c r="BB25" s="92">
        <f>+'QTR Raw'!V20+'QTR Raw'!V19+'QTR Raw'!V13+'QTR Raw'!V7</f>
        <v>23.2</v>
      </c>
      <c r="BC25" s="92">
        <f>+'QTR Raw'!W20+'QTR Raw'!W19+'QTR Raw'!W13+'QTR Raw'!W7</f>
        <v>23.49</v>
      </c>
      <c r="BD25" s="92">
        <f>+'QTR Raw'!X20+'QTR Raw'!X19+'QTR Raw'!X13+'QTR Raw'!X7</f>
        <v>0</v>
      </c>
      <c r="BE25" s="92">
        <f>+'QTR Raw'!Y20+'QTR Raw'!Y19+'QTR Raw'!Y13+'QTR Raw'!Y7</f>
        <v>0</v>
      </c>
      <c r="BF25" s="92">
        <f>+'QTR Raw'!Z20+'QTR Raw'!Z19+'QTR Raw'!Z13+'QTR Raw'!Z7</f>
        <v>0</v>
      </c>
      <c r="BG25" s="92">
        <f>+'QTR Raw'!AA20+'QTR Raw'!AA19+'QTR Raw'!AA13+'QTR Raw'!AA7</f>
        <v>0</v>
      </c>
      <c r="BH25" s="92">
        <f>+'QTR Raw'!AB20+'QTR Raw'!AB19+'QTR Raw'!AB13+'QTR Raw'!AB7</f>
        <v>0</v>
      </c>
      <c r="BI25" s="92">
        <f>+'QTR Raw'!AC20+'QTR Raw'!AC19+'QTR Raw'!AC13+'QTR Raw'!AC7</f>
        <v>0</v>
      </c>
      <c r="BJ25" s="92">
        <f>+'QTR Raw'!AD20+'QTR Raw'!AD19+'QTR Raw'!AD13+'QTR Raw'!AD7</f>
        <v>0</v>
      </c>
      <c r="BK25" s="92">
        <f>+'QTR Raw'!AE20+'QTR Raw'!AE19+'QTR Raw'!AE13+'QTR Raw'!AE7</f>
        <v>0</v>
      </c>
      <c r="BL25" s="92">
        <f>+'QTR Raw'!AF20+'QTR Raw'!AF19+'QTR Raw'!AF13+'QTR Raw'!AF7</f>
        <v>0</v>
      </c>
      <c r="BM25" s="92">
        <f>+'QTR Raw'!AG20+'QTR Raw'!AG19+'QTR Raw'!AG13+'QTR Raw'!AG7</f>
        <v>0</v>
      </c>
      <c r="BN25" s="92">
        <f>+'QTR Raw'!AH20+'QTR Raw'!AH19+'QTR Raw'!AH13+'QTR Raw'!AH7</f>
        <v>0</v>
      </c>
      <c r="BO25" s="92">
        <f>+'QTR Raw'!AI20+'QTR Raw'!AI19+'QTR Raw'!AI13+'QTR Raw'!AI7</f>
        <v>0</v>
      </c>
      <c r="BP25" s="92">
        <f>+'QTR Raw'!AJ20+'QTR Raw'!AJ19+'QTR Raw'!AJ13+'QTR Raw'!AJ7</f>
        <v>0</v>
      </c>
      <c r="BQ25" s="92">
        <f>+'QTR Raw'!AK20+'QTR Raw'!AK19+'QTR Raw'!AK13+'QTR Raw'!AK7</f>
        <v>0</v>
      </c>
      <c r="BR25" s="92">
        <f>+'QTR Raw'!AL20+'QTR Raw'!AL19+'QTR Raw'!AL13+'QTR Raw'!AL7</f>
        <v>0</v>
      </c>
      <c r="BS25" s="92">
        <f>+'QTR Raw'!AM20+'QTR Raw'!AM19+'QTR Raw'!AM13+'QTR Raw'!AM7</f>
        <v>0</v>
      </c>
      <c r="BT25" s="92">
        <f>+'QTR Raw'!AN20+'QTR Raw'!AN19+'QTR Raw'!AN13+'QTR Raw'!AN7</f>
        <v>0</v>
      </c>
      <c r="BU25" s="92">
        <f>+'QTR Raw'!AO20+'QTR Raw'!AO19+'QTR Raw'!AO13+'QTR Raw'!AO7</f>
        <v>0</v>
      </c>
      <c r="BV25" s="92">
        <f>+'QTR Raw'!AP20+'QTR Raw'!AP19+'QTR Raw'!AP13+'QTR Raw'!AP7</f>
        <v>0</v>
      </c>
      <c r="BW25" s="92">
        <f>+'QTR Raw'!AQ20+'QTR Raw'!AQ19+'QTR Raw'!AQ13+'QTR Raw'!AQ7</f>
        <v>0</v>
      </c>
      <c r="BX25" s="92">
        <f>+'QTR Raw'!AR20+'QTR Raw'!AR19+'QTR Raw'!AR13+'QTR Raw'!AR7</f>
        <v>0</v>
      </c>
      <c r="BY25" s="92">
        <f>+'QTR Raw'!AS20+'QTR Raw'!AS19+'QTR Raw'!AS13+'QTR Raw'!AS7</f>
        <v>0</v>
      </c>
      <c r="BZ25" s="92">
        <f>+'QTR Raw'!AT20+'QTR Raw'!AT19+'QTR Raw'!AT13+'QTR Raw'!AT7</f>
        <v>0</v>
      </c>
      <c r="CA25" s="92">
        <f>+'QTR Raw'!AU20+'QTR Raw'!AU19+'QTR Raw'!AU13+'QTR Raw'!AU7</f>
        <v>0</v>
      </c>
      <c r="CB25" s="92">
        <f>+'QTR Raw'!AV20+'QTR Raw'!AV19+'QTR Raw'!AV13+'QTR Raw'!AV7</f>
        <v>0</v>
      </c>
      <c r="CC25" s="92">
        <f>+'QTR Raw'!AW20+'QTR Raw'!AW19+'QTR Raw'!AW13+'QTR Raw'!AW7</f>
        <v>0</v>
      </c>
      <c r="CD25" s="92">
        <f>+'QTR Raw'!AX20+'QTR Raw'!AX19+'QTR Raw'!AX13+'QTR Raw'!AX7</f>
        <v>0</v>
      </c>
      <c r="CE25" s="92">
        <f>+'QTR Raw'!AY20+'QTR Raw'!AY19+'QTR Raw'!AY13+'QTR Raw'!AY7</f>
        <v>0</v>
      </c>
      <c r="CF25" s="92">
        <f>+'QTR Raw'!AZ20+'QTR Raw'!AZ19+'QTR Raw'!AZ13+'QTR Raw'!AZ7</f>
        <v>0</v>
      </c>
      <c r="CG25" s="92">
        <f>+'QTR Raw'!BA20+'QTR Raw'!BA19+'QTR Raw'!BA13+'QTR Raw'!BA7</f>
        <v>0</v>
      </c>
      <c r="CH25" s="92">
        <f>+'QTR Raw'!BB20+'QTR Raw'!BB19+'QTR Raw'!BB13+'QTR Raw'!BB7</f>
        <v>0</v>
      </c>
      <c r="CI25" s="92">
        <f>+'QTR Raw'!BC20+'QTR Raw'!BC19+'QTR Raw'!BC13+'QTR Raw'!BC7</f>
        <v>0</v>
      </c>
      <c r="CJ25" s="92">
        <f>+'QTR Raw'!BD20+'QTR Raw'!BD19+'QTR Raw'!BD13+'QTR Raw'!BD7</f>
        <v>0</v>
      </c>
      <c r="CK25" s="92">
        <f>+'QTR Raw'!BE20+'QTR Raw'!BE19+'QTR Raw'!BE13+'QTR Raw'!BE7</f>
        <v>0</v>
      </c>
      <c r="CL25" s="92">
        <f>+'QTR Raw'!BF20+'QTR Raw'!BF19+'QTR Raw'!BF13+'QTR Raw'!BF7</f>
        <v>0</v>
      </c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E25" s="120"/>
      <c r="DF25" s="92">
        <v>0</v>
      </c>
    </row>
    <row r="26" spans="1:110" s="26" customFormat="1" x14ac:dyDescent="0.2">
      <c r="A26" s="26" t="s">
        <v>431</v>
      </c>
      <c r="B26" s="26">
        <f>+B24-B25</f>
        <v>764.553</v>
      </c>
      <c r="C26" s="26">
        <f>+C24-C25</f>
        <v>881.16039999999998</v>
      </c>
      <c r="D26" s="26">
        <f t="shared" ref="D26:U26" si="132">+D24-D25</f>
        <v>1255.5425</v>
      </c>
      <c r="E26" s="26">
        <f t="shared" si="132"/>
        <v>1359.9536000000001</v>
      </c>
      <c r="F26" s="26">
        <f t="shared" si="132"/>
        <v>1477.0676000000001</v>
      </c>
      <c r="G26" s="26">
        <f t="shared" si="132"/>
        <v>1954.4372000000001</v>
      </c>
      <c r="H26" s="26">
        <f t="shared" si="132"/>
        <v>2526.7370000000001</v>
      </c>
      <c r="I26" s="26">
        <f t="shared" si="132"/>
        <v>3202.9267</v>
      </c>
      <c r="J26" s="26">
        <f t="shared" si="132"/>
        <v>4325.8977999999997</v>
      </c>
      <c r="K26" s="26">
        <f t="shared" si="132"/>
        <v>4757.4675000000007</v>
      </c>
      <c r="L26" s="26">
        <f t="shared" si="132"/>
        <v>5191.3779999999997</v>
      </c>
      <c r="M26" s="26">
        <f t="shared" si="132"/>
        <v>5185.7362999999996</v>
      </c>
      <c r="N26" s="26">
        <f t="shared" si="132"/>
        <v>5530.9600999999993</v>
      </c>
      <c r="O26" s="26">
        <f t="shared" si="132"/>
        <v>5266.0448999999999</v>
      </c>
      <c r="P26" s="26">
        <f t="shared" si="132"/>
        <v>5183.0865999999996</v>
      </c>
      <c r="Q26" s="26">
        <f t="shared" si="132"/>
        <v>5719.8051000000005</v>
      </c>
      <c r="R26" s="26">
        <f t="shared" si="132"/>
        <v>6032.8</v>
      </c>
      <c r="S26" s="26">
        <f t="shared" si="132"/>
        <v>6404.38</v>
      </c>
      <c r="T26" s="26">
        <f t="shared" si="132"/>
        <v>7124.07</v>
      </c>
      <c r="U26" s="26">
        <f t="shared" si="132"/>
        <v>7658.08</v>
      </c>
      <c r="V26" s="26">
        <f>+V24-V25</f>
        <v>7555.78</v>
      </c>
      <c r="W26" s="26">
        <f>+W24-W25</f>
        <v>7934.45</v>
      </c>
      <c r="X26" s="26">
        <f>+X24-X25</f>
        <v>9498.77</v>
      </c>
      <c r="Y26" s="26">
        <f>+Y24-Y25</f>
        <v>12481.21</v>
      </c>
      <c r="Z26" s="26">
        <f>+Z24-Z25</f>
        <v>15412.79</v>
      </c>
      <c r="AA26" s="26">
        <f>+AA24-AA25</f>
        <v>14244.5</v>
      </c>
      <c r="AB26" s="27">
        <f t="shared" ref="AB26:AD26" si="133">+AB24-AB25</f>
        <v>17093.400000000001</v>
      </c>
      <c r="AC26" s="27">
        <f t="shared" si="133"/>
        <v>19657.41</v>
      </c>
      <c r="AD26" s="27">
        <f t="shared" si="133"/>
        <v>22606.021499999999</v>
      </c>
      <c r="AE26" s="27">
        <f t="shared" ref="AE26" si="134">+AE24-AE25</f>
        <v>25996.924725000001</v>
      </c>
      <c r="AI26" s="26">
        <f t="shared" ref="AI26" si="135">+AI24-AI25</f>
        <v>1616.82</v>
      </c>
      <c r="AJ26" s="26">
        <f t="shared" ref="AJ26" si="136">+AJ24-AJ25</f>
        <v>1164.49</v>
      </c>
      <c r="AK26" s="26">
        <f t="shared" ref="AK26:AM26" si="137">+AK24-AK25</f>
        <v>1152.54</v>
      </c>
      <c r="AL26" s="26">
        <f t="shared" si="137"/>
        <v>1597.1100000000001</v>
      </c>
      <c r="AM26" s="26">
        <f t="shared" si="137"/>
        <v>1603.3</v>
      </c>
      <c r="AN26" s="26">
        <f t="shared" ref="AN26:AO26" si="138">+AN24-AN25</f>
        <v>1080.53</v>
      </c>
      <c r="AO26" s="26">
        <f t="shared" si="138"/>
        <v>1119.4000000000001</v>
      </c>
      <c r="AP26" s="26">
        <f t="shared" ref="AP26:AW26" si="139">+AP24-AP25</f>
        <v>1462.81</v>
      </c>
      <c r="AQ26" s="26">
        <f t="shared" si="139"/>
        <v>1757.34</v>
      </c>
      <c r="AR26" s="26">
        <f t="shared" si="139"/>
        <v>984.65</v>
      </c>
      <c r="AS26" s="26">
        <f t="shared" si="139"/>
        <v>951.13</v>
      </c>
      <c r="AT26" s="26">
        <f t="shared" si="139"/>
        <v>1489.97</v>
      </c>
      <c r="AU26" s="26">
        <f t="shared" si="139"/>
        <v>1558.46</v>
      </c>
      <c r="AV26" s="26">
        <f t="shared" si="139"/>
        <v>1040.0700000000002</v>
      </c>
      <c r="AW26" s="26">
        <f t="shared" si="139"/>
        <v>1265.9199999999998</v>
      </c>
      <c r="AX26" s="26">
        <f t="shared" ref="AX26:CF26" si="140">+AX24-AX25</f>
        <v>1855.3600000000001</v>
      </c>
      <c r="AY26" s="26">
        <f t="shared" si="140"/>
        <v>1850.0399999999997</v>
      </c>
      <c r="AZ26" s="26">
        <f t="shared" si="140"/>
        <v>967.21999999999991</v>
      </c>
      <c r="BA26" s="26">
        <f t="shared" si="140"/>
        <v>1180.48</v>
      </c>
      <c r="BB26" s="26">
        <f t="shared" si="140"/>
        <v>2035.0600000000002</v>
      </c>
      <c r="BC26" s="26">
        <f t="shared" si="140"/>
        <v>1944.62</v>
      </c>
      <c r="BD26" s="26">
        <f t="shared" si="140"/>
        <v>1036.71</v>
      </c>
      <c r="BE26" s="26">
        <f t="shared" si="140"/>
        <v>1374.67</v>
      </c>
      <c r="BF26" s="26">
        <f t="shared" si="140"/>
        <v>2048.38</v>
      </c>
      <c r="BG26" s="26">
        <f t="shared" si="140"/>
        <v>2148.0899999999997</v>
      </c>
      <c r="BH26" s="26">
        <f t="shared" si="140"/>
        <v>1421.3600000000001</v>
      </c>
      <c r="BI26" s="26">
        <f t="shared" si="140"/>
        <v>1491.78</v>
      </c>
      <c r="BJ26" s="26">
        <f t="shared" si="140"/>
        <v>2062.84</v>
      </c>
      <c r="BK26" s="26">
        <f t="shared" si="140"/>
        <v>2654</v>
      </c>
      <c r="BL26" s="26">
        <f t="shared" si="140"/>
        <v>1421.94</v>
      </c>
      <c r="BM26" s="26">
        <f t="shared" si="140"/>
        <v>1492.51</v>
      </c>
      <c r="BN26" s="26">
        <f t="shared" si="140"/>
        <v>2089.6299999999997</v>
      </c>
      <c r="BO26" s="26">
        <f t="shared" si="140"/>
        <v>1296.94</v>
      </c>
      <c r="BP26" s="26">
        <f t="shared" si="140"/>
        <v>1612.54</v>
      </c>
      <c r="BQ26" s="26">
        <f t="shared" si="140"/>
        <v>1994.64</v>
      </c>
      <c r="BR26" s="26">
        <f t="shared" si="140"/>
        <v>2651.6600000000003</v>
      </c>
      <c r="BS26" s="26">
        <f t="shared" si="140"/>
        <v>1785.1999999999998</v>
      </c>
      <c r="BT26" s="26">
        <f t="shared" si="140"/>
        <v>1689.0800000000002</v>
      </c>
      <c r="BU26" s="26">
        <f t="shared" si="140"/>
        <v>1793.59</v>
      </c>
      <c r="BV26" s="26">
        <f t="shared" si="140"/>
        <v>2666.58</v>
      </c>
      <c r="BW26" s="26">
        <f t="shared" si="140"/>
        <v>2768</v>
      </c>
      <c r="BX26" s="26">
        <f t="shared" si="140"/>
        <v>1768.36</v>
      </c>
      <c r="BY26" s="26">
        <f t="shared" si="140"/>
        <v>2005.61</v>
      </c>
      <c r="BZ26" s="26">
        <f t="shared" si="140"/>
        <v>2956.8</v>
      </c>
      <c r="CA26" s="26">
        <f t="shared" si="140"/>
        <v>3359.86</v>
      </c>
      <c r="CB26" s="26">
        <f t="shared" si="140"/>
        <v>2292.75</v>
      </c>
      <c r="CC26" s="26">
        <f t="shared" si="140"/>
        <v>2625.72</v>
      </c>
      <c r="CD26" s="26">
        <f t="shared" si="140"/>
        <v>4202.88</v>
      </c>
      <c r="CE26" s="26">
        <f t="shared" si="140"/>
        <v>4921.0199999999995</v>
      </c>
      <c r="CF26" s="26">
        <f t="shared" si="140"/>
        <v>2619.11</v>
      </c>
      <c r="CG26" s="26">
        <f t="shared" ref="CG26:CH26" si="141">+CG24-CG25</f>
        <v>3105.11</v>
      </c>
      <c r="CH26" s="26">
        <f t="shared" si="141"/>
        <v>4767.5600000000004</v>
      </c>
      <c r="CI26" s="26">
        <f t="shared" ref="CI26:CJ26" si="142">+CI24-CI25</f>
        <v>3938.58</v>
      </c>
      <c r="CJ26" s="26">
        <f t="shared" si="142"/>
        <v>2347.3199999999997</v>
      </c>
      <c r="CK26" s="26">
        <f t="shared" ref="CK26:CL26" si="143">+CK24-CK25</f>
        <v>3070.77</v>
      </c>
      <c r="CL26" s="26">
        <f t="shared" si="143"/>
        <v>4887.83</v>
      </c>
      <c r="CM26" s="27">
        <f t="shared" ref="CM26:DB26" si="144">+CM24-CM25</f>
        <v>4726.2960000000003</v>
      </c>
      <c r="CN26" s="27">
        <f t="shared" si="144"/>
        <v>2816.7839999999997</v>
      </c>
      <c r="CO26" s="27">
        <f t="shared" si="144"/>
        <v>3684.924</v>
      </c>
      <c r="CP26" s="27">
        <f t="shared" si="144"/>
        <v>5865.3959999999997</v>
      </c>
      <c r="CQ26" s="27">
        <f t="shared" si="144"/>
        <v>5435.2404000000006</v>
      </c>
      <c r="CR26" s="27">
        <f t="shared" si="144"/>
        <v>3239.3015999999998</v>
      </c>
      <c r="CS26" s="27">
        <f t="shared" si="144"/>
        <v>4237.6625999999997</v>
      </c>
      <c r="CT26" s="27">
        <f t="shared" si="144"/>
        <v>6745.2053999999998</v>
      </c>
      <c r="CU26" s="27">
        <f t="shared" si="144"/>
        <v>6250.526460000001</v>
      </c>
      <c r="CV26" s="27">
        <f t="shared" si="144"/>
        <v>3725.1968399999996</v>
      </c>
      <c r="CW26" s="27">
        <f t="shared" si="144"/>
        <v>4873.3119899999992</v>
      </c>
      <c r="CX26" s="27">
        <f t="shared" si="144"/>
        <v>7756.98621</v>
      </c>
      <c r="CY26" s="27">
        <f t="shared" si="144"/>
        <v>7188.1054290000011</v>
      </c>
      <c r="CZ26" s="27">
        <f t="shared" si="144"/>
        <v>4283.9763659999999</v>
      </c>
      <c r="DA26" s="27">
        <f t="shared" si="144"/>
        <v>5604.3087884999986</v>
      </c>
      <c r="DB26" s="27">
        <f t="shared" si="144"/>
        <v>8920.5341415000003</v>
      </c>
      <c r="DE26" s="121"/>
      <c r="DF26" s="26">
        <v>5268.1538</v>
      </c>
    </row>
    <row r="27" spans="1:110" s="39" customFormat="1" x14ac:dyDescent="0.2">
      <c r="A27" s="39" t="s">
        <v>484</v>
      </c>
      <c r="C27" s="39">
        <f t="shared" ref="C27" si="145">C26/B26-1</f>
        <v>0.15251709168625327</v>
      </c>
      <c r="D27" s="39">
        <f t="shared" ref="D27" si="146">D26/C26-1</f>
        <v>0.42487395030462105</v>
      </c>
      <c r="E27" s="39">
        <f t="shared" ref="E27" si="147">E26/D26-1</f>
        <v>8.3160147904192794E-2</v>
      </c>
      <c r="F27" s="39">
        <f t="shared" ref="F27:R27" si="148">F26/E26-1</f>
        <v>8.6116173375326843E-2</v>
      </c>
      <c r="G27" s="39">
        <f t="shared" si="148"/>
        <v>0.3231873747687648</v>
      </c>
      <c r="H27" s="39">
        <f t="shared" si="148"/>
        <v>0.29282076702183124</v>
      </c>
      <c r="I27" s="39">
        <f t="shared" si="148"/>
        <v>0.26761380389015543</v>
      </c>
      <c r="J27" s="39">
        <f t="shared" si="148"/>
        <v>0.35060780504280653</v>
      </c>
      <c r="K27" s="39">
        <f>K26/J26-1</f>
        <v>9.9764192302462806E-2</v>
      </c>
      <c r="L27" s="39">
        <f t="shared" si="148"/>
        <v>9.1206193210988662E-2</v>
      </c>
      <c r="M27" s="39">
        <f t="shared" si="148"/>
        <v>-1.0867442131935467E-3</v>
      </c>
      <c r="N27" s="39">
        <f t="shared" si="148"/>
        <v>6.6571800035416295E-2</v>
      </c>
      <c r="O27" s="39">
        <f t="shared" si="148"/>
        <v>-4.7896783779004193E-2</v>
      </c>
      <c r="P27" s="39">
        <f t="shared" si="148"/>
        <v>-1.5753435752133504E-2</v>
      </c>
      <c r="Q27" s="39">
        <f t="shared" si="148"/>
        <v>0.10355190669590608</v>
      </c>
      <c r="R27" s="39">
        <f t="shared" si="148"/>
        <v>5.4721252652472296E-2</v>
      </c>
      <c r="S27" s="39">
        <f t="shared" ref="S27:AA27" si="149">S26/R26-1</f>
        <v>6.1593290014587021E-2</v>
      </c>
      <c r="T27" s="39">
        <f t="shared" si="149"/>
        <v>0.11237465609473518</v>
      </c>
      <c r="U27" s="39">
        <f t="shared" si="149"/>
        <v>7.4958555993975384E-2</v>
      </c>
      <c r="V27" s="39">
        <f t="shared" si="149"/>
        <v>-1.3358439713348491E-2</v>
      </c>
      <c r="W27" s="39">
        <f t="shared" si="149"/>
        <v>5.0116599477486146E-2</v>
      </c>
      <c r="X27" s="39">
        <f t="shared" si="149"/>
        <v>0.19715544240621607</v>
      </c>
      <c r="Y27" s="39">
        <f t="shared" si="149"/>
        <v>0.3139817049996998</v>
      </c>
      <c r="Z27" s="39">
        <f t="shared" si="149"/>
        <v>0.23487947082053751</v>
      </c>
      <c r="AA27" s="39">
        <f t="shared" si="149"/>
        <v>-7.5800033608451223E-2</v>
      </c>
      <c r="AB27" s="40">
        <f t="shared" ref="AB27" si="150">AB26/AA26-1</f>
        <v>0.20000000000000018</v>
      </c>
      <c r="AC27" s="40">
        <f t="shared" ref="AC27" si="151">AC26/AB26-1</f>
        <v>0.14999999999999991</v>
      </c>
      <c r="AD27" s="40">
        <f t="shared" ref="AD27" si="152">AD26/AC26-1</f>
        <v>0.14999999999999991</v>
      </c>
      <c r="AE27" s="40">
        <f t="shared" ref="AE27" si="153">AE26/AD26-1</f>
        <v>0.15000000000000013</v>
      </c>
      <c r="AM27" s="39">
        <f t="shared" ref="AM27:CI27" si="154">+IF(AI26&lt;0,1-AM26/AI26,AM26/AI26-1)</f>
        <v>-8.362093492163658E-3</v>
      </c>
      <c r="AN27" s="39">
        <f t="shared" si="154"/>
        <v>-7.2100232719903179E-2</v>
      </c>
      <c r="AO27" s="39">
        <f t="shared" si="154"/>
        <v>-2.8753882728581925E-2</v>
      </c>
      <c r="AP27" s="39">
        <f t="shared" si="154"/>
        <v>-8.408938645428321E-2</v>
      </c>
      <c r="AQ27" s="39">
        <f t="shared" si="154"/>
        <v>9.6076841514376676E-2</v>
      </c>
      <c r="AR27" s="39">
        <f t="shared" si="154"/>
        <v>-8.8734232274902181E-2</v>
      </c>
      <c r="AS27" s="39">
        <f t="shared" si="154"/>
        <v>-0.15032160085760238</v>
      </c>
      <c r="AT27" s="39">
        <f t="shared" si="154"/>
        <v>1.8567004600734238E-2</v>
      </c>
      <c r="AU27" s="39">
        <f t="shared" si="154"/>
        <v>-0.11317104259847266</v>
      </c>
      <c r="AV27" s="39">
        <f t="shared" si="154"/>
        <v>5.6283958767074704E-2</v>
      </c>
      <c r="AW27" s="39">
        <f t="shared" si="154"/>
        <v>0.33096422150494664</v>
      </c>
      <c r="AX27" s="39">
        <f t="shared" si="154"/>
        <v>0.24523312549917109</v>
      </c>
      <c r="AY27" s="39">
        <f t="shared" si="154"/>
        <v>0.18709495270972609</v>
      </c>
      <c r="AZ27" s="39">
        <f t="shared" si="154"/>
        <v>-7.0043362465988079E-2</v>
      </c>
      <c r="BA27" s="39">
        <f t="shared" si="154"/>
        <v>-6.7492416582406345E-2</v>
      </c>
      <c r="BB27" s="39">
        <f t="shared" si="154"/>
        <v>9.6854518799586176E-2</v>
      </c>
      <c r="BC27" s="39">
        <f t="shared" si="154"/>
        <v>5.1123218957427996E-2</v>
      </c>
      <c r="BD27" s="39">
        <f t="shared" si="154"/>
        <v>7.1845081780773867E-2</v>
      </c>
      <c r="BE27" s="39">
        <f t="shared" si="154"/>
        <v>0.16450088099756033</v>
      </c>
      <c r="BF27" s="39">
        <f t="shared" si="154"/>
        <v>6.5452615647696444E-3</v>
      </c>
      <c r="BG27" s="39">
        <f t="shared" si="154"/>
        <v>0.10463226748670684</v>
      </c>
      <c r="BH27" s="39">
        <f t="shared" si="154"/>
        <v>0.37102950680518187</v>
      </c>
      <c r="BI27" s="39">
        <f t="shared" si="154"/>
        <v>8.5191355016112968E-2</v>
      </c>
      <c r="BJ27" s="39">
        <f t="shared" si="154"/>
        <v>7.05923705562439E-3</v>
      </c>
      <c r="BK27" s="39">
        <f t="shared" si="154"/>
        <v>0.23551620276617857</v>
      </c>
      <c r="BL27" s="39">
        <f t="shared" si="154"/>
        <v>4.0805988630610024E-4</v>
      </c>
      <c r="BM27" s="39">
        <f t="shared" si="154"/>
        <v>4.8934829532498725E-4</v>
      </c>
      <c r="BN27" s="39">
        <f t="shared" si="154"/>
        <v>1.2986950030055455E-2</v>
      </c>
      <c r="BO27" s="39">
        <f t="shared" si="154"/>
        <v>-0.51132629992464196</v>
      </c>
      <c r="BP27" s="39">
        <f t="shared" si="154"/>
        <v>0.13404222400382571</v>
      </c>
      <c r="BQ27" s="39">
        <f t="shared" si="154"/>
        <v>0.33643325672859814</v>
      </c>
      <c r="BR27" s="39">
        <f t="shared" si="154"/>
        <v>0.26896149079023601</v>
      </c>
      <c r="BS27" s="39">
        <f t="shared" si="154"/>
        <v>0.37647076965780979</v>
      </c>
      <c r="BT27" s="39">
        <f t="shared" si="154"/>
        <v>4.7465489228174285E-2</v>
      </c>
      <c r="BU27" s="39">
        <f t="shared" si="154"/>
        <v>-0.10079513095094861</v>
      </c>
      <c r="BV27" s="39">
        <f t="shared" si="154"/>
        <v>5.6266640519522237E-3</v>
      </c>
      <c r="BW27" s="39">
        <f t="shared" si="154"/>
        <v>0.55052655164687447</v>
      </c>
      <c r="BX27" s="39">
        <f t="shared" si="154"/>
        <v>4.6936793994363679E-2</v>
      </c>
      <c r="BY27" s="39">
        <f t="shared" si="154"/>
        <v>0.11820984728951434</v>
      </c>
      <c r="BZ27" s="39">
        <f t="shared" si="154"/>
        <v>0.10883603717120827</v>
      </c>
      <c r="CA27" s="39">
        <f t="shared" si="154"/>
        <v>0.21382225433526014</v>
      </c>
      <c r="CB27" s="39">
        <f t="shared" si="154"/>
        <v>0.296540297224547</v>
      </c>
      <c r="CC27" s="39">
        <f t="shared" si="154"/>
        <v>0.30918772842177678</v>
      </c>
      <c r="CD27" s="39">
        <f t="shared" si="154"/>
        <v>0.42142857142857149</v>
      </c>
      <c r="CE27" s="39">
        <f t="shared" si="154"/>
        <v>0.46465031281065272</v>
      </c>
      <c r="CF27" s="39">
        <f t="shared" si="154"/>
        <v>0.14234434630901771</v>
      </c>
      <c r="CG27" s="39">
        <f t="shared" si="154"/>
        <v>0.18257468427707457</v>
      </c>
      <c r="CH27" s="39">
        <f t="shared" si="154"/>
        <v>0.13435548956905752</v>
      </c>
      <c r="CI27" s="39">
        <f t="shared" si="154"/>
        <v>-0.19964153772998272</v>
      </c>
      <c r="CJ27" s="39">
        <f>+IF(CF26&lt;0,1-CJ26/CF26,CJ26/CF26-1)</f>
        <v>-0.10377189197857306</v>
      </c>
      <c r="CK27" s="39">
        <f>+IF(CG26&lt;0,1-CK26/CG26,CK26/CG26-1)</f>
        <v>-1.1059189529517566E-2</v>
      </c>
      <c r="CL27" s="39">
        <f>+IF(CH26&lt;0,1-CL26/CH26,CL26/CH26-1)</f>
        <v>2.5226740722717578E-2</v>
      </c>
      <c r="CM27" s="40">
        <v>0.2</v>
      </c>
      <c r="CN27" s="40">
        <v>0.2</v>
      </c>
      <c r="CO27" s="40">
        <v>0.2</v>
      </c>
      <c r="CP27" s="40">
        <v>0.2</v>
      </c>
      <c r="CQ27" s="40">
        <v>0.15</v>
      </c>
      <c r="CR27" s="40">
        <v>0.15</v>
      </c>
      <c r="CS27" s="40">
        <v>0.15</v>
      </c>
      <c r="CT27" s="40">
        <v>0.15</v>
      </c>
      <c r="CU27" s="40">
        <f t="shared" ref="CU27" si="155">+AVERAGE(CQ27:CT27)</f>
        <v>0.15</v>
      </c>
      <c r="CV27" s="40">
        <f t="shared" ref="CV27" si="156">+AVERAGE(CR27:CU27)</f>
        <v>0.15</v>
      </c>
      <c r="CW27" s="40">
        <f t="shared" ref="CW27" si="157">+AVERAGE(CS27:CV27)</f>
        <v>0.15</v>
      </c>
      <c r="CX27" s="40">
        <f t="shared" ref="CX27" si="158">+AVERAGE(CT27:CW27)</f>
        <v>0.15</v>
      </c>
      <c r="CY27" s="40">
        <f t="shared" ref="CY27" si="159">+AVERAGE(CU27:CX27)</f>
        <v>0.15</v>
      </c>
      <c r="CZ27" s="40">
        <f t="shared" ref="CZ27" si="160">+AVERAGE(CV27:CY27)</f>
        <v>0.15</v>
      </c>
      <c r="DA27" s="40">
        <f t="shared" ref="DA27" si="161">+AVERAGE(CW27:CZ27)</f>
        <v>0.15</v>
      </c>
      <c r="DB27" s="40">
        <f t="shared" ref="DB27" si="162">+AVERAGE(CX27:DA27)</f>
        <v>0.15</v>
      </c>
      <c r="DE27" s="122"/>
      <c r="DF27" s="39">
        <v>0.105</v>
      </c>
    </row>
    <row r="28" spans="1:110" s="39" customFormat="1" x14ac:dyDescent="0.2">
      <c r="A28" s="39" t="s">
        <v>446</v>
      </c>
      <c r="AB28" s="40"/>
      <c r="AC28" s="40"/>
      <c r="AD28" s="40"/>
      <c r="AE28" s="40"/>
      <c r="AJ28" s="39">
        <f t="shared" ref="AJ28:AL28" si="163">+IF(AI26&lt;0,1-AJ26/AI26,AJ26/AI26-1)</f>
        <v>-0.27976521814425848</v>
      </c>
      <c r="AK28" s="39">
        <f t="shared" si="163"/>
        <v>-1.0262003108657103E-2</v>
      </c>
      <c r="AL28" s="39">
        <f t="shared" si="163"/>
        <v>0.38573064709250882</v>
      </c>
      <c r="AM28" s="39">
        <f t="shared" ref="AM28:CI28" si="164">+IF(AL26&lt;0,1-AM26/AL26,AM26/AL26-1)</f>
        <v>3.8757505744750897E-3</v>
      </c>
      <c r="AN28" s="39">
        <f t="shared" si="164"/>
        <v>-0.32605875382024574</v>
      </c>
      <c r="AO28" s="39">
        <f t="shared" si="164"/>
        <v>3.5973087281241822E-2</v>
      </c>
      <c r="AP28" s="39">
        <f t="shared" si="164"/>
        <v>0.30678041808111467</v>
      </c>
      <c r="AQ28" s="39">
        <f t="shared" si="164"/>
        <v>0.20134535585619462</v>
      </c>
      <c r="AR28" s="39">
        <f t="shared" si="164"/>
        <v>-0.43969294501917666</v>
      </c>
      <c r="AS28" s="39">
        <f t="shared" si="164"/>
        <v>-3.40425531914893E-2</v>
      </c>
      <c r="AT28" s="39">
        <f t="shared" si="164"/>
        <v>0.56652613207447988</v>
      </c>
      <c r="AU28" s="39">
        <f t="shared" si="164"/>
        <v>4.5967368470506198E-2</v>
      </c>
      <c r="AV28" s="39">
        <f t="shared" si="164"/>
        <v>-0.33262964721584121</v>
      </c>
      <c r="AW28" s="39">
        <f t="shared" si="164"/>
        <v>0.21714884575076643</v>
      </c>
      <c r="AX28" s="39">
        <f t="shared" si="164"/>
        <v>0.46562184024266973</v>
      </c>
      <c r="AY28" s="39">
        <f t="shared" si="164"/>
        <v>-2.8673680579511807E-3</v>
      </c>
      <c r="AZ28" s="39">
        <f t="shared" si="164"/>
        <v>-0.47718968238524573</v>
      </c>
      <c r="BA28" s="39">
        <f t="shared" si="164"/>
        <v>0.22048758296974857</v>
      </c>
      <c r="BB28" s="39">
        <f t="shared" si="164"/>
        <v>0.7239258606668475</v>
      </c>
      <c r="BC28" s="39">
        <f t="shared" si="164"/>
        <v>-4.4440950143976199E-2</v>
      </c>
      <c r="BD28" s="39">
        <f t="shared" si="164"/>
        <v>-0.46688298999290345</v>
      </c>
      <c r="BE28" s="39">
        <f t="shared" si="164"/>
        <v>0.32599280415931164</v>
      </c>
      <c r="BF28" s="39">
        <f t="shared" si="164"/>
        <v>0.49008853033819033</v>
      </c>
      <c r="BG28" s="39">
        <f t="shared" si="164"/>
        <v>4.8677491481072588E-2</v>
      </c>
      <c r="BH28" s="39">
        <f t="shared" si="164"/>
        <v>-0.33831450265119234</v>
      </c>
      <c r="BI28" s="39">
        <f t="shared" si="164"/>
        <v>4.954409860978215E-2</v>
      </c>
      <c r="BJ28" s="39">
        <f t="shared" si="164"/>
        <v>0.38280443497030414</v>
      </c>
      <c r="BK28" s="39">
        <f t="shared" si="164"/>
        <v>0.28657578871846567</v>
      </c>
      <c r="BL28" s="39">
        <f t="shared" si="164"/>
        <v>-0.46422758100979655</v>
      </c>
      <c r="BM28" s="39">
        <f t="shared" si="164"/>
        <v>4.9629379580010458E-2</v>
      </c>
      <c r="BN28" s="39">
        <f t="shared" si="164"/>
        <v>0.40007772142230191</v>
      </c>
      <c r="BO28" s="39">
        <f t="shared" si="164"/>
        <v>-0.37934466867340133</v>
      </c>
      <c r="BP28" s="39">
        <f t="shared" si="164"/>
        <v>0.24334202044813158</v>
      </c>
      <c r="BQ28" s="39">
        <f t="shared" si="164"/>
        <v>0.23695536234760084</v>
      </c>
      <c r="BR28" s="39">
        <f t="shared" si="164"/>
        <v>0.32939277263065025</v>
      </c>
      <c r="BS28" s="39">
        <f t="shared" si="164"/>
        <v>-0.32676134949427915</v>
      </c>
      <c r="BT28" s="39">
        <f t="shared" si="164"/>
        <v>-5.3842706699529286E-2</v>
      </c>
      <c r="BU28" s="39">
        <f t="shared" si="164"/>
        <v>6.1873919530158306E-2</v>
      </c>
      <c r="BV28" s="39">
        <f t="shared" si="164"/>
        <v>0.48672773599317565</v>
      </c>
      <c r="BW28" s="39">
        <f t="shared" si="164"/>
        <v>3.8033736096423132E-2</v>
      </c>
      <c r="BX28" s="39">
        <f t="shared" si="164"/>
        <v>-0.36114161849710991</v>
      </c>
      <c r="BY28" s="39">
        <f t="shared" si="164"/>
        <v>0.13416385803795605</v>
      </c>
      <c r="BZ28" s="39">
        <f t="shared" si="164"/>
        <v>0.47426468755141848</v>
      </c>
      <c r="CA28" s="39">
        <f t="shared" si="164"/>
        <v>0.1363162878787878</v>
      </c>
      <c r="CB28" s="39">
        <f t="shared" si="164"/>
        <v>-0.31760549546707306</v>
      </c>
      <c r="CC28" s="39">
        <f t="shared" si="164"/>
        <v>0.1452273470722929</v>
      </c>
      <c r="CD28" s="39">
        <f t="shared" si="164"/>
        <v>0.60065810520542962</v>
      </c>
      <c r="CE28" s="39">
        <f t="shared" si="164"/>
        <v>0.17086854728186363</v>
      </c>
      <c r="CF28" s="39">
        <f t="shared" si="164"/>
        <v>-0.46777090928303477</v>
      </c>
      <c r="CG28" s="39">
        <f t="shared" si="164"/>
        <v>0.18555921668047537</v>
      </c>
      <c r="CH28" s="39">
        <f t="shared" si="164"/>
        <v>0.53539166084293321</v>
      </c>
      <c r="CI28" s="39">
        <f t="shared" si="164"/>
        <v>-0.17387930094220116</v>
      </c>
      <c r="CJ28" s="39">
        <f>+IF(CI26&lt;0,1-CJ26/CI26,CJ26/CI26-1)</f>
        <v>-0.40401870724982103</v>
      </c>
      <c r="CK28" s="39">
        <f>+IF(CJ26&lt;0,1-CK26/CJ26,CK26/CJ26-1)</f>
        <v>0.30820254588211249</v>
      </c>
      <c r="CL28" s="39">
        <f>+IF(CK26&lt;0,1-CL26/CK26,CL26/CK26-1)</f>
        <v>0.59172780768341493</v>
      </c>
      <c r="CM28" s="40">
        <f t="shared" ref="CM28" si="165">+CM26/CL26-1</f>
        <v>-3.3048203394962505E-2</v>
      </c>
      <c r="CN28" s="40">
        <f t="shared" ref="CN28" si="166">+CN26/CM26-1</f>
        <v>-0.40401870724982114</v>
      </c>
      <c r="CO28" s="40">
        <f t="shared" ref="CO28" si="167">+CO26/CN26-1</f>
        <v>0.30820254588211249</v>
      </c>
      <c r="CP28" s="40">
        <f t="shared" ref="CP28" si="168">+CP26/CO26-1</f>
        <v>0.59172780768341493</v>
      </c>
      <c r="CQ28" s="40">
        <f t="shared" ref="CQ28" si="169">+CQ26/CP26-1</f>
        <v>-7.333786158683897E-2</v>
      </c>
      <c r="CR28" s="40">
        <f t="shared" ref="CR28" si="170">+CR26/CQ26-1</f>
        <v>-0.40401870724982114</v>
      </c>
      <c r="CS28" s="40">
        <f t="shared" ref="CS28" si="171">+CS26/CR26-1</f>
        <v>0.30820254588211227</v>
      </c>
      <c r="CT28" s="40">
        <f t="shared" ref="CT28" si="172">+CT26/CS26-1</f>
        <v>0.59172780768341493</v>
      </c>
      <c r="CU28" s="40">
        <f t="shared" ref="CU28" si="173">+CU26/CT26-1</f>
        <v>-7.333786158683897E-2</v>
      </c>
      <c r="CV28" s="40">
        <f t="shared" ref="CV28" si="174">+CV26/CU26-1</f>
        <v>-0.40401870724982114</v>
      </c>
      <c r="CW28" s="40">
        <f t="shared" ref="CW28" si="175">+CW26/CV26-1</f>
        <v>0.30820254588211227</v>
      </c>
      <c r="CX28" s="40">
        <f t="shared" ref="CX28" si="176">+CX26/CW26-1</f>
        <v>0.59172780768341515</v>
      </c>
      <c r="CY28" s="40">
        <f t="shared" ref="CY28" si="177">+CY26/CX26-1</f>
        <v>-7.333786158683897E-2</v>
      </c>
      <c r="CZ28" s="40">
        <f t="shared" ref="CZ28" si="178">+CZ26/CY26-1</f>
        <v>-0.40401870724982114</v>
      </c>
      <c r="DA28" s="40">
        <f t="shared" ref="DA28" si="179">+DA26/CZ26-1</f>
        <v>0.30820254588211204</v>
      </c>
      <c r="DB28" s="40">
        <f t="shared" ref="DB28" si="180">+DB26/DA26-1</f>
        <v>0.59172780768341537</v>
      </c>
      <c r="DE28" s="122"/>
      <c r="DF28" s="39">
        <v>0.71558071753990049</v>
      </c>
    </row>
    <row r="29" spans="1:110" s="23" customFormat="1" outlineLevel="1" x14ac:dyDescent="0.2">
      <c r="A29" s="23" t="s">
        <v>2</v>
      </c>
      <c r="B29" s="23">
        <f>'Annual Raw'!C11</f>
        <v>29.475999999999999</v>
      </c>
      <c r="C29" s="23">
        <f>'Annual Raw'!D11</f>
        <v>65.887500000000003</v>
      </c>
      <c r="D29" s="23">
        <f>'Annual Raw'!E11</f>
        <v>40.003799999999998</v>
      </c>
      <c r="E29" s="23">
        <f>'Annual Raw'!F11</f>
        <v>10.4407</v>
      </c>
      <c r="F29" s="23">
        <f>'Annual Raw'!G11</f>
        <v>-346.5813</v>
      </c>
      <c r="G29" s="23">
        <f>'Annual Raw'!H11</f>
        <v>-608.10940000000005</v>
      </c>
      <c r="H29" s="23">
        <f>'Annual Raw'!I11</f>
        <v>0</v>
      </c>
      <c r="I29" s="23">
        <f>'Annual Raw'!J11</f>
        <v>0</v>
      </c>
      <c r="J29" s="23">
        <f>'Annual Raw'!K11</f>
        <v>-173.8426</v>
      </c>
      <c r="K29" s="23">
        <f>'Annual Raw'!L11</f>
        <v>-69.358500000000006</v>
      </c>
      <c r="L29" s="23">
        <f>'Annual Raw'!M11</f>
        <v>-122.76739999999999</v>
      </c>
      <c r="M29" s="23">
        <f>'Annual Raw'!N11</f>
        <v>-14.199400000000001</v>
      </c>
      <c r="N29" s="23">
        <f>'Annual Raw'!O11</f>
        <v>-136.21809999999999</v>
      </c>
      <c r="O29" s="23">
        <f>'Annual Raw'!P11</f>
        <v>117.9462</v>
      </c>
      <c r="P29" s="23">
        <f>'Annual Raw'!Q11</f>
        <v>16.6616</v>
      </c>
      <c r="Q29" s="23">
        <f>'Annual Raw'!R11</f>
        <v>59.298699999999997</v>
      </c>
      <c r="R29" s="23">
        <f>'Annual Raw'!S11</f>
        <v>-190.25</v>
      </c>
      <c r="S29" s="23">
        <f>'Annual Raw'!T11</f>
        <v>105.41</v>
      </c>
      <c r="T29" s="23">
        <f>'Annual Raw'!U11</f>
        <v>-279.55</v>
      </c>
      <c r="U29" s="23">
        <f>'Annual Raw'!V11</f>
        <v>-302.29000000000002</v>
      </c>
      <c r="V29" s="23">
        <f>'Annual Raw'!W11</f>
        <v>279.3</v>
      </c>
      <c r="W29" s="23">
        <f>'Annual Raw'!X11</f>
        <v>-178.25</v>
      </c>
      <c r="X29" s="23">
        <f>'Annual Raw'!Y11</f>
        <v>273.56</v>
      </c>
      <c r="Y29" s="23">
        <f>'Annual Raw'!Z11</f>
        <v>-391.15</v>
      </c>
      <c r="Z29" s="23">
        <f>'Annual Raw'!AA11</f>
        <v>-182.54</v>
      </c>
      <c r="AA29" s="23">
        <f>'Annual Raw'!AB11</f>
        <v>-269.75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Raw'!C10</f>
        <v>37.85</v>
      </c>
      <c r="AJ29" s="23">
        <f>'QTR Raw'!D10</f>
        <v>-21.29</v>
      </c>
      <c r="AK29" s="23">
        <f>'QTR Raw'!E10</f>
        <v>-67.989999999999995</v>
      </c>
      <c r="AL29" s="23">
        <f>'QTR Raw'!F10</f>
        <v>-84.79</v>
      </c>
      <c r="AM29" s="23">
        <f>'QTR Raw'!G10</f>
        <v>192.03</v>
      </c>
      <c r="AN29" s="23">
        <f>'QTR Raw'!H10</f>
        <v>-63.66</v>
      </c>
      <c r="AO29" s="23">
        <f>'QTR Raw'!I10</f>
        <v>-82.12</v>
      </c>
      <c r="AP29" s="23">
        <f>'QTR Raw'!J10</f>
        <v>71.7</v>
      </c>
      <c r="AQ29" s="23">
        <f>'QTR Raw'!K10</f>
        <v>144.72999999999999</v>
      </c>
      <c r="AR29" s="23">
        <f>'QTR Raw'!L10</f>
        <v>-131.63</v>
      </c>
      <c r="AS29" s="23">
        <f>'QTR Raw'!M10</f>
        <v>-7.92</v>
      </c>
      <c r="AT29" s="23">
        <f>'QTR Raw'!N10</f>
        <v>11.48</v>
      </c>
      <c r="AU29" s="23">
        <f>'QTR Raw'!O10</f>
        <v>-2.2999999999999998</v>
      </c>
      <c r="AV29" s="23">
        <f>'QTR Raw'!P10</f>
        <v>21.98</v>
      </c>
      <c r="AW29" s="23">
        <f>'QTR Raw'!Q10</f>
        <v>-58.83</v>
      </c>
      <c r="AX29" s="23">
        <f>'QTR Raw'!R10</f>
        <v>98.44</v>
      </c>
      <c r="AY29" s="23">
        <f>'QTR Raw'!S10</f>
        <v>-16.670000000000002</v>
      </c>
      <c r="AZ29" s="23">
        <f>'QTR Raw'!T10</f>
        <v>-12.11</v>
      </c>
      <c r="BA29" s="23">
        <f>'QTR Raw'!U10</f>
        <v>-232.81</v>
      </c>
      <c r="BB29" s="23">
        <f>'QTR Raw'!V10</f>
        <v>71.34</v>
      </c>
      <c r="BC29" s="23">
        <f>'QTR Raw'!W10</f>
        <v>60.51</v>
      </c>
      <c r="BD29" s="23">
        <f>'QTR Raw'!X10</f>
        <v>86.98</v>
      </c>
      <c r="BE29" s="23">
        <f>'QTR Raw'!Y10</f>
        <v>49.26</v>
      </c>
      <c r="BF29" s="23">
        <f>'QTR Raw'!Z10</f>
        <v>-91.34</v>
      </c>
      <c r="BG29" s="23">
        <f>'QTR Raw'!AA10</f>
        <v>-309.89999999999998</v>
      </c>
      <c r="BH29" s="23">
        <f>'QTR Raw'!AB10</f>
        <v>-22.72</v>
      </c>
      <c r="BI29" s="23">
        <f>'QTR Raw'!AC10</f>
        <v>97.07</v>
      </c>
      <c r="BJ29" s="23">
        <f>'QTR Raw'!AD10</f>
        <v>-44</v>
      </c>
      <c r="BK29" s="23">
        <f>'QTR Raw'!AE10</f>
        <v>327.08999999999997</v>
      </c>
      <c r="BL29" s="23">
        <f>'QTR Raw'!AF10</f>
        <v>-74.63</v>
      </c>
      <c r="BM29" s="23">
        <f>'QTR Raw'!AG10</f>
        <v>-163.21</v>
      </c>
      <c r="BN29" s="23">
        <f>'QTR Raw'!AH10</f>
        <v>-391.54</v>
      </c>
      <c r="BO29" s="23">
        <f>'QTR Raw'!AI10</f>
        <v>145.19999999999999</v>
      </c>
      <c r="BP29" s="23">
        <f>'QTR Raw'!AJ10</f>
        <v>68.010000000000005</v>
      </c>
      <c r="BQ29" s="23">
        <f>'QTR Raw'!AK10</f>
        <v>23.14</v>
      </c>
      <c r="BR29" s="23">
        <f>'QTR Raw'!AL10</f>
        <v>42.95</v>
      </c>
      <c r="BS29" s="23">
        <f>'QTR Raw'!AM10</f>
        <v>44.94</v>
      </c>
      <c r="BT29" s="23">
        <f>'QTR Raw'!AN10</f>
        <v>18.71</v>
      </c>
      <c r="BU29" s="23">
        <f>'QTR Raw'!AO10</f>
        <v>-323.92</v>
      </c>
      <c r="BV29" s="23">
        <f>'QTR Raw'!AP10</f>
        <v>82.02</v>
      </c>
      <c r="BW29" s="23">
        <f>'QTR Raw'!AQ10</f>
        <v>276.68</v>
      </c>
      <c r="BX29" s="23">
        <f>'QTR Raw'!AR10</f>
        <v>46.09</v>
      </c>
      <c r="BY29" s="23">
        <f>'QTR Raw'!AS10</f>
        <v>28.94</v>
      </c>
      <c r="BZ29" s="23">
        <f>'QTR Raw'!AT10</f>
        <v>-78.150000000000006</v>
      </c>
      <c r="CA29" s="23">
        <f>'QTR Raw'!AU10</f>
        <v>49.75</v>
      </c>
      <c r="CB29" s="23">
        <f>'QTR Raw'!AV10</f>
        <v>-290.81</v>
      </c>
      <c r="CC29" s="23">
        <f>'QTR Raw'!AW10</f>
        <v>-259.08999999999997</v>
      </c>
      <c r="CD29" s="23">
        <f>'QTR Raw'!AX10</f>
        <v>109</v>
      </c>
      <c r="CE29" s="23">
        <f>'QTR Raw'!AY10</f>
        <v>517.76</v>
      </c>
      <c r="CF29" s="23">
        <f>'QTR Raw'!AZ10</f>
        <v>-471.06</v>
      </c>
      <c r="CG29" s="23">
        <f>'QTR Raw'!BA10</f>
        <v>-518.5</v>
      </c>
      <c r="CH29" s="23">
        <f>'QTR Raw'!BB10</f>
        <v>289.26</v>
      </c>
      <c r="CI29" s="23">
        <f>'QTR Raw'!BC10</f>
        <v>-247.71</v>
      </c>
      <c r="CJ29" s="23">
        <f>'QTR Raw'!BD10</f>
        <v>-184.49</v>
      </c>
      <c r="CK29" s="23">
        <f>'QTR Raw'!BE10</f>
        <v>74.14</v>
      </c>
      <c r="CL29" s="23">
        <f>'QTR Raw'!BF10</f>
        <v>88.31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-269.75000000000006</v>
      </c>
    </row>
    <row r="30" spans="1:110" s="23" customFormat="1" outlineLevel="1" x14ac:dyDescent="0.2">
      <c r="A30" s="23" t="s">
        <v>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76">
        <f>+SUM(CM30:CP30)</f>
        <v>0</v>
      </c>
      <c r="AC30" s="76">
        <f>+SUM(CQ30:CT30)</f>
        <v>0</v>
      </c>
      <c r="AD30" s="76">
        <f>+SUM(CU30:CX30)</f>
        <v>0</v>
      </c>
      <c r="AE30" s="76">
        <f>+SUM(CY30:DB30)</f>
        <v>0</v>
      </c>
      <c r="AI30" s="23">
        <f>'QTR Raw'!C12</f>
        <v>176.4</v>
      </c>
      <c r="AJ30" s="23">
        <f>'QTR Raw'!D12</f>
        <v>89.98</v>
      </c>
      <c r="AK30" s="23">
        <f>'QTR Raw'!E12</f>
        <v>101.68</v>
      </c>
      <c r="AL30" s="23">
        <f>'QTR Raw'!F12</f>
        <v>218.44</v>
      </c>
      <c r="AM30" s="23">
        <f>'QTR Raw'!G12</f>
        <v>131.30000000000001</v>
      </c>
      <c r="AN30" s="23">
        <f>'QTR Raw'!H12</f>
        <v>161.37</v>
      </c>
      <c r="AO30" s="23">
        <f>'QTR Raw'!I12</f>
        <v>175.73</v>
      </c>
      <c r="AP30" s="23">
        <f>'QTR Raw'!J12</f>
        <v>104.81</v>
      </c>
      <c r="AQ30" s="23">
        <f>'QTR Raw'!K12</f>
        <v>225.07</v>
      </c>
      <c r="AR30" s="23">
        <f>'QTR Raw'!L12</f>
        <v>162.21</v>
      </c>
      <c r="AS30" s="23">
        <f>'QTR Raw'!M12</f>
        <v>73.55</v>
      </c>
      <c r="AT30" s="23">
        <f>'QTR Raw'!N12</f>
        <v>231.36</v>
      </c>
      <c r="AU30" s="23">
        <f>'QTR Raw'!O12</f>
        <v>191.56</v>
      </c>
      <c r="AV30" s="23">
        <f>'QTR Raw'!P12</f>
        <v>58.26</v>
      </c>
      <c r="AW30" s="23">
        <f>'QTR Raw'!Q12</f>
        <v>131.05000000000001</v>
      </c>
      <c r="AX30" s="23">
        <f>'QTR Raw'!R12</f>
        <v>291.45</v>
      </c>
      <c r="AY30" s="23">
        <f>'QTR Raw'!S12</f>
        <v>323.3</v>
      </c>
      <c r="AZ30" s="23">
        <f>'QTR Raw'!T12</f>
        <v>83.52</v>
      </c>
      <c r="BA30" s="23">
        <f>'QTR Raw'!U12</f>
        <v>239.24</v>
      </c>
      <c r="BB30" s="23">
        <f>'QTR Raw'!V12</f>
        <v>382.04</v>
      </c>
      <c r="BC30" s="23">
        <f>'QTR Raw'!W12</f>
        <v>435.54</v>
      </c>
      <c r="BD30" s="23">
        <f>'QTR Raw'!X12</f>
        <v>162.1</v>
      </c>
      <c r="BE30" s="23">
        <f>'QTR Raw'!Y12</f>
        <v>188.78</v>
      </c>
      <c r="BF30" s="23">
        <f>'QTR Raw'!Z12</f>
        <v>855.47</v>
      </c>
      <c r="BG30" s="23">
        <f>'QTR Raw'!AA12</f>
        <v>842.14</v>
      </c>
      <c r="BH30" s="23">
        <f>'QTR Raw'!AB12</f>
        <v>231.21</v>
      </c>
      <c r="BI30" s="23">
        <f>'QTR Raw'!AC12</f>
        <v>193.45</v>
      </c>
      <c r="BJ30" s="23">
        <f>'QTR Raw'!AD12</f>
        <v>718.19</v>
      </c>
      <c r="BK30" s="23">
        <f>'QTR Raw'!AE12</f>
        <v>767.32</v>
      </c>
      <c r="BL30" s="23">
        <f>'QTR Raw'!AF12</f>
        <v>307.89999999999998</v>
      </c>
      <c r="BM30" s="23">
        <f>'QTR Raw'!AG12</f>
        <v>454.1</v>
      </c>
      <c r="BN30" s="23">
        <f>'QTR Raw'!AH12</f>
        <v>1038.95</v>
      </c>
      <c r="BO30" s="23">
        <f>'QTR Raw'!AI12</f>
        <v>373.47</v>
      </c>
      <c r="BP30" s="23">
        <f>'QTR Raw'!AJ12</f>
        <v>322.81</v>
      </c>
      <c r="BQ30" s="23">
        <f>'QTR Raw'!AK12</f>
        <v>572.08000000000004</v>
      </c>
      <c r="BR30" s="23">
        <f>'QTR Raw'!AL12</f>
        <v>593.9</v>
      </c>
      <c r="BS30" s="23">
        <f>'QTR Raw'!AM12</f>
        <v>363.33</v>
      </c>
      <c r="BT30" s="23">
        <f>'QTR Raw'!AN12</f>
        <v>417.43</v>
      </c>
      <c r="BU30" s="23">
        <f>'QTR Raw'!AO12</f>
        <v>586.96</v>
      </c>
      <c r="BV30" s="23">
        <f>'QTR Raw'!AP12</f>
        <v>675.03</v>
      </c>
      <c r="BW30" s="23">
        <f>'QTR Raw'!AQ12</f>
        <v>767.57</v>
      </c>
      <c r="BX30" s="23">
        <f>'QTR Raw'!AR12</f>
        <v>305.04000000000002</v>
      </c>
      <c r="BY30" s="23">
        <f>'QTR Raw'!AS12</f>
        <v>379.32</v>
      </c>
      <c r="BZ30" s="23">
        <f>'QTR Raw'!AT12</f>
        <v>844.35</v>
      </c>
      <c r="CA30" s="23">
        <f>'QTR Raw'!AU12</f>
        <v>1061.1600000000001</v>
      </c>
      <c r="CB30" s="23">
        <f>'QTR Raw'!AV12</f>
        <v>446.11</v>
      </c>
      <c r="CC30" s="23">
        <f>'QTR Raw'!AW12</f>
        <v>584.86</v>
      </c>
      <c r="CD30" s="23">
        <f>'QTR Raw'!AX12</f>
        <v>1335.2</v>
      </c>
      <c r="CE30" s="23">
        <f>'QTR Raw'!AY12</f>
        <v>1652.08</v>
      </c>
      <c r="CF30" s="23">
        <f>'QTR Raw'!AZ12</f>
        <v>631.96</v>
      </c>
      <c r="CG30" s="23">
        <f>'QTR Raw'!BA12</f>
        <v>700.1</v>
      </c>
      <c r="CH30" s="23">
        <f>'QTR Raw'!BB12</f>
        <v>1032.83</v>
      </c>
      <c r="CI30" s="23">
        <f>'QTR Raw'!BC12</f>
        <v>1117.6500000000001</v>
      </c>
      <c r="CJ30" s="23">
        <f>'QTR Raw'!BD12</f>
        <v>265.43</v>
      </c>
      <c r="CK30" s="23">
        <f>'QTR Raw'!BE12</f>
        <v>542.14</v>
      </c>
      <c r="CL30" s="23">
        <f>'QTR Raw'!BF12</f>
        <v>1158.04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3083.26</v>
      </c>
    </row>
    <row r="31" spans="1:110" s="23" customFormat="1" outlineLevel="1" x14ac:dyDescent="0.2">
      <c r="A31" s="23" t="s">
        <v>4</v>
      </c>
      <c r="B31" s="23">
        <f>'Annual Raw'!C12</f>
        <v>632.75</v>
      </c>
      <c r="C31" s="23">
        <f>'Annual Raw'!D12</f>
        <v>612.74760000000003</v>
      </c>
      <c r="D31" s="23">
        <f>'Annual Raw'!E12</f>
        <v>974.49279999999999</v>
      </c>
      <c r="E31" s="23">
        <f>'Annual Raw'!F12</f>
        <v>991.79070000000002</v>
      </c>
      <c r="F31" s="23">
        <f>'Annual Raw'!G12</f>
        <v>1434.6836000000001</v>
      </c>
      <c r="G31" s="23">
        <f>'Annual Raw'!H12</f>
        <v>2065.1993000000002</v>
      </c>
      <c r="H31" s="23">
        <f>'Annual Raw'!I12</f>
        <v>1878.1578999999999</v>
      </c>
      <c r="I31" s="23">
        <f>'Annual Raw'!J12</f>
        <v>2338.4081999999999</v>
      </c>
      <c r="J31" s="23">
        <f>'Annual Raw'!K12</f>
        <v>3342.373</v>
      </c>
      <c r="K31" s="23">
        <f>'Annual Raw'!L12</f>
        <v>3347.1723999999999</v>
      </c>
      <c r="L31" s="23">
        <f>'Annual Raw'!M12</f>
        <v>3803.5349000000001</v>
      </c>
      <c r="M31" s="23">
        <f>'Annual Raw'!N12</f>
        <v>3794.1588000000002</v>
      </c>
      <c r="N31" s="23">
        <f>'Annual Raw'!O12</f>
        <v>4303.2426999999998</v>
      </c>
      <c r="O31" s="23">
        <f>'Annual Raw'!P12</f>
        <v>3736.3119000000002</v>
      </c>
      <c r="P31" s="23">
        <f>'Annual Raw'!Q12</f>
        <v>3580.7847999999999</v>
      </c>
      <c r="Q31" s="23">
        <f>'Annual Raw'!R12</f>
        <v>4027.8453</v>
      </c>
      <c r="R31" s="23">
        <f>'Annual Raw'!S12</f>
        <v>4426.1400000000003</v>
      </c>
      <c r="S31" s="23">
        <f>'Annual Raw'!T12</f>
        <v>4462.1099999999997</v>
      </c>
      <c r="T31" s="23">
        <f>'Annual Raw'!U12</f>
        <v>5541.78</v>
      </c>
      <c r="U31" s="23">
        <f>'Annual Raw'!V12</f>
        <v>5857.23</v>
      </c>
      <c r="V31" s="23">
        <f>'Annual Raw'!W12</f>
        <v>5299.16</v>
      </c>
      <c r="W31" s="23">
        <f>'Annual Raw'!X12</f>
        <v>6074.91</v>
      </c>
      <c r="X31" s="23">
        <f>'Annual Raw'!Y12</f>
        <v>7104.62</v>
      </c>
      <c r="Y31" s="23">
        <f>'Annual Raw'!Z12</f>
        <v>10205.19</v>
      </c>
      <c r="Z31" s="23">
        <f>'Annual Raw'!AA12</f>
        <v>12142.93</v>
      </c>
      <c r="AA31" s="23">
        <f>'Annual Raw'!AB12</f>
        <v>11339.53</v>
      </c>
      <c r="AB31" s="24">
        <f>+SUM(CM31:CP31)</f>
        <v>12949.998121244407</v>
      </c>
      <c r="AC31" s="24">
        <f>+SUM(CQ31:CT31)</f>
        <v>14878.297594630534</v>
      </c>
      <c r="AD31" s="24">
        <f>+SUM(CU31:CX31)</f>
        <v>17107.061586308013</v>
      </c>
      <c r="AE31" s="24">
        <f>+SUM(CY31:DB31)</f>
        <v>19672.536120732795</v>
      </c>
      <c r="AI31" s="23">
        <f>'QTR Raw'!C11</f>
        <v>990.66</v>
      </c>
      <c r="AJ31" s="23">
        <f>'QTR Raw'!D11</f>
        <v>779.77</v>
      </c>
      <c r="AK31" s="23">
        <f>'QTR Raw'!E11</f>
        <v>847.57</v>
      </c>
      <c r="AL31" s="23">
        <f>'QTR Raw'!F11</f>
        <v>1098.75</v>
      </c>
      <c r="AM31" s="23">
        <f>'QTR Raw'!G11</f>
        <v>900.11</v>
      </c>
      <c r="AN31" s="23">
        <f>'QTR Raw'!H11</f>
        <v>673.43</v>
      </c>
      <c r="AO31" s="23">
        <f>'QTR Raw'!I11</f>
        <v>679.11</v>
      </c>
      <c r="AP31" s="23">
        <f>'QTR Raw'!J11</f>
        <v>910.44</v>
      </c>
      <c r="AQ31" s="23">
        <f>'QTR Raw'!K11</f>
        <v>915.52</v>
      </c>
      <c r="AR31" s="23">
        <f>'QTR Raw'!L11</f>
        <v>611.53</v>
      </c>
      <c r="AS31" s="23">
        <f>'QTR Raw'!M11</f>
        <v>572.37</v>
      </c>
      <c r="AT31" s="23">
        <f>'QTR Raw'!N11</f>
        <v>789.18</v>
      </c>
      <c r="AU31" s="23">
        <f>'QTR Raw'!O11</f>
        <v>936.32</v>
      </c>
      <c r="AV31" s="23">
        <f>'QTR Raw'!P11</f>
        <v>630.5</v>
      </c>
      <c r="AW31" s="23">
        <f>'QTR Raw'!Q11</f>
        <v>837.83</v>
      </c>
      <c r="AX31" s="23">
        <f>'QTR Raw'!R11</f>
        <v>950.88</v>
      </c>
      <c r="AY31" s="23">
        <f>'QTR Raw'!S11</f>
        <v>1010.42</v>
      </c>
      <c r="AZ31" s="23">
        <f>'QTR Raw'!T11</f>
        <v>544.73</v>
      </c>
      <c r="BA31" s="23">
        <f>'QTR Raw'!U11</f>
        <v>811.11</v>
      </c>
      <c r="BB31" s="23">
        <f>'QTR Raw'!V11</f>
        <v>1031.78</v>
      </c>
      <c r="BC31" s="23">
        <f>'QTR Raw'!W11</f>
        <v>898.62</v>
      </c>
      <c r="BD31" s="23">
        <f>'QTR Raw'!X11</f>
        <v>455.13</v>
      </c>
      <c r="BE31" s="23">
        <f>'QTR Raw'!Y11</f>
        <v>729.46</v>
      </c>
      <c r="BF31" s="23">
        <f>'QTR Raw'!Z11</f>
        <v>737.01</v>
      </c>
      <c r="BG31" s="23">
        <f>'QTR Raw'!AA11</f>
        <v>1030.4000000000001</v>
      </c>
      <c r="BH31" s="23">
        <f>'QTR Raw'!AB11</f>
        <v>821.49</v>
      </c>
      <c r="BI31" s="23">
        <f>'QTR Raw'!AC11</f>
        <v>800.08</v>
      </c>
      <c r="BJ31" s="23">
        <f>'QTR Raw'!AD11</f>
        <v>904.82</v>
      </c>
      <c r="BK31" s="23">
        <f>'QTR Raw'!AE11</f>
        <v>885.76</v>
      </c>
      <c r="BL31" s="23">
        <f>'QTR Raw'!AF11</f>
        <v>784.78</v>
      </c>
      <c r="BM31" s="23">
        <f>'QTR Raw'!AG11</f>
        <v>774.6</v>
      </c>
      <c r="BN31" s="23">
        <f>'QTR Raw'!AH11</f>
        <v>843.82</v>
      </c>
      <c r="BO31" s="23">
        <f>'QTR Raw'!AI11</f>
        <v>389.56</v>
      </c>
      <c r="BP31" s="23">
        <f>'QTR Raw'!AJ11</f>
        <v>801.78</v>
      </c>
      <c r="BQ31" s="23">
        <f>'QTR Raw'!AK11</f>
        <v>908.9</v>
      </c>
      <c r="BR31" s="23">
        <f>'QTR Raw'!AL11</f>
        <v>1336.66</v>
      </c>
      <c r="BS31" s="23">
        <f>'QTR Raw'!AM11</f>
        <v>879.38</v>
      </c>
      <c r="BT31" s="23">
        <f>'QTR Raw'!AN11</f>
        <v>804.4</v>
      </c>
      <c r="BU31" s="23">
        <f>'QTR Raw'!AO11</f>
        <v>1046.67</v>
      </c>
      <c r="BV31" s="23">
        <f>'QTR Raw'!AP11</f>
        <v>1301.71</v>
      </c>
      <c r="BW31" s="23">
        <f>'QTR Raw'!AQ11</f>
        <v>1155.03</v>
      </c>
      <c r="BX31" s="23">
        <f>'QTR Raw'!AR11</f>
        <v>986.4</v>
      </c>
      <c r="BY31" s="23">
        <f>'QTR Raw'!AS11</f>
        <v>1114.92</v>
      </c>
      <c r="BZ31" s="23">
        <f>'QTR Raw'!AT11</f>
        <v>1551.99</v>
      </c>
      <c r="CA31" s="23">
        <f>'QTR Raw'!AU11</f>
        <v>1539.46</v>
      </c>
      <c r="CB31" s="23">
        <f>'QTR Raw'!AV11</f>
        <v>1575.2</v>
      </c>
      <c r="CC31" s="23">
        <f>'QTR Raw'!AW11</f>
        <v>1734.71</v>
      </c>
      <c r="CD31" s="23">
        <f>'QTR Raw'!AX11</f>
        <v>1928.49</v>
      </c>
      <c r="CE31" s="23">
        <f>'QTR Raw'!AY11</f>
        <v>1722.39</v>
      </c>
      <c r="CF31" s="23">
        <f>'QTR Raw'!AZ11</f>
        <v>1781.21</v>
      </c>
      <c r="CG31" s="23">
        <f>'QTR Raw'!BA11</f>
        <v>2199.08</v>
      </c>
      <c r="CH31" s="23">
        <f>'QTR Raw'!BB11</f>
        <v>2423.2800000000002</v>
      </c>
      <c r="CI31" s="23">
        <f>'QTR Raw'!BC11</f>
        <v>2209.65</v>
      </c>
      <c r="CJ31" s="23">
        <f>'QTR Raw'!BD11</f>
        <v>1683.52</v>
      </c>
      <c r="CK31" s="23">
        <f>'QTR Raw'!BE11</f>
        <v>1727.9</v>
      </c>
      <c r="CL31" s="23">
        <f>'QTR Raw'!BF11</f>
        <v>2635.2</v>
      </c>
      <c r="CM31" s="24">
        <f t="shared" ref="CM31:DB31" si="181">+CM26-CM32</f>
        <v>3598.6734722596716</v>
      </c>
      <c r="CN31" s="24">
        <f t="shared" si="181"/>
        <v>2129.5927818388914</v>
      </c>
      <c r="CO31" s="24">
        <f t="shared" si="181"/>
        <v>2790.1422221596795</v>
      </c>
      <c r="CP31" s="24">
        <f t="shared" si="181"/>
        <v>4431.5896449861648</v>
      </c>
      <c r="CQ31" s="24">
        <f t="shared" si="181"/>
        <v>4117.4365353289395</v>
      </c>
      <c r="CR31" s="24">
        <f t="shared" si="181"/>
        <v>2450.7805918250592</v>
      </c>
      <c r="CS31" s="24">
        <f t="shared" si="181"/>
        <v>3206.6893860980463</v>
      </c>
      <c r="CT31" s="24">
        <f t="shared" si="181"/>
        <v>5103.3910813784905</v>
      </c>
      <c r="CU31" s="24">
        <f t="shared" si="181"/>
        <v>4730.7555439007137</v>
      </c>
      <c r="CV31" s="24">
        <f t="shared" si="181"/>
        <v>2818.8016505454079</v>
      </c>
      <c r="CW31" s="24">
        <f t="shared" si="181"/>
        <v>3687.6956142083495</v>
      </c>
      <c r="CX31" s="24">
        <f t="shared" si="181"/>
        <v>5869.8087776535403</v>
      </c>
      <c r="CY31" s="24">
        <f t="shared" si="181"/>
        <v>5439.540145840172</v>
      </c>
      <c r="CZ31" s="24">
        <f t="shared" si="181"/>
        <v>3241.7406912429342</v>
      </c>
      <c r="DA31" s="24">
        <f t="shared" si="181"/>
        <v>4240.8922767377471</v>
      </c>
      <c r="DB31" s="24">
        <f t="shared" si="181"/>
        <v>6750.3630069119426</v>
      </c>
      <c r="DE31" s="123"/>
      <c r="DF31" s="23">
        <v>3999.4552235160336</v>
      </c>
    </row>
    <row r="32" spans="1:110" s="31" customFormat="1" x14ac:dyDescent="0.2">
      <c r="A32" s="31" t="s">
        <v>5</v>
      </c>
      <c r="B32" s="31">
        <f t="shared" ref="B32:T32" si="182">B26-B29-B31-B30</f>
        <v>102.327</v>
      </c>
      <c r="C32" s="31">
        <f t="shared" si="182"/>
        <v>202.5252999999999</v>
      </c>
      <c r="D32" s="31">
        <f t="shared" si="182"/>
        <v>241.04590000000007</v>
      </c>
      <c r="E32" s="31">
        <f t="shared" si="182"/>
        <v>357.72219999999993</v>
      </c>
      <c r="F32" s="31">
        <f t="shared" si="182"/>
        <v>388.96530000000007</v>
      </c>
      <c r="G32" s="31">
        <f t="shared" si="182"/>
        <v>497.3472999999999</v>
      </c>
      <c r="H32" s="31">
        <f t="shared" si="182"/>
        <v>648.57910000000015</v>
      </c>
      <c r="I32" s="31">
        <f t="shared" si="182"/>
        <v>864.51850000000013</v>
      </c>
      <c r="J32" s="31">
        <f t="shared" si="182"/>
        <v>1157.3673999999996</v>
      </c>
      <c r="K32" s="31">
        <f t="shared" si="182"/>
        <v>1479.653600000001</v>
      </c>
      <c r="L32" s="31">
        <f t="shared" si="182"/>
        <v>1510.6104999999993</v>
      </c>
      <c r="M32" s="31">
        <f t="shared" si="182"/>
        <v>1405.7768999999998</v>
      </c>
      <c r="N32" s="31">
        <f t="shared" si="182"/>
        <v>1363.9354999999996</v>
      </c>
      <c r="O32" s="31">
        <f t="shared" si="182"/>
        <v>1411.7867999999994</v>
      </c>
      <c r="P32" s="31">
        <f t="shared" si="182"/>
        <v>1585.6401999999994</v>
      </c>
      <c r="Q32" s="31">
        <f t="shared" si="182"/>
        <v>1632.6611000000003</v>
      </c>
      <c r="R32" s="31">
        <f t="shared" si="182"/>
        <v>1796.9099999999999</v>
      </c>
      <c r="S32" s="31">
        <f t="shared" si="182"/>
        <v>1836.8600000000006</v>
      </c>
      <c r="T32" s="31">
        <f t="shared" si="182"/>
        <v>1861.8400000000001</v>
      </c>
      <c r="U32" s="31">
        <f t="shared" ref="U32:Z32" si="183">U26-U29-U31-U30</f>
        <v>2103.1400000000003</v>
      </c>
      <c r="V32" s="31">
        <f t="shared" si="183"/>
        <v>1977.3199999999997</v>
      </c>
      <c r="W32" s="31">
        <f t="shared" si="183"/>
        <v>2037.79</v>
      </c>
      <c r="X32" s="31">
        <f t="shared" si="183"/>
        <v>2120.5900000000011</v>
      </c>
      <c r="Y32" s="31">
        <f t="shared" si="183"/>
        <v>2667.1699999999983</v>
      </c>
      <c r="Z32" s="31">
        <f t="shared" si="183"/>
        <v>3452.4000000000015</v>
      </c>
      <c r="AA32" s="31">
        <f t="shared" ref="AA32" si="184">AA26-AA29-AA31-AA30</f>
        <v>3174.7199999999993</v>
      </c>
      <c r="AB32" s="32">
        <f t="shared" ref="AA32:AD32" si="185">AB26-AB29-AB31-AB30</f>
        <v>4143.4018787555942</v>
      </c>
      <c r="AC32" s="32">
        <f t="shared" si="185"/>
        <v>4779.1124053694657</v>
      </c>
      <c r="AD32" s="32">
        <f t="shared" si="185"/>
        <v>5498.959913691986</v>
      </c>
      <c r="AE32" s="32">
        <f t="shared" ref="AE32" si="186">AE26-AE29-AE31-AE30</f>
        <v>6324.3886042672057</v>
      </c>
      <c r="AI32" s="31">
        <f t="shared" ref="AI32" si="187">AI26-AI29-AI31-AI30</f>
        <v>411.91000000000008</v>
      </c>
      <c r="AJ32" s="31">
        <f t="shared" ref="AJ32" si="188">AJ26-AJ29-AJ31-AJ30</f>
        <v>316.02999999999997</v>
      </c>
      <c r="AK32" s="31">
        <f t="shared" ref="AK32:AM32" si="189">AK26-AK29-AK31-AK30</f>
        <v>271.27999999999992</v>
      </c>
      <c r="AL32" s="31">
        <f t="shared" si="189"/>
        <v>364.71000000000009</v>
      </c>
      <c r="AM32" s="31">
        <f t="shared" si="189"/>
        <v>379.85999999999996</v>
      </c>
      <c r="AN32" s="31">
        <f t="shared" ref="AN32:AO32" si="190">AN26-AN29-AN31-AN30</f>
        <v>309.3900000000001</v>
      </c>
      <c r="AO32" s="31">
        <f t="shared" si="190"/>
        <v>346.67999999999995</v>
      </c>
      <c r="AP32" s="31">
        <f t="shared" ref="AP32:CD32" si="191">AP26-AP29-AP31-AP30</f>
        <v>375.85999999999984</v>
      </c>
      <c r="AQ32" s="31">
        <f t="shared" si="191"/>
        <v>472.01999999999992</v>
      </c>
      <c r="AR32" s="31">
        <f t="shared" si="191"/>
        <v>342.53999999999996</v>
      </c>
      <c r="AS32" s="31">
        <f t="shared" si="191"/>
        <v>313.12999999999994</v>
      </c>
      <c r="AT32" s="31">
        <f t="shared" si="191"/>
        <v>457.95000000000005</v>
      </c>
      <c r="AU32" s="31">
        <f t="shared" si="191"/>
        <v>432.87999999999994</v>
      </c>
      <c r="AV32" s="31">
        <f t="shared" si="191"/>
        <v>329.33000000000015</v>
      </c>
      <c r="AW32" s="31">
        <f t="shared" si="191"/>
        <v>355.86999999999972</v>
      </c>
      <c r="AX32" s="31">
        <f t="shared" si="191"/>
        <v>514.59000000000015</v>
      </c>
      <c r="AY32" s="31">
        <f t="shared" si="191"/>
        <v>532.98999999999978</v>
      </c>
      <c r="AZ32" s="31">
        <f t="shared" si="191"/>
        <v>351.07999999999993</v>
      </c>
      <c r="BA32" s="31">
        <f t="shared" si="191"/>
        <v>362.93999999999994</v>
      </c>
      <c r="BB32" s="31">
        <f t="shared" si="191"/>
        <v>549.90000000000032</v>
      </c>
      <c r="BC32" s="31">
        <f t="shared" si="191"/>
        <v>549.94999999999982</v>
      </c>
      <c r="BD32" s="31">
        <f t="shared" si="191"/>
        <v>332.5</v>
      </c>
      <c r="BE32" s="31">
        <f t="shared" si="191"/>
        <v>407.17000000000007</v>
      </c>
      <c r="BF32" s="31">
        <f t="shared" si="191"/>
        <v>547.24000000000024</v>
      </c>
      <c r="BG32" s="31">
        <f t="shared" si="191"/>
        <v>585.4499999999997</v>
      </c>
      <c r="BH32" s="31">
        <f t="shared" si="191"/>
        <v>391.38000000000011</v>
      </c>
      <c r="BI32" s="31">
        <f t="shared" si="191"/>
        <v>401.18</v>
      </c>
      <c r="BJ32" s="31">
        <f t="shared" si="191"/>
        <v>483.82999999999993</v>
      </c>
      <c r="BK32" s="31">
        <f t="shared" si="191"/>
        <v>673.82999999999981</v>
      </c>
      <c r="BL32" s="31">
        <f t="shared" si="191"/>
        <v>403.89000000000021</v>
      </c>
      <c r="BM32" s="31">
        <f t="shared" si="191"/>
        <v>427.02</v>
      </c>
      <c r="BN32" s="31">
        <f t="shared" si="191"/>
        <v>598.39999999999941</v>
      </c>
      <c r="BO32" s="31">
        <f t="shared" si="191"/>
        <v>388.71000000000004</v>
      </c>
      <c r="BP32" s="31">
        <f t="shared" si="191"/>
        <v>419.94</v>
      </c>
      <c r="BQ32" s="31">
        <f t="shared" si="191"/>
        <v>490.51999999999987</v>
      </c>
      <c r="BR32" s="31">
        <f t="shared" si="191"/>
        <v>678.15000000000043</v>
      </c>
      <c r="BS32" s="31">
        <f t="shared" si="191"/>
        <v>497.54999999999978</v>
      </c>
      <c r="BT32" s="31">
        <f t="shared" si="191"/>
        <v>448.54000000000013</v>
      </c>
      <c r="BU32" s="31">
        <f t="shared" si="191"/>
        <v>483.87999999999965</v>
      </c>
      <c r="BV32" s="31">
        <f t="shared" si="191"/>
        <v>607.81999999999994</v>
      </c>
      <c r="BW32" s="31">
        <f t="shared" si="191"/>
        <v>568.72000000000014</v>
      </c>
      <c r="BX32" s="31">
        <f t="shared" si="191"/>
        <v>430.83</v>
      </c>
      <c r="BY32" s="31">
        <f t="shared" si="191"/>
        <v>482.42999999999978</v>
      </c>
      <c r="BZ32" s="31">
        <f t="shared" si="191"/>
        <v>638.61000000000024</v>
      </c>
      <c r="CA32" s="31">
        <f t="shared" si="191"/>
        <v>709.49</v>
      </c>
      <c r="CB32" s="31">
        <f t="shared" si="191"/>
        <v>562.24999999999989</v>
      </c>
      <c r="CC32" s="31">
        <f t="shared" si="191"/>
        <v>565.2399999999999</v>
      </c>
      <c r="CD32" s="31">
        <f t="shared" si="191"/>
        <v>830.19000000000028</v>
      </c>
      <c r="CE32" s="31">
        <f t="shared" ref="CE32:CF32" si="192">CE26-CE29-CE31-CE30</f>
        <v>1028.7899999999991</v>
      </c>
      <c r="CF32" s="31">
        <f t="shared" si="192"/>
        <v>677</v>
      </c>
      <c r="CG32" s="31">
        <f t="shared" ref="CG32:CH32" si="193">CG26-CG29-CG31-CG30</f>
        <v>724.43000000000018</v>
      </c>
      <c r="CH32" s="31">
        <f t="shared" si="193"/>
        <v>1022.19</v>
      </c>
      <c r="CI32" s="31">
        <f t="shared" ref="CI32:CJ32" si="194">CI26-CI29-CI31-CI30</f>
        <v>858.98999999999978</v>
      </c>
      <c r="CJ32" s="31">
        <f t="shared" si="194"/>
        <v>582.85999999999945</v>
      </c>
      <c r="CK32" s="31">
        <f t="shared" ref="CK32:CL32" si="195">CK26-CK29-CK31-CK30</f>
        <v>726.59</v>
      </c>
      <c r="CL32" s="31">
        <f t="shared" si="195"/>
        <v>1006.2799999999997</v>
      </c>
      <c r="CM32" s="32">
        <f t="shared" ref="CM32:DB32" si="196">+CM33*CM26</f>
        <v>1127.6225277403287</v>
      </c>
      <c r="CN32" s="32">
        <f t="shared" si="196"/>
        <v>687.19121816110828</v>
      </c>
      <c r="CO32" s="32">
        <f t="shared" si="196"/>
        <v>894.78177784032073</v>
      </c>
      <c r="CP32" s="32">
        <f t="shared" si="196"/>
        <v>1433.8063550138347</v>
      </c>
      <c r="CQ32" s="32">
        <f t="shared" si="196"/>
        <v>1317.8038646710609</v>
      </c>
      <c r="CR32" s="32">
        <f t="shared" si="196"/>
        <v>788.52100817494056</v>
      </c>
      <c r="CS32" s="32">
        <f t="shared" si="196"/>
        <v>1030.9732139019536</v>
      </c>
      <c r="CT32" s="32">
        <f t="shared" si="196"/>
        <v>1641.8143186215095</v>
      </c>
      <c r="CU32" s="32">
        <f t="shared" si="196"/>
        <v>1519.7709160992874</v>
      </c>
      <c r="CV32" s="32">
        <f t="shared" si="196"/>
        <v>906.3951894545919</v>
      </c>
      <c r="CW32" s="32">
        <f t="shared" si="196"/>
        <v>1185.6163757916497</v>
      </c>
      <c r="CX32" s="32">
        <f t="shared" si="196"/>
        <v>1887.1774323464595</v>
      </c>
      <c r="CY32" s="32">
        <f t="shared" si="196"/>
        <v>1748.5652831598288</v>
      </c>
      <c r="CZ32" s="32">
        <f t="shared" si="196"/>
        <v>1042.2356747570659</v>
      </c>
      <c r="DA32" s="32">
        <f t="shared" si="196"/>
        <v>1363.4165117622517</v>
      </c>
      <c r="DB32" s="32">
        <f t="shared" si="196"/>
        <v>2170.1711345880581</v>
      </c>
      <c r="DE32" s="124"/>
      <c r="DF32" s="31">
        <v>1268.6985764839662</v>
      </c>
    </row>
    <row r="33" spans="1:110" s="41" customFormat="1" x14ac:dyDescent="0.2">
      <c r="A33" s="41" t="s">
        <v>6</v>
      </c>
      <c r="B33" s="41">
        <f>B32/B26</f>
        <v>0.13383898827157828</v>
      </c>
      <c r="C33" s="41">
        <f t="shared" ref="C33:U33" si="197">C32/C26</f>
        <v>0.22983931188918602</v>
      </c>
      <c r="D33" s="41">
        <f t="shared" si="197"/>
        <v>0.1919854564859414</v>
      </c>
      <c r="E33" s="41">
        <f t="shared" si="197"/>
        <v>0.26304000371777386</v>
      </c>
      <c r="F33" s="41">
        <f t="shared" si="197"/>
        <v>0.26333615333516219</v>
      </c>
      <c r="G33" s="41">
        <f t="shared" si="197"/>
        <v>0.25447085227399474</v>
      </c>
      <c r="H33" s="41">
        <f t="shared" si="197"/>
        <v>0.25668642996877006</v>
      </c>
      <c r="I33" s="41">
        <f t="shared" si="197"/>
        <v>0.26991516852383796</v>
      </c>
      <c r="J33" s="41">
        <f t="shared" si="197"/>
        <v>0.26754386106856237</v>
      </c>
      <c r="K33" s="41">
        <f t="shared" si="197"/>
        <v>0.31101706948076907</v>
      </c>
      <c r="L33" s="41">
        <f t="shared" si="197"/>
        <v>0.29098449390508635</v>
      </c>
      <c r="M33" s="41">
        <f t="shared" si="197"/>
        <v>0.27108530373979872</v>
      </c>
      <c r="N33" s="41">
        <f t="shared" si="197"/>
        <v>0.24660013367299463</v>
      </c>
      <c r="O33" s="41">
        <f t="shared" si="197"/>
        <v>0.26809243498854318</v>
      </c>
      <c r="P33" s="41">
        <f t="shared" si="197"/>
        <v>0.30592585506867653</v>
      </c>
      <c r="Q33" s="41">
        <f t="shared" si="197"/>
        <v>0.28543998815623983</v>
      </c>
      <c r="R33" s="41">
        <f t="shared" si="197"/>
        <v>0.29785671661583341</v>
      </c>
      <c r="S33" s="41">
        <f t="shared" si="197"/>
        <v>0.28681308729338367</v>
      </c>
      <c r="T33" s="41">
        <f t="shared" si="197"/>
        <v>0.26134498959162394</v>
      </c>
      <c r="U33" s="41">
        <f t="shared" si="197"/>
        <v>0.27463019451350734</v>
      </c>
      <c r="V33" s="41">
        <f>V32/V26</f>
        <v>0.26169634372625988</v>
      </c>
      <c r="W33" s="41">
        <f>W32/W26</f>
        <v>0.25682813553554434</v>
      </c>
      <c r="X33" s="41">
        <f>X32/X26</f>
        <v>0.22324890485820806</v>
      </c>
      <c r="Y33" s="41">
        <f>Y32/Y26</f>
        <v>0.21369482606253709</v>
      </c>
      <c r="Z33" s="41">
        <f>Z32/Z26</f>
        <v>0.22399578531855693</v>
      </c>
      <c r="AA33" s="41">
        <f>AA32/AA26</f>
        <v>0.22287338972936918</v>
      </c>
      <c r="AB33" s="42">
        <f t="shared" ref="AA33:AD33" si="198">AB32/AB26</f>
        <v>0.24239776046635508</v>
      </c>
      <c r="AC33" s="42">
        <f t="shared" si="198"/>
        <v>0.24312014682348621</v>
      </c>
      <c r="AD33" s="42">
        <f t="shared" si="198"/>
        <v>0.24325199875139403</v>
      </c>
      <c r="AE33" s="42">
        <f t="shared" ref="AE33" si="199">AE32/AE26</f>
        <v>0.24327449000863333</v>
      </c>
      <c r="AI33" s="41">
        <f t="shared" ref="AI33" si="200">AI32/AI26</f>
        <v>0.25476552739327823</v>
      </c>
      <c r="AJ33" s="41">
        <f t="shared" ref="AJ33" si="201">AJ32/AJ26</f>
        <v>0.27138919183505222</v>
      </c>
      <c r="AK33" s="41">
        <f t="shared" ref="AK33:AM33" si="202">AK32/AK26</f>
        <v>0.23537577871483847</v>
      </c>
      <c r="AL33" s="41">
        <f t="shared" si="202"/>
        <v>0.22835621841952031</v>
      </c>
      <c r="AM33" s="41">
        <f t="shared" si="202"/>
        <v>0.23692384457057317</v>
      </c>
      <c r="AN33" s="41">
        <f t="shared" ref="AN33:AO33" si="203">AN32/AN26</f>
        <v>0.28633170758794307</v>
      </c>
      <c r="AO33" s="41">
        <f t="shared" si="203"/>
        <v>0.30970162587100225</v>
      </c>
      <c r="AP33" s="41">
        <f t="shared" ref="AP33:CD33" si="204">AP32/AP26</f>
        <v>0.2569438272913091</v>
      </c>
      <c r="AQ33" s="41">
        <f t="shared" si="204"/>
        <v>0.26859913278022463</v>
      </c>
      <c r="AR33" s="41">
        <f t="shared" si="204"/>
        <v>0.34787995734524957</v>
      </c>
      <c r="AS33" s="41">
        <f t="shared" si="204"/>
        <v>0.32921892906332462</v>
      </c>
      <c r="AT33" s="41">
        <f t="shared" si="204"/>
        <v>0.30735518164795267</v>
      </c>
      <c r="AU33" s="41">
        <f t="shared" si="204"/>
        <v>0.27776137982367205</v>
      </c>
      <c r="AV33" s="41">
        <f t="shared" si="204"/>
        <v>0.31664214908611932</v>
      </c>
      <c r="AW33" s="41">
        <f t="shared" si="204"/>
        <v>0.28111571031344773</v>
      </c>
      <c r="AX33" s="41">
        <f t="shared" si="204"/>
        <v>0.27735318213176963</v>
      </c>
      <c r="AY33" s="41">
        <f t="shared" si="204"/>
        <v>0.28809647358976015</v>
      </c>
      <c r="AZ33" s="41">
        <f t="shared" si="204"/>
        <v>0.36297843303488342</v>
      </c>
      <c r="BA33" s="41">
        <f t="shared" si="204"/>
        <v>0.30745120628896716</v>
      </c>
      <c r="BB33" s="41">
        <f t="shared" si="204"/>
        <v>0.27021316324825817</v>
      </c>
      <c r="BC33" s="41">
        <f t="shared" si="204"/>
        <v>0.2828058952391726</v>
      </c>
      <c r="BD33" s="41">
        <f t="shared" si="204"/>
        <v>0.32072614328018439</v>
      </c>
      <c r="BE33" s="41">
        <f t="shared" si="204"/>
        <v>0.2961947230971797</v>
      </c>
      <c r="BF33" s="41">
        <f t="shared" si="204"/>
        <v>0.26715746101797527</v>
      </c>
      <c r="BG33" s="41">
        <f t="shared" si="204"/>
        <v>0.27254444646174031</v>
      </c>
      <c r="BH33" s="41">
        <f t="shared" si="204"/>
        <v>0.27535599707322572</v>
      </c>
      <c r="BI33" s="41">
        <f t="shared" si="204"/>
        <v>0.26892705358699004</v>
      </c>
      <c r="BJ33" s="41">
        <f t="shared" si="204"/>
        <v>0.23454557794109088</v>
      </c>
      <c r="BK33" s="41">
        <f t="shared" si="204"/>
        <v>0.25389223813112277</v>
      </c>
      <c r="BL33" s="41">
        <f t="shared" si="204"/>
        <v>0.28404152073927186</v>
      </c>
      <c r="BM33" s="41">
        <f t="shared" si="204"/>
        <v>0.28610863578803492</v>
      </c>
      <c r="BN33" s="41">
        <f t="shared" si="204"/>
        <v>0.28636648593291614</v>
      </c>
      <c r="BO33" s="41">
        <f t="shared" si="204"/>
        <v>0.2997131710025136</v>
      </c>
      <c r="BP33" s="41">
        <f t="shared" si="204"/>
        <v>0.26042144690984409</v>
      </c>
      <c r="BQ33" s="41">
        <f t="shared" si="204"/>
        <v>0.24591906308907865</v>
      </c>
      <c r="BR33" s="41">
        <f t="shared" si="204"/>
        <v>0.25574545756243272</v>
      </c>
      <c r="BS33" s="41">
        <f t="shared" si="204"/>
        <v>0.27870826798117848</v>
      </c>
      <c r="BT33" s="41">
        <f t="shared" si="204"/>
        <v>0.26555284533592255</v>
      </c>
      <c r="BU33" s="41">
        <f t="shared" si="204"/>
        <v>0.26978294928049312</v>
      </c>
      <c r="BV33" s="41">
        <f t="shared" si="204"/>
        <v>0.2279399080470115</v>
      </c>
      <c r="BW33" s="41">
        <f t="shared" si="204"/>
        <v>0.20546242774566478</v>
      </c>
      <c r="BX33" s="41">
        <f t="shared" si="204"/>
        <v>0.24363251826551155</v>
      </c>
      <c r="BY33" s="41">
        <f t="shared" si="204"/>
        <v>0.24054028450197187</v>
      </c>
      <c r="BZ33" s="41">
        <f t="shared" si="204"/>
        <v>0.21598011363636371</v>
      </c>
      <c r="CA33" s="41">
        <f t="shared" si="204"/>
        <v>0.21116653670093397</v>
      </c>
      <c r="CB33" s="41">
        <f t="shared" si="204"/>
        <v>0.24522952785955726</v>
      </c>
      <c r="CC33" s="41">
        <f t="shared" si="204"/>
        <v>0.21527047819264808</v>
      </c>
      <c r="CD33" s="41">
        <f t="shared" si="204"/>
        <v>0.19752883736866156</v>
      </c>
      <c r="CE33" s="41">
        <f t="shared" ref="CE33:CF33" si="205">CE32/CE26</f>
        <v>0.20906031676359763</v>
      </c>
      <c r="CF33" s="41">
        <f t="shared" si="205"/>
        <v>0.25848475245407793</v>
      </c>
      <c r="CG33" s="41">
        <f t="shared" ref="CG33:CH33" si="206">CG32/CG26</f>
        <v>0.23330252390414516</v>
      </c>
      <c r="CH33" s="41">
        <f t="shared" si="206"/>
        <v>0.21440527229861817</v>
      </c>
      <c r="CI33" s="41">
        <f t="shared" ref="CI33:CJ33" si="207">CI32/CI26</f>
        <v>0.21809636975762833</v>
      </c>
      <c r="CJ33" s="41">
        <f t="shared" si="207"/>
        <v>0.24830870950701206</v>
      </c>
      <c r="CK33" s="41">
        <f t="shared" ref="CK33:CL33" si="208">CK32/CK26</f>
        <v>0.23661492068764514</v>
      </c>
      <c r="CL33" s="41">
        <f t="shared" si="208"/>
        <v>0.20587459056472909</v>
      </c>
      <c r="CM33" s="42">
        <f>AVERAGE(CI33:CL33)*1.05</f>
        <v>0.23858483001071634</v>
      </c>
      <c r="CN33" s="42">
        <f t="shared" ref="CN33:CP33" si="209">AVERAGE(CJ33:CM33)*1.05</f>
        <v>0.24396305082715194</v>
      </c>
      <c r="CO33" s="42">
        <f t="shared" si="209"/>
        <v>0.24282231542368871</v>
      </c>
      <c r="CP33" s="42">
        <f t="shared" si="209"/>
        <v>0.2444517565419001</v>
      </c>
      <c r="CQ33" s="42">
        <f>AVERAGE(CM33:CP33)</f>
        <v>0.24245548820086427</v>
      </c>
      <c r="CR33" s="42">
        <f t="shared" ref="CR33:CT33" si="210">AVERAGE(CN33:CQ33)</f>
        <v>0.24342315274840126</v>
      </c>
      <c r="CS33" s="42">
        <f t="shared" si="210"/>
        <v>0.24328817822871357</v>
      </c>
      <c r="CT33" s="42">
        <f t="shared" si="210"/>
        <v>0.2434046439299698</v>
      </c>
      <c r="CU33" s="42">
        <f t="shared" ref="CU33:DB33" si="211">AVERAGE(CQ33:CT33)</f>
        <v>0.24314286577698724</v>
      </c>
      <c r="CV33" s="42">
        <f t="shared" si="211"/>
        <v>0.24331471017101797</v>
      </c>
      <c r="CW33" s="42">
        <f t="shared" si="211"/>
        <v>0.24328759952667217</v>
      </c>
      <c r="CX33" s="42">
        <f t="shared" si="211"/>
        <v>0.24328745485116177</v>
      </c>
      <c r="CY33" s="42">
        <f t="shared" si="211"/>
        <v>0.24325815758145977</v>
      </c>
      <c r="CZ33" s="42">
        <f t="shared" si="211"/>
        <v>0.24328698053257791</v>
      </c>
      <c r="DA33" s="42">
        <f t="shared" si="211"/>
        <v>0.24328004812296791</v>
      </c>
      <c r="DB33" s="42">
        <f t="shared" si="211"/>
        <v>0.24327816027204183</v>
      </c>
      <c r="DE33" s="125"/>
      <c r="DF33" s="41">
        <v>0.24082413396586225</v>
      </c>
    </row>
    <row r="34" spans="1:110" s="39" customFormat="1" x14ac:dyDescent="0.2">
      <c r="A34" s="39" t="s">
        <v>447</v>
      </c>
      <c r="C34" s="39">
        <f t="shared" ref="C34:AE34" si="212">+IF(B32&lt;0,1-C32/B32,C32/B32-1)</f>
        <v>0.97919708385860926</v>
      </c>
      <c r="D34" s="39">
        <f t="shared" si="212"/>
        <v>0.19020142174829613</v>
      </c>
      <c r="E34" s="39">
        <f t="shared" si="212"/>
        <v>0.48404183601546347</v>
      </c>
      <c r="F34" s="39">
        <f t="shared" si="212"/>
        <v>8.7339002164249724E-2</v>
      </c>
      <c r="G34" s="39">
        <f t="shared" si="212"/>
        <v>0.27864182229108825</v>
      </c>
      <c r="H34" s="39">
        <f t="shared" si="212"/>
        <v>0.3040768493163637</v>
      </c>
      <c r="I34" s="39">
        <f t="shared" si="212"/>
        <v>0.33294227334800008</v>
      </c>
      <c r="J34" s="39">
        <f t="shared" si="212"/>
        <v>0.33874220158388679</v>
      </c>
      <c r="K34" s="39">
        <f t="shared" si="212"/>
        <v>0.27846490232920118</v>
      </c>
      <c r="L34" s="39">
        <f t="shared" si="212"/>
        <v>2.0921721137973304E-2</v>
      </c>
      <c r="M34" s="39">
        <f t="shared" si="212"/>
        <v>-6.9398167164864466E-2</v>
      </c>
      <c r="N34" s="39">
        <f t="shared" si="212"/>
        <v>-2.9763897813372964E-2</v>
      </c>
      <c r="O34" s="39">
        <f t="shared" si="212"/>
        <v>3.5083257236137477E-2</v>
      </c>
      <c r="P34" s="39">
        <f t="shared" si="212"/>
        <v>0.12314423112611617</v>
      </c>
      <c r="Q34" s="39">
        <f t="shared" si="212"/>
        <v>2.9654205285663648E-2</v>
      </c>
      <c r="R34" s="39">
        <f t="shared" si="212"/>
        <v>0.10060195591111931</v>
      </c>
      <c r="S34" s="39">
        <f t="shared" si="212"/>
        <v>2.2232610425675592E-2</v>
      </c>
      <c r="T34" s="39">
        <f t="shared" si="212"/>
        <v>1.3599294448134014E-2</v>
      </c>
      <c r="U34" s="39">
        <f t="shared" si="212"/>
        <v>0.12960297340265559</v>
      </c>
      <c r="V34" s="39">
        <f t="shared" si="212"/>
        <v>-5.9824833344428119E-2</v>
      </c>
      <c r="W34" s="39">
        <f t="shared" si="212"/>
        <v>3.058179758460966E-2</v>
      </c>
      <c r="X34" s="39">
        <f t="shared" si="212"/>
        <v>4.0632253568817722E-2</v>
      </c>
      <c r="Y34" s="39">
        <f t="shared" si="212"/>
        <v>0.25774902267764954</v>
      </c>
      <c r="Z34" s="39">
        <f t="shared" si="212"/>
        <v>0.29440568092772623</v>
      </c>
      <c r="AA34" s="39">
        <f t="shared" si="212"/>
        <v>-8.0431004518596305E-2</v>
      </c>
      <c r="AB34" s="40">
        <f t="shared" si="212"/>
        <v>0.30512356326088441</v>
      </c>
      <c r="AC34" s="40">
        <f t="shared" si="212"/>
        <v>0.15342719466179244</v>
      </c>
      <c r="AD34" s="40">
        <f t="shared" si="212"/>
        <v>0.15062368223726064</v>
      </c>
      <c r="AE34" s="40">
        <f t="shared" si="212"/>
        <v>0.15010632983884209</v>
      </c>
      <c r="AM34" s="39">
        <f>+IF(AI32&lt;0,1-AM32/AI32,AM32/AI32-1)</f>
        <v>-7.7808259085722864E-2</v>
      </c>
      <c r="AN34" s="39">
        <f t="shared" ref="AN34" si="213">+IF(AJ32&lt;0,1-AN32/AJ32,AN32/AJ32-1)</f>
        <v>-2.1010663544599795E-2</v>
      </c>
      <c r="AO34" s="39">
        <f t="shared" ref="AO34" si="214">+IF(AK32&lt;0,1-AO32/AK32,AO32/AK32-1)</f>
        <v>0.27794161014450025</v>
      </c>
      <c r="AP34" s="39">
        <f t="shared" ref="AP34" si="215">+IF(AL32&lt;0,1-AP32/AL32,AP32/AL32-1)</f>
        <v>3.0572235474760179E-2</v>
      </c>
      <c r="AQ34" s="39">
        <f t="shared" ref="AQ34" si="216">+IF(AM32&lt;0,1-AQ32/AM32,AQ32/AM32-1)</f>
        <v>0.24261570052124459</v>
      </c>
      <c r="AR34" s="39">
        <f t="shared" ref="AR34" si="217">+IF(AN32&lt;0,1-AR32/AN32,AR32/AN32-1)</f>
        <v>0.10714632017841508</v>
      </c>
      <c r="AS34" s="39">
        <f t="shared" ref="AS34" si="218">+IF(AO32&lt;0,1-AS32/AO32,AS32/AO32-1)</f>
        <v>-9.677512403369104E-2</v>
      </c>
      <c r="AT34" s="39">
        <f t="shared" ref="AT34" si="219">+IF(AP32&lt;0,1-AT32/AP32,AT32/AP32-1)</f>
        <v>0.21840578938966693</v>
      </c>
      <c r="AU34" s="39">
        <f t="shared" ref="AU34" si="220">+IF(AQ32&lt;0,1-AU32/AQ32,AU32/AQ32-1)</f>
        <v>-8.2920215245116724E-2</v>
      </c>
      <c r="AV34" s="39">
        <f t="shared" ref="AV34" si="221">+IF(AR32&lt;0,1-AV32/AR32,AV32/AR32-1)</f>
        <v>-3.8564839142873231E-2</v>
      </c>
      <c r="AW34" s="39">
        <f t="shared" ref="AW34" si="222">+IF(AS32&lt;0,1-AW32/AS32,AW32/AS32-1)</f>
        <v>0.13649283045380445</v>
      </c>
      <c r="AX34" s="39">
        <f t="shared" ref="AX34" si="223">+IF(AT32&lt;0,1-AX32/AT32,AX32/AT32-1)</f>
        <v>0.12368162463151022</v>
      </c>
      <c r="AY34" s="39">
        <f t="shared" ref="AY34" si="224">+IF(AU32&lt;0,1-AY32/AU32,AY32/AU32-1)</f>
        <v>0.23126501570874103</v>
      </c>
      <c r="AZ34" s="39">
        <f t="shared" ref="AZ34" si="225">+IF(AV32&lt;0,1-AZ32/AV32,AZ32/AV32-1)</f>
        <v>6.6043178574681116E-2</v>
      </c>
      <c r="BA34" s="39">
        <f t="shared" ref="BA34" si="226">+IF(AW32&lt;0,1-BA32/AW32,BA32/AW32-1)</f>
        <v>1.9866805294068701E-2</v>
      </c>
      <c r="BB34" s="39">
        <f t="shared" ref="BB34" si="227">+IF(AX32&lt;0,1-BB32/AX32,BB32/AX32-1)</f>
        <v>6.8617734507083528E-2</v>
      </c>
      <c r="BC34" s="39">
        <f t="shared" ref="BC34" si="228">+IF(AY32&lt;0,1-BC32/AY32,BC32/AY32-1)</f>
        <v>3.1820484436856367E-2</v>
      </c>
      <c r="BD34" s="39">
        <f t="shared" ref="BD34" si="229">+IF(AZ32&lt;0,1-BD32/AZ32,BD32/AZ32-1)</f>
        <v>-5.2922410846530488E-2</v>
      </c>
      <c r="BE34" s="39">
        <f t="shared" ref="BE34" si="230">+IF(BA32&lt;0,1-BE32/BA32,BE32/BA32-1)</f>
        <v>0.12186587314707698</v>
      </c>
      <c r="BF34" s="39">
        <f t="shared" ref="BF34" si="231">+IF(BB32&lt;0,1-BF32/BB32,BF32/BB32-1)</f>
        <v>-4.8372431351155765E-3</v>
      </c>
      <c r="BG34" s="39">
        <f t="shared" ref="BG34" si="232">+IF(BC32&lt;0,1-BG32/BC32,BG32/BC32-1)</f>
        <v>6.45513228475314E-2</v>
      </c>
      <c r="BH34" s="39">
        <f t="shared" ref="BH34" si="233">+IF(BD32&lt;0,1-BH32/BD32,BH32/BD32-1)</f>
        <v>0.17708270676691762</v>
      </c>
      <c r="BI34" s="39">
        <f t="shared" ref="BI34" si="234">+IF(BE32&lt;0,1-BI32/BE32,BI32/BE32-1)</f>
        <v>-1.4711299948424683E-2</v>
      </c>
      <c r="BJ34" s="39">
        <f t="shared" ref="BJ34" si="235">+IF(BF32&lt;0,1-BJ32/BF32,BJ32/BF32-1)</f>
        <v>-0.11587237775016501</v>
      </c>
      <c r="BK34" s="39">
        <f t="shared" ref="BK34" si="236">+IF(BG32&lt;0,1-BK32/BG32,BK32/BG32-1)</f>
        <v>0.15096079938508855</v>
      </c>
      <c r="BL34" s="39">
        <f t="shared" ref="BL34" si="237">+IF(BH32&lt;0,1-BL32/BH32,BL32/BH32-1)</f>
        <v>3.1963820328070103E-2</v>
      </c>
      <c r="BM34" s="39">
        <f t="shared" ref="BM34" si="238">+IF(BI32&lt;0,1-BM32/BI32,BM32/BI32-1)</f>
        <v>6.4409990527942496E-2</v>
      </c>
      <c r="BN34" s="39">
        <f t="shared" ref="BN34" si="239">+IF(BJ32&lt;0,1-BN32/BJ32,BN32/BJ32-1)</f>
        <v>0.23679804890147271</v>
      </c>
      <c r="BO34" s="39">
        <f t="shared" ref="BO34" si="240">+IF(BK32&lt;0,1-BO32/BK32,BO32/BK32-1)</f>
        <v>-0.42313343128088665</v>
      </c>
      <c r="BP34" s="39">
        <f t="shared" ref="BP34" si="241">+IF(BL32&lt;0,1-BP32/BL32,BP32/BL32-1)</f>
        <v>3.9738542672509203E-2</v>
      </c>
      <c r="BQ34" s="39">
        <f t="shared" ref="BQ34" si="242">+IF(BM32&lt;0,1-BQ32/BM32,BQ32/BM32-1)</f>
        <v>0.14870497868952248</v>
      </c>
      <c r="BR34" s="39">
        <f t="shared" ref="BR34" si="243">+IF(BN32&lt;0,1-BR32/BN32,BR32/BN32-1)</f>
        <v>0.13327205882353121</v>
      </c>
      <c r="BS34" s="39">
        <f t="shared" ref="BS34" si="244">+IF(BO32&lt;0,1-BS32/BO32,BS32/BO32-1)</f>
        <v>0.28000308713436683</v>
      </c>
      <c r="BT34" s="39">
        <f t="shared" ref="BT34" si="245">+IF(BP32&lt;0,1-BT32/BP32,BT32/BP32-1)</f>
        <v>6.8104967376292125E-2</v>
      </c>
      <c r="BU34" s="39">
        <f t="shared" ref="BU34" si="246">+IF(BQ32&lt;0,1-BU32/BQ32,BU32/BQ32-1)</f>
        <v>-1.3536654978390739E-2</v>
      </c>
      <c r="BV34" s="39">
        <f t="shared" ref="BV34" si="247">+IF(BR32&lt;0,1-BV32/BR32,BV32/BR32-1)</f>
        <v>-0.10370861903708684</v>
      </c>
      <c r="BW34" s="39">
        <f t="shared" ref="BW34" si="248">+IF(BS32&lt;0,1-BW32/BS32,BW32/BS32-1)</f>
        <v>0.14304090041201967</v>
      </c>
      <c r="BX34" s="39">
        <f t="shared" ref="BX34" si="249">+IF(BT32&lt;0,1-BX32/BT32,BX32/BT32-1)</f>
        <v>-3.948365809069454E-2</v>
      </c>
      <c r="BY34" s="39">
        <f t="shared" ref="BY34" si="250">+IF(BU32&lt;0,1-BY32/BU32,BY32/BU32-1)</f>
        <v>-2.996610729932736E-3</v>
      </c>
      <c r="BZ34" s="39">
        <f t="shared" ref="BZ34" si="251">+IF(BV32&lt;0,1-BZ32/BV32,BZ32/BV32-1)</f>
        <v>5.0656444342075391E-2</v>
      </c>
      <c r="CA34" s="39">
        <f t="shared" ref="CA34" si="252">+IF(BW32&lt;0,1-CA32/BW32,CA32/BW32-1)</f>
        <v>0.24752074834716531</v>
      </c>
      <c r="CB34" s="39">
        <f t="shared" ref="CB34" si="253">+IF(BX32&lt;0,1-CB32/BX32,CB32/BX32-1)</f>
        <v>0.30503911055404664</v>
      </c>
      <c r="CC34" s="39">
        <f t="shared" ref="CC34" si="254">+IF(BY32&lt;0,1-CC32/BY32,CC32/BY32-1)</f>
        <v>0.1716518458636489</v>
      </c>
      <c r="CD34" s="39">
        <f t="shared" ref="CD34" si="255">+IF(BZ32&lt;0,1-CD32/BZ32,CD32/BZ32-1)</f>
        <v>0.29999530229717664</v>
      </c>
      <c r="CE34" s="39">
        <f t="shared" ref="CE34" si="256">+IF(CA32&lt;0,1-CE32/CA32,CE32/CA32-1)</f>
        <v>0.45004157916249565</v>
      </c>
      <c r="CF34" s="39">
        <f t="shared" ref="CF34" si="257">+IF(CB32&lt;0,1-CF32/CB32,CF32/CB32-1)</f>
        <v>0.20409070698088061</v>
      </c>
      <c r="CG34" s="39">
        <f t="shared" ref="CG34" si="258">+IF(CC32&lt;0,1-CG32/CC32,CG32/CC32-1)</f>
        <v>0.2816325808506126</v>
      </c>
      <c r="CH34" s="39">
        <f t="shared" ref="CH34:CL34" si="259">+IF(CD32&lt;0,1-CH32/CD32,CH32/CD32-1)</f>
        <v>0.23127235933942791</v>
      </c>
      <c r="CI34" s="39">
        <f t="shared" si="259"/>
        <v>-0.16504826057795996</v>
      </c>
      <c r="CJ34" s="39">
        <f t="shared" si="259"/>
        <v>-0.13905465288035534</v>
      </c>
      <c r="CK34" s="39">
        <f t="shared" si="259"/>
        <v>2.9816545421916807E-3</v>
      </c>
      <c r="CL34" s="39">
        <f t="shared" si="259"/>
        <v>-1.5564621058707595E-2</v>
      </c>
      <c r="CM34" s="40">
        <f t="shared" ref="CM34" si="260">+CM32/CI32-1</f>
        <v>0.31273068107932445</v>
      </c>
      <c r="CN34" s="40">
        <f t="shared" ref="CN34" si="261">+CN32/CJ32-1</f>
        <v>0.17899876155699301</v>
      </c>
      <c r="CO34" s="40">
        <f t="shared" ref="CO34" si="262">+CO32/CK32-1</f>
        <v>0.23148099731667204</v>
      </c>
      <c r="CP34" s="40">
        <f t="shared" ref="CP34" si="263">+CP32/CL32-1</f>
        <v>0.42485824523376703</v>
      </c>
      <c r="CQ34" s="40">
        <f t="shared" ref="CQ34" si="264">+CQ32/CM32-1</f>
        <v>0.16865691510424274</v>
      </c>
      <c r="CR34" s="40">
        <f t="shared" ref="CR34" si="265">+CR32/CN32-1</f>
        <v>0.14745501300931352</v>
      </c>
      <c r="CS34" s="40">
        <f t="shared" ref="CS34" si="266">+CS32/CO32-1</f>
        <v>0.15220631380128213</v>
      </c>
      <c r="CT34" s="40">
        <f t="shared" ref="CT34" si="267">+CT32/CP32-1</f>
        <v>0.14507395847444671</v>
      </c>
      <c r="CU34" s="40">
        <f t="shared" ref="CU34" si="268">+CU32/CQ32-1</f>
        <v>0.15326032715698545</v>
      </c>
      <c r="CV34" s="40">
        <f t="shared" ref="CV34" si="269">+CV32/CR32-1</f>
        <v>0.14948768651386368</v>
      </c>
      <c r="CW34" s="40">
        <f t="shared" ref="CW34" si="270">+CW32/CS32-1</f>
        <v>0.14999726453067952</v>
      </c>
      <c r="CX34" s="40">
        <f t="shared" ref="CX34" si="271">+CX32/CT32-1</f>
        <v>0.1494463234618153</v>
      </c>
      <c r="CY34" s="40">
        <f t="shared" ref="CY34" si="272">+CY32/CU32-1</f>
        <v>0.15054529905584402</v>
      </c>
      <c r="CZ34" s="40">
        <f t="shared" ref="CZ34" si="273">+CZ32/CV32-1</f>
        <v>0.14986893893844888</v>
      </c>
      <c r="DA34" s="40">
        <f t="shared" ref="DA34" si="274">+DA32/CW32-1</f>
        <v>0.14996430515046044</v>
      </c>
      <c r="DB34" s="40">
        <f t="shared" ref="DB34" si="275">+DB32/CX32-1</f>
        <v>0.14995606528090621</v>
      </c>
      <c r="DE34" s="122"/>
      <c r="DF34" s="39">
        <v>0.24115729608386527</v>
      </c>
    </row>
    <row r="35" spans="1:110" s="39" customFormat="1" x14ac:dyDescent="0.2">
      <c r="A35" s="39" t="s">
        <v>448</v>
      </c>
      <c r="AB35" s="40"/>
      <c r="AC35" s="40"/>
      <c r="AD35" s="40"/>
      <c r="AE35" s="40"/>
      <c r="AJ35" s="39">
        <f>+IF(AI32&lt;0,1-AJ32/AI32,AJ32/AI32-1)</f>
        <v>-0.23276929426331017</v>
      </c>
      <c r="AK35" s="39">
        <f t="shared" ref="AK35" si="276">+IF(AJ32&lt;0,1-AK32/AJ32,AK32/AJ32-1)</f>
        <v>-0.14160048096699696</v>
      </c>
      <c r="AL35" s="39">
        <f t="shared" ref="AL35" si="277">+IF(AK32&lt;0,1-AL32/AK32,AL32/AK32-1)</f>
        <v>0.34440430551459822</v>
      </c>
      <c r="AM35" s="39">
        <f t="shared" ref="AM35" si="278">+IF(AL32&lt;0,1-AM32/AL32,AM32/AL32-1)</f>
        <v>4.1539853582297948E-2</v>
      </c>
      <c r="AN35" s="39">
        <f t="shared" ref="AN35" si="279">+IF(AM32&lt;0,1-AN32/AM32,AN32/AM32-1)</f>
        <v>-0.18551571631653729</v>
      </c>
      <c r="AO35" s="39">
        <f t="shared" ref="AO35" si="280">+IF(AN32&lt;0,1-AO32/AN32,AO32/AN32-1)</f>
        <v>0.12052748957626247</v>
      </c>
      <c r="AP35" s="39">
        <f t="shared" ref="AP35" si="281">+IF(AO32&lt;0,1-AP32/AO32,AP32/AO32-1)</f>
        <v>8.4169839621552667E-2</v>
      </c>
      <c r="AQ35" s="39">
        <f t="shared" ref="AQ35" si="282">+IF(AP32&lt;0,1-AQ32/AP32,AQ32/AP32-1)</f>
        <v>0.25583994040334201</v>
      </c>
      <c r="AR35" s="39">
        <f t="shared" ref="AR35" si="283">+IF(AQ32&lt;0,1-AR32/AQ32,AR32/AQ32-1)</f>
        <v>-0.27431041057582306</v>
      </c>
      <c r="AS35" s="39">
        <f t="shared" ref="AS35" si="284">+IF(AR32&lt;0,1-AS32/AR32,AS32/AR32-1)</f>
        <v>-8.5858585858585967E-2</v>
      </c>
      <c r="AT35" s="39">
        <f t="shared" ref="AT35" si="285">+IF(AS32&lt;0,1-AT32/AS32,AT32/AS32-1)</f>
        <v>0.46249161690032947</v>
      </c>
      <c r="AU35" s="39">
        <f t="shared" ref="AU35" si="286">+IF(AT32&lt;0,1-AU32/AT32,AU32/AT32-1)</f>
        <v>-5.4743967682061578E-2</v>
      </c>
      <c r="AV35" s="39">
        <f t="shared" ref="AV35" si="287">+IF(AU32&lt;0,1-AV32/AU32,AV32/AU32-1)</f>
        <v>-0.2392117907965251</v>
      </c>
      <c r="AW35" s="39">
        <f t="shared" ref="AW35" si="288">+IF(AV32&lt;0,1-AW32/AV32,AW32/AV32-1)</f>
        <v>8.0587860201012829E-2</v>
      </c>
      <c r="AX35" s="39">
        <f t="shared" ref="AX35" si="289">+IF(AW32&lt;0,1-AX32/AW32,AX32/AW32-1)</f>
        <v>0.44600556382948975</v>
      </c>
      <c r="AY35" s="39">
        <f t="shared" ref="AY35" si="290">+IF(AX32&lt;0,1-AY32/AX32,AY32/AX32-1)</f>
        <v>3.575662177655925E-2</v>
      </c>
      <c r="AZ35" s="39">
        <f t="shared" ref="AZ35" si="291">+IF(AY32&lt;0,1-AZ32/AY32,AZ32/AY32-1)</f>
        <v>-0.34130096249460573</v>
      </c>
      <c r="BA35" s="39">
        <f t="shared" ref="BA35" si="292">+IF(AZ32&lt;0,1-BA32/AZ32,BA32/AZ32-1)</f>
        <v>3.3781474307850168E-2</v>
      </c>
      <c r="BB35" s="39">
        <f t="shared" ref="BB35" si="293">+IF(BA32&lt;0,1-BB32/BA32,BB32/BA32-1)</f>
        <v>0.51512646718465982</v>
      </c>
      <c r="BC35" s="39">
        <f t="shared" ref="BC35" si="294">+IF(BB32&lt;0,1-BC32/BB32,BC32/BB32-1)</f>
        <v>9.092562283963268E-5</v>
      </c>
      <c r="BD35" s="39">
        <f t="shared" ref="BD35" si="295">+IF(BC32&lt;0,1-BD32/BC32,BD32/BC32-1)</f>
        <v>-0.39539958178016166</v>
      </c>
      <c r="BE35" s="39">
        <f t="shared" ref="BE35" si="296">+IF(BD32&lt;0,1-BE32/BD32,BE32/BD32-1)</f>
        <v>0.22457142857142887</v>
      </c>
      <c r="BF35" s="39">
        <f t="shared" ref="BF35" si="297">+IF(BE32&lt;0,1-BF32/BE32,BF32/BE32-1)</f>
        <v>0.34400864503769957</v>
      </c>
      <c r="BG35" s="39">
        <f t="shared" ref="BG35" si="298">+IF(BF32&lt;0,1-BG32/BF32,BG32/BF32-1)</f>
        <v>6.982311234558769E-2</v>
      </c>
      <c r="BH35" s="39">
        <f t="shared" ref="BH35" si="299">+IF(BG32&lt;0,1-BH32/BG32,BH32/BG32-1)</f>
        <v>-0.33148859851396306</v>
      </c>
      <c r="BI35" s="39">
        <f t="shared" ref="BI35" si="300">+IF(BH32&lt;0,1-BI32/BH32,BI32/BH32-1)</f>
        <v>2.5039603454442894E-2</v>
      </c>
      <c r="BJ35" s="39">
        <f t="shared" ref="BJ35" si="301">+IF(BI32&lt;0,1-BJ32/BI32,BJ32/BI32-1)</f>
        <v>0.20601724911511021</v>
      </c>
      <c r="BK35" s="39">
        <f t="shared" ref="BK35" si="302">+IF(BJ32&lt;0,1-BK32/BJ32,BK32/BJ32-1)</f>
        <v>0.39269991525949188</v>
      </c>
      <c r="BL35" s="39">
        <f t="shared" ref="BL35" si="303">+IF(BK32&lt;0,1-BL32/BK32,BL32/BK32-1)</f>
        <v>-0.4006054939673207</v>
      </c>
      <c r="BM35" s="39">
        <f t="shared" ref="BM35" si="304">+IF(BL32&lt;0,1-BM32/BL32,BM32/BL32-1)</f>
        <v>5.7268068038326625E-2</v>
      </c>
      <c r="BN35" s="39">
        <f t="shared" ref="BN35" si="305">+IF(BM32&lt;0,1-BN32/BM32,BN32/BM32-1)</f>
        <v>0.40133951571354842</v>
      </c>
      <c r="BO35" s="39">
        <f t="shared" ref="BO35" si="306">+IF(BN32&lt;0,1-BO32/BN32,BO32/BN32-1)</f>
        <v>-0.35041778074866237</v>
      </c>
      <c r="BP35" s="39">
        <f t="shared" ref="BP35" si="307">+IF(BO32&lt;0,1-BP32/BO32,BP32/BO32-1)</f>
        <v>8.034267191479505E-2</v>
      </c>
      <c r="BQ35" s="39">
        <f t="shared" ref="BQ35" si="308">+IF(BP32&lt;0,1-BQ32/BP32,BQ32/BP32-1)</f>
        <v>0.168071629280373</v>
      </c>
      <c r="BR35" s="39">
        <f t="shared" ref="BR35" si="309">+IF(BQ32&lt;0,1-BR32/BQ32,BR32/BQ32-1)</f>
        <v>0.38251243578243632</v>
      </c>
      <c r="BS35" s="39">
        <f t="shared" ref="BS35" si="310">+IF(BR32&lt;0,1-BS32/BR32,BS32/BR32-1)</f>
        <v>-0.26631276266312842</v>
      </c>
      <c r="BT35" s="39">
        <f t="shared" ref="BT35" si="311">+IF(BS32&lt;0,1-BT32/BS32,BT32/BS32-1)</f>
        <v>-9.8502663048939176E-2</v>
      </c>
      <c r="BU35" s="39">
        <f t="shared" ref="BU35" si="312">+IF(BT32&lt;0,1-BU32/BT32,BU32/BT32-1)</f>
        <v>7.8788959736031394E-2</v>
      </c>
      <c r="BV35" s="39">
        <f t="shared" ref="BV35" si="313">+IF(BU32&lt;0,1-BV32/BU32,BV32/BU32-1)</f>
        <v>0.25613788542613958</v>
      </c>
      <c r="BW35" s="39">
        <f t="shared" ref="BW35" si="314">+IF(BV32&lt;0,1-BW32/BV32,BW32/BV32-1)</f>
        <v>-6.4328255075515428E-2</v>
      </c>
      <c r="BX35" s="39">
        <f t="shared" ref="BX35" si="315">+IF(BW32&lt;0,1-BX32/BW32,BX32/BW32-1)</f>
        <v>-0.24245674497116354</v>
      </c>
      <c r="BY35" s="39">
        <f t="shared" ref="BY35" si="316">+IF(BX32&lt;0,1-BY32/BX32,BY32/BX32-1)</f>
        <v>0.11976881832741415</v>
      </c>
      <c r="BZ35" s="39">
        <f t="shared" ref="BZ35" si="317">+IF(BY32&lt;0,1-BZ32/BY32,BZ32/BY32-1)</f>
        <v>0.3237360860643006</v>
      </c>
      <c r="CA35" s="39">
        <f t="shared" ref="CA35" si="318">+IF(BZ32&lt;0,1-CA32/BZ32,CA32/BZ32-1)</f>
        <v>0.11099105870562598</v>
      </c>
      <c r="CB35" s="39">
        <f t="shared" ref="CB35" si="319">+IF(CA32&lt;0,1-CB32/CA32,CB32/CA32-1)</f>
        <v>-0.20752935206979684</v>
      </c>
      <c r="CC35" s="39">
        <f t="shared" ref="CC35" si="320">+IF(CB32&lt;0,1-CC32/CB32,CC32/CB32-1)</f>
        <v>5.3179190751444505E-3</v>
      </c>
      <c r="CD35" s="39">
        <f t="shared" ref="CD35" si="321">+IF(CC32&lt;0,1-CD32/CC32,CD32/CC32-1)</f>
        <v>0.46873894274998307</v>
      </c>
      <c r="CE35" s="39">
        <f t="shared" ref="CE35" si="322">+IF(CD32&lt;0,1-CE32/CD32,CE32/CD32-1)</f>
        <v>0.2392223466917196</v>
      </c>
      <c r="CF35" s="39">
        <f t="shared" ref="CF35" si="323">+IF(CE32&lt;0,1-CF32/CE32,CF32/CE32-1)</f>
        <v>-0.34194539215972097</v>
      </c>
      <c r="CG35" s="39">
        <f t="shared" ref="CG35" si="324">+IF(CF32&lt;0,1-CG32/CF32,CG32/CF32-1)</f>
        <v>7.0059084194978194E-2</v>
      </c>
      <c r="CH35" s="39">
        <f t="shared" ref="CH35:CL35" si="325">+IF(CG32&lt;0,1-CH32/CG32,CH32/CG32-1)</f>
        <v>0.41102660022362381</v>
      </c>
      <c r="CI35" s="39">
        <f t="shared" si="325"/>
        <v>-0.15965720658586002</v>
      </c>
      <c r="CJ35" s="39">
        <f t="shared" si="325"/>
        <v>-0.32145892268827392</v>
      </c>
      <c r="CK35" s="39">
        <f t="shared" si="325"/>
        <v>0.24659437943931772</v>
      </c>
      <c r="CL35" s="39">
        <f t="shared" si="325"/>
        <v>0.38493510783247742</v>
      </c>
      <c r="CM35" s="40">
        <f t="shared" ref="CM35" si="326">+CM32/CL32-1</f>
        <v>0.12058525235553619</v>
      </c>
      <c r="CN35" s="40">
        <f t="shared" ref="CN35" si="327">+CN32/CM32-1</f>
        <v>-0.39058399308659775</v>
      </c>
      <c r="CO35" s="40">
        <f t="shared" ref="CO35" si="328">+CO32/CN32-1</f>
        <v>0.30208558286689846</v>
      </c>
      <c r="CP35" s="40">
        <f t="shared" ref="CP35" si="329">+CP32/CO32-1</f>
        <v>0.60240897895185586</v>
      </c>
      <c r="CQ35" s="40">
        <f t="shared" ref="CQ35" si="330">+CQ32/CP32-1</f>
        <v>-8.0905270043704403E-2</v>
      </c>
      <c r="CR35" s="40">
        <f t="shared" ref="CR35" si="331">+CR32/CQ32-1</f>
        <v>-0.40164008520967232</v>
      </c>
      <c r="CS35" s="40">
        <f t="shared" ref="CS35" si="332">+CS32/CR32-1</f>
        <v>0.30747716701699201</v>
      </c>
      <c r="CT35" s="40">
        <f t="shared" ref="CT35" si="333">+CT32/CS32-1</f>
        <v>0.59248979166751403</v>
      </c>
      <c r="CU35" s="40">
        <f t="shared" ref="CU35" si="334">+CU32/CT32-1</f>
        <v>-7.4334473233667153E-2</v>
      </c>
      <c r="CV35" s="40">
        <f t="shared" ref="CV35" si="335">+CV32/CU32-1</f>
        <v>-0.40359748969207365</v>
      </c>
      <c r="CW35" s="40">
        <f t="shared" ref="CW35" si="336">+CW32/CV32-1</f>
        <v>0.30805678316218166</v>
      </c>
      <c r="CX35" s="40">
        <f t="shared" ref="CX35" si="337">+CX32/CW32-1</f>
        <v>0.59172686113277528</v>
      </c>
      <c r="CY35" s="40">
        <f t="shared" ref="CY35" si="338">+CY32/CX32-1</f>
        <v>-7.344945250552537E-2</v>
      </c>
      <c r="CZ35" s="40">
        <f t="shared" ref="CZ35" si="339">+CZ32/CY32-1</f>
        <v>-0.40394809116097519</v>
      </c>
      <c r="DA35" s="40">
        <f t="shared" ref="DA35" si="340">+DA32/CZ32-1</f>
        <v>0.3081652689350225</v>
      </c>
      <c r="DB35" s="40">
        <f t="shared" ref="DB35" si="341">+DB32/DA32-1</f>
        <v>0.59171545589033148</v>
      </c>
      <c r="DE35" s="122"/>
      <c r="DF35" s="39">
        <v>0.74609969375296403</v>
      </c>
    </row>
    <row r="36" spans="1:110" s="23" customFormat="1" outlineLevel="1" x14ac:dyDescent="0.2">
      <c r="A36" s="23" t="s">
        <v>8</v>
      </c>
      <c r="B36" s="23">
        <f>'Annual Raw'!C14</f>
        <v>100.30370000000001</v>
      </c>
      <c r="C36" s="23">
        <f>'Annual Raw'!D14</f>
        <v>110.80110000000001</v>
      </c>
      <c r="D36" s="23">
        <f>'Annual Raw'!E14</f>
        <v>134.5882</v>
      </c>
      <c r="E36" s="23">
        <f>'Annual Raw'!F14</f>
        <v>135.19710000000001</v>
      </c>
      <c r="F36" s="23">
        <f>'Annual Raw'!G14</f>
        <v>153.69579999999999</v>
      </c>
      <c r="G36" s="23">
        <f>'Annual Raw'!H14</f>
        <v>190.96960000000001</v>
      </c>
      <c r="H36" s="23">
        <f>'Annual Raw'!I14</f>
        <v>258.63369999999998</v>
      </c>
      <c r="I36" s="23">
        <f>'Annual Raw'!J14</f>
        <v>297.68329999999997</v>
      </c>
      <c r="J36" s="23">
        <f>'Annual Raw'!K14</f>
        <v>463.77600000000001</v>
      </c>
      <c r="K36" s="23">
        <f>'Annual Raw'!L14</f>
        <v>542.57719999999995</v>
      </c>
      <c r="L36" s="23">
        <f>'Annual Raw'!M14</f>
        <v>556.2577</v>
      </c>
      <c r="M36" s="23">
        <f>'Annual Raw'!N14</f>
        <v>599.52080000000001</v>
      </c>
      <c r="N36" s="23">
        <f>'Annual Raw'!O14</f>
        <v>632.53160000000003</v>
      </c>
      <c r="O36" s="23">
        <f>'Annual Raw'!P14</f>
        <v>594.68719999999996</v>
      </c>
      <c r="P36" s="23">
        <f>'Annual Raw'!Q14</f>
        <v>589.91560000000004</v>
      </c>
      <c r="Q36" s="23">
        <f>'Annual Raw'!R14</f>
        <v>635.13620000000003</v>
      </c>
      <c r="R36" s="23">
        <f>'Annual Raw'!S14</f>
        <v>618.42999999999995</v>
      </c>
      <c r="S36" s="23">
        <f>'Annual Raw'!T14</f>
        <v>586.73</v>
      </c>
      <c r="T36" s="23">
        <f>'Annual Raw'!U14</f>
        <v>641.86</v>
      </c>
      <c r="U36" s="23">
        <f>'Annual Raw'!V14</f>
        <v>671.72</v>
      </c>
      <c r="V36" s="23">
        <f>'Annual Raw'!W14</f>
        <v>601.67999999999995</v>
      </c>
      <c r="W36" s="23">
        <f>'Annual Raw'!X14</f>
        <v>617.62</v>
      </c>
      <c r="X36" s="23">
        <f>'Annual Raw'!Y14</f>
        <v>667.21</v>
      </c>
      <c r="Y36" s="23">
        <f>'Annual Raw'!Z14</f>
        <v>778.76</v>
      </c>
      <c r="Z36" s="23">
        <f>'Annual Raw'!AA14</f>
        <v>890.07</v>
      </c>
      <c r="AA36" s="23">
        <f>'Annual Raw'!AB14</f>
        <v>938.59</v>
      </c>
      <c r="AB36" s="76">
        <f t="shared" ref="AB36:AB41" si="342">+SUM(CM36:CP36)</f>
        <v>1004.2913000000001</v>
      </c>
      <c r="AC36" s="76">
        <f t="shared" ref="AC36:AC41" si="343">+SUM(CQ36:CT36)</f>
        <v>1074.5916910000001</v>
      </c>
      <c r="AD36" s="76">
        <f t="shared" ref="AD36:AD41" si="344">+SUM(CU36:CX36)</f>
        <v>1149.8131093700001</v>
      </c>
      <c r="AE36" s="76">
        <f t="shared" ref="AE36:AE41" si="345">+SUM(CY36:DB36)</f>
        <v>1230.3000270259004</v>
      </c>
      <c r="AI36" s="23">
        <f>'QTR Raw'!C16</f>
        <v>164.49</v>
      </c>
      <c r="AJ36" s="23">
        <f>'QTR Raw'!D16</f>
        <v>162.99</v>
      </c>
      <c r="AK36" s="23">
        <f>'QTR Raw'!E16</f>
        <v>147.26</v>
      </c>
      <c r="AL36" s="23">
        <f>'QTR Raw'!F16</f>
        <v>157.79</v>
      </c>
      <c r="AM36" s="23">
        <f>'QTR Raw'!G16</f>
        <v>164.86</v>
      </c>
      <c r="AN36" s="23">
        <f>'QTR Raw'!H16</f>
        <v>152.65</v>
      </c>
      <c r="AO36" s="23">
        <f>'QTR Raw'!I16</f>
        <v>146.47</v>
      </c>
      <c r="AP36" s="23">
        <f>'QTR Raw'!J16</f>
        <v>130.71</v>
      </c>
      <c r="AQ36" s="23">
        <f>'QTR Raw'!K16</f>
        <v>150.28</v>
      </c>
      <c r="AR36" s="23">
        <f>'QTR Raw'!L16</f>
        <v>143.56</v>
      </c>
      <c r="AS36" s="23">
        <f>'QTR Raw'!M16</f>
        <v>144.24</v>
      </c>
      <c r="AT36" s="23">
        <f>'QTR Raw'!N16</f>
        <v>151.84</v>
      </c>
      <c r="AU36" s="23">
        <f>'QTR Raw'!O16</f>
        <v>149</v>
      </c>
      <c r="AV36" s="23">
        <f>'QTR Raw'!P16</f>
        <v>151.07</v>
      </c>
      <c r="AW36" s="23">
        <f>'QTR Raw'!Q16</f>
        <v>161.03</v>
      </c>
      <c r="AX36" s="23">
        <f>'QTR Raw'!R16</f>
        <v>174.04</v>
      </c>
      <c r="AY36" s="23">
        <f>'QTR Raw'!S16</f>
        <v>162.76</v>
      </c>
      <c r="AZ36" s="23">
        <f>'QTR Raw'!T16</f>
        <v>159.37</v>
      </c>
      <c r="BA36" s="23">
        <f>'QTR Raw'!U16</f>
        <v>147.83000000000001</v>
      </c>
      <c r="BB36" s="23">
        <f>'QTR Raw'!V16</f>
        <v>148.47</v>
      </c>
      <c r="BC36" s="23">
        <f>'QTR Raw'!W16</f>
        <v>147.79</v>
      </c>
      <c r="BD36" s="23">
        <f>'QTR Raw'!X16</f>
        <v>145.26</v>
      </c>
      <c r="BE36" s="23">
        <f>'QTR Raw'!Y16</f>
        <v>150.26</v>
      </c>
      <c r="BF36" s="23">
        <f>'QTR Raw'!Z16</f>
        <v>143.41999999999999</v>
      </c>
      <c r="BG36" s="23">
        <f>'QTR Raw'!AA16</f>
        <v>143.08000000000001</v>
      </c>
      <c r="BH36" s="23">
        <f>'QTR Raw'!AB16</f>
        <v>172.3</v>
      </c>
      <c r="BI36" s="23">
        <f>'QTR Raw'!AC16</f>
        <v>160.11000000000001</v>
      </c>
      <c r="BJ36" s="23">
        <f>'QTR Raw'!AD16</f>
        <v>166.37</v>
      </c>
      <c r="BK36" s="23">
        <f>'QTR Raw'!AE16</f>
        <v>163.19</v>
      </c>
      <c r="BL36" s="23">
        <f>'QTR Raw'!AF16</f>
        <v>157.6</v>
      </c>
      <c r="BM36" s="23">
        <f>'QTR Raw'!AG16</f>
        <v>173.36</v>
      </c>
      <c r="BN36" s="23">
        <f>'QTR Raw'!AH16</f>
        <v>177.57</v>
      </c>
      <c r="BO36" s="23">
        <f>'QTR Raw'!AI16</f>
        <v>157.41</v>
      </c>
      <c r="BP36" s="23">
        <f>'QTR Raw'!AJ16</f>
        <v>143.22</v>
      </c>
      <c r="BQ36" s="23">
        <f>'QTR Raw'!AK16</f>
        <v>154.74</v>
      </c>
      <c r="BR36" s="23">
        <f>'QTR Raw'!AL16</f>
        <v>146.31</v>
      </c>
      <c r="BS36" s="23">
        <f>'QTR Raw'!AM16</f>
        <v>147.44</v>
      </c>
      <c r="BT36" s="23">
        <f>'QTR Raw'!AN16</f>
        <v>153.94999999999999</v>
      </c>
      <c r="BU36" s="23">
        <f>'QTR Raw'!AO16</f>
        <v>156.24</v>
      </c>
      <c r="BV36" s="23">
        <f>'QTR Raw'!AP16</f>
        <v>159.99</v>
      </c>
      <c r="BW36" s="23">
        <f>'QTR Raw'!AQ16</f>
        <v>150.47999999999999</v>
      </c>
      <c r="BX36" s="23">
        <f>'QTR Raw'!AR16</f>
        <v>174.75</v>
      </c>
      <c r="BY36" s="23">
        <f>'QTR Raw'!AS16</f>
        <v>174.16</v>
      </c>
      <c r="BZ36" s="23">
        <f>'QTR Raw'!AT16</f>
        <v>167.82</v>
      </c>
      <c r="CA36" s="23">
        <f>'QTR Raw'!AU16</f>
        <v>180.5</v>
      </c>
      <c r="CB36" s="23">
        <f>'QTR Raw'!AV16</f>
        <v>194.47</v>
      </c>
      <c r="CC36" s="23">
        <f>'QTR Raw'!AW16</f>
        <v>204.61</v>
      </c>
      <c r="CD36" s="23">
        <f>'QTR Raw'!AX16</f>
        <v>199.18</v>
      </c>
      <c r="CE36" s="23">
        <f>'QTR Raw'!AY16</f>
        <v>202.27</v>
      </c>
      <c r="CF36" s="23">
        <f>'QTR Raw'!AZ16</f>
        <v>238.16</v>
      </c>
      <c r="CG36" s="23">
        <f>'QTR Raw'!BA16</f>
        <v>231.14</v>
      </c>
      <c r="CH36" s="23">
        <f>'QTR Raw'!BB16</f>
        <v>218.5</v>
      </c>
      <c r="CI36" s="23">
        <f>'QTR Raw'!BC16</f>
        <v>230.51</v>
      </c>
      <c r="CJ36" s="23">
        <f>'QTR Raw'!BD16</f>
        <v>240.76</v>
      </c>
      <c r="CK36" s="23">
        <f>'QTR Raw'!BE16</f>
        <v>224.64</v>
      </c>
      <c r="CL36" s="23">
        <f>'QTR Raw'!BF16</f>
        <v>242.68</v>
      </c>
      <c r="CM36" s="24">
        <f t="shared" ref="CM36:DB36" si="346">CI36*107%</f>
        <v>246.64570000000001</v>
      </c>
      <c r="CN36" s="24">
        <f t="shared" si="346"/>
        <v>257.61320000000001</v>
      </c>
      <c r="CO36" s="24">
        <f t="shared" si="346"/>
        <v>240.3648</v>
      </c>
      <c r="CP36" s="24">
        <f t="shared" si="346"/>
        <v>259.66760000000005</v>
      </c>
      <c r="CQ36" s="24">
        <f t="shared" si="346"/>
        <v>263.91089900000003</v>
      </c>
      <c r="CR36" s="24">
        <f t="shared" si="346"/>
        <v>275.64612400000004</v>
      </c>
      <c r="CS36" s="24">
        <f t="shared" si="346"/>
        <v>257.190336</v>
      </c>
      <c r="CT36" s="24">
        <f t="shared" si="346"/>
        <v>277.84433200000007</v>
      </c>
      <c r="CU36" s="24">
        <f t="shared" si="346"/>
        <v>282.38466193000005</v>
      </c>
      <c r="CV36" s="24">
        <f t="shared" si="346"/>
        <v>294.94135268000008</v>
      </c>
      <c r="CW36" s="24">
        <f t="shared" si="346"/>
        <v>275.19365952000004</v>
      </c>
      <c r="CX36" s="24">
        <f t="shared" si="346"/>
        <v>297.29343524000006</v>
      </c>
      <c r="CY36" s="24">
        <f t="shared" si="346"/>
        <v>302.15158826510009</v>
      </c>
      <c r="CZ36" s="24">
        <f t="shared" si="346"/>
        <v>315.58724736760013</v>
      </c>
      <c r="DA36" s="24">
        <f t="shared" si="346"/>
        <v>294.45721568640005</v>
      </c>
      <c r="DB36" s="24">
        <f t="shared" si="346"/>
        <v>318.1039757068001</v>
      </c>
      <c r="DE36" s="123"/>
      <c r="DF36" s="23">
        <v>233.79500000000002</v>
      </c>
    </row>
    <row r="37" spans="1:110" s="23" customFormat="1" outlineLevel="1" x14ac:dyDescent="0.2">
      <c r="A37" s="23" t="s">
        <v>10</v>
      </c>
      <c r="B37" s="23">
        <f>'Annual Raw'!C17</f>
        <v>-68.081999999999994</v>
      </c>
      <c r="C37" s="23">
        <f>'Annual Raw'!D17</f>
        <v>19.881599999999999</v>
      </c>
      <c r="D37" s="23">
        <f>'Annual Raw'!E17</f>
        <v>12.0623</v>
      </c>
      <c r="E37" s="23">
        <f>'Annual Raw'!F17</f>
        <v>115.50020000000001</v>
      </c>
      <c r="F37" s="23">
        <f>'Annual Raw'!G17</f>
        <v>122.9156</v>
      </c>
      <c r="G37" s="23">
        <f>'Annual Raw'!H17</f>
        <v>138.06290000000001</v>
      </c>
      <c r="H37" s="23">
        <f>'Annual Raw'!I17</f>
        <v>184.709</v>
      </c>
      <c r="I37" s="23">
        <f>'Annual Raw'!J17</f>
        <v>209.07650000000001</v>
      </c>
      <c r="J37" s="23">
        <f>'Annual Raw'!K17</f>
        <v>300.32639999999998</v>
      </c>
      <c r="K37" s="23">
        <f>'Annual Raw'!L17</f>
        <v>317.63</v>
      </c>
      <c r="L37" s="23">
        <f>'Annual Raw'!M17</f>
        <v>363.80349999999999</v>
      </c>
      <c r="M37" s="23">
        <f>'Annual Raw'!N17</f>
        <v>356.42349999999999</v>
      </c>
      <c r="N37" s="23">
        <f>'Annual Raw'!O17</f>
        <v>369.63069999999999</v>
      </c>
      <c r="O37" s="23">
        <f>'Annual Raw'!P17</f>
        <v>389.91449999999998</v>
      </c>
      <c r="P37" s="23">
        <f>'Annual Raw'!Q17</f>
        <v>415.60430000000002</v>
      </c>
      <c r="Q37" s="23">
        <f>'Annual Raw'!R17</f>
        <v>347.08330000000001</v>
      </c>
      <c r="R37" s="23">
        <f>'Annual Raw'!S17</f>
        <v>217.21</v>
      </c>
      <c r="S37" s="23">
        <f>'Annual Raw'!T17</f>
        <v>251.23</v>
      </c>
      <c r="T37" s="23">
        <f>'Annual Raw'!U17</f>
        <v>253.34</v>
      </c>
      <c r="U37" s="23">
        <f>'Annual Raw'!V17</f>
        <v>259.39</v>
      </c>
      <c r="V37" s="23">
        <f>'Annual Raw'!W17</f>
        <v>256.41000000000003</v>
      </c>
      <c r="W37" s="23">
        <f>'Annual Raw'!X17</f>
        <v>245.32</v>
      </c>
      <c r="X37" s="23">
        <f>'Annual Raw'!Y17</f>
        <v>302.81</v>
      </c>
      <c r="Y37" s="23">
        <f>'Annual Raw'!Z17</f>
        <v>431.82</v>
      </c>
      <c r="Z37" s="23">
        <f>'Annual Raw'!AA17</f>
        <v>571.16999999999996</v>
      </c>
      <c r="AA37" s="23">
        <f>'Annual Raw'!AB17</f>
        <v>674.14</v>
      </c>
      <c r="AB37" s="76">
        <f t="shared" si="342"/>
        <v>0</v>
      </c>
      <c r="AC37" s="76">
        <f t="shared" si="343"/>
        <v>0</v>
      </c>
      <c r="AD37" s="76">
        <f t="shared" si="344"/>
        <v>0</v>
      </c>
      <c r="AE37" s="76">
        <f t="shared" si="345"/>
        <v>0</v>
      </c>
      <c r="AI37" s="23">
        <f>'QTR Raw'!C17</f>
        <v>0</v>
      </c>
      <c r="AJ37" s="23">
        <f>'QTR Raw'!D17</f>
        <v>0</v>
      </c>
      <c r="AK37" s="23">
        <f>'QTR Raw'!E17</f>
        <v>0</v>
      </c>
      <c r="AL37" s="23">
        <f>'QTR Raw'!F17</f>
        <v>0</v>
      </c>
      <c r="AM37" s="23">
        <f>'QTR Raw'!G17</f>
        <v>0</v>
      </c>
      <c r="AN37" s="23">
        <f>'QTR Raw'!H17</f>
        <v>0</v>
      </c>
      <c r="AO37" s="23">
        <f>'QTR Raw'!I17</f>
        <v>0</v>
      </c>
      <c r="AP37" s="23">
        <f>'QTR Raw'!J17</f>
        <v>0</v>
      </c>
      <c r="AQ37" s="23">
        <f>'QTR Raw'!K17</f>
        <v>0</v>
      </c>
      <c r="AR37" s="23">
        <f>'QTR Raw'!L17</f>
        <v>0</v>
      </c>
      <c r="AS37" s="23">
        <f>'QTR Raw'!M17</f>
        <v>0</v>
      </c>
      <c r="AT37" s="23">
        <f>'QTR Raw'!N17</f>
        <v>0</v>
      </c>
      <c r="AU37" s="23">
        <f>'QTR Raw'!O17</f>
        <v>0</v>
      </c>
      <c r="AV37" s="23">
        <f>'QTR Raw'!P17</f>
        <v>0</v>
      </c>
      <c r="AW37" s="23">
        <f>'QTR Raw'!Q17</f>
        <v>0</v>
      </c>
      <c r="AX37" s="23">
        <f>'QTR Raw'!R17</f>
        <v>0</v>
      </c>
      <c r="AY37" s="23">
        <f>'QTR Raw'!S17</f>
        <v>0</v>
      </c>
      <c r="AZ37" s="23">
        <f>'QTR Raw'!T17</f>
        <v>0</v>
      </c>
      <c r="BA37" s="23">
        <f>'QTR Raw'!U17</f>
        <v>0</v>
      </c>
      <c r="BB37" s="23">
        <f>'QTR Raw'!V17</f>
        <v>0</v>
      </c>
      <c r="BC37" s="23">
        <f>'QTR Raw'!W17</f>
        <v>0</v>
      </c>
      <c r="BD37" s="23">
        <f>'QTR Raw'!X17</f>
        <v>0</v>
      </c>
      <c r="BE37" s="23">
        <f>'QTR Raw'!Y17</f>
        <v>0</v>
      </c>
      <c r="BF37" s="23">
        <f>'QTR Raw'!Z17</f>
        <v>0</v>
      </c>
      <c r="BG37" s="23">
        <f>'QTR Raw'!AA17</f>
        <v>0</v>
      </c>
      <c r="BH37" s="23">
        <f>'QTR Raw'!AB17</f>
        <v>0</v>
      </c>
      <c r="BI37" s="23">
        <f>'QTR Raw'!AC17</f>
        <v>0</v>
      </c>
      <c r="BJ37" s="23">
        <f>'QTR Raw'!AD17</f>
        <v>0</v>
      </c>
      <c r="BK37" s="23">
        <f>'QTR Raw'!AE17</f>
        <v>0</v>
      </c>
      <c r="BL37" s="23">
        <f>'QTR Raw'!AF17</f>
        <v>0</v>
      </c>
      <c r="BM37" s="23">
        <f>'QTR Raw'!AG17</f>
        <v>0</v>
      </c>
      <c r="BN37" s="23">
        <f>'QTR Raw'!AH17</f>
        <v>0</v>
      </c>
      <c r="BO37" s="23">
        <f>'QTR Raw'!AI17</f>
        <v>0</v>
      </c>
      <c r="BP37" s="23">
        <f>'QTR Raw'!AJ17</f>
        <v>0</v>
      </c>
      <c r="BQ37" s="23">
        <f>'QTR Raw'!AK17</f>
        <v>0</v>
      </c>
      <c r="BR37" s="23">
        <f>'QTR Raw'!AL17</f>
        <v>0</v>
      </c>
      <c r="BS37" s="23">
        <f>'QTR Raw'!AM17</f>
        <v>0</v>
      </c>
      <c r="BT37" s="23">
        <f>'QTR Raw'!AN17</f>
        <v>0</v>
      </c>
      <c r="BU37" s="23">
        <f>'QTR Raw'!AO17</f>
        <v>0</v>
      </c>
      <c r="BV37" s="23">
        <f>'QTR Raw'!AP17</f>
        <v>0</v>
      </c>
      <c r="BW37" s="23">
        <f>'QTR Raw'!AQ17</f>
        <v>0</v>
      </c>
      <c r="BX37" s="23">
        <f>'QTR Raw'!AR17</f>
        <v>0</v>
      </c>
      <c r="BY37" s="23">
        <f>'QTR Raw'!AS17</f>
        <v>0</v>
      </c>
      <c r="BZ37" s="23">
        <f>'QTR Raw'!AT17</f>
        <v>0</v>
      </c>
      <c r="CA37" s="23">
        <f>'QTR Raw'!AU17</f>
        <v>0</v>
      </c>
      <c r="CB37" s="23">
        <f>'QTR Raw'!AV17</f>
        <v>0</v>
      </c>
      <c r="CC37" s="23">
        <f>'QTR Raw'!AW17</f>
        <v>0</v>
      </c>
      <c r="CD37" s="23">
        <f>'QTR Raw'!AX17</f>
        <v>0</v>
      </c>
      <c r="CE37" s="23">
        <f>'QTR Raw'!AY17</f>
        <v>0</v>
      </c>
      <c r="CF37" s="23">
        <f>'QTR Raw'!AZ17</f>
        <v>0</v>
      </c>
      <c r="CG37" s="23">
        <f>'QTR Raw'!BA17</f>
        <v>0</v>
      </c>
      <c r="CH37" s="23">
        <f>'QTR Raw'!BB17</f>
        <v>0</v>
      </c>
      <c r="CI37" s="23">
        <f>'QTR Raw'!BC17</f>
        <v>0</v>
      </c>
      <c r="CJ37" s="23">
        <f>'QTR Raw'!BD17</f>
        <v>0</v>
      </c>
      <c r="CK37" s="23">
        <f>'QTR Raw'!BE17</f>
        <v>0</v>
      </c>
      <c r="CL37" s="23">
        <f>'QTR Raw'!BF17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12</v>
      </c>
      <c r="B38" s="23">
        <f>'Annual Raw'!C19-'Annual Raw'!C20</f>
        <v>6.9943</v>
      </c>
      <c r="C38" s="23">
        <f>'Annual Raw'!D19-'Annual Raw'!D20</f>
        <v>9.6995000000000005</v>
      </c>
      <c r="D38" s="23">
        <f>'Annual Raw'!E19-'Annual Raw'!E20</f>
        <v>10.137700000000001</v>
      </c>
      <c r="E38" s="23">
        <f>'Annual Raw'!F19-'Annual Raw'!F20</f>
        <v>17.768699999999999</v>
      </c>
      <c r="F38" s="23">
        <f>'Annual Raw'!G19-'Annual Raw'!G20</f>
        <v>15.192399999999999</v>
      </c>
      <c r="G38" s="23">
        <f>'Annual Raw'!H19-'Annual Raw'!H20</f>
        <v>7.6245000000000003</v>
      </c>
      <c r="H38" s="23">
        <f>'Annual Raw'!I19-'Annual Raw'!I20</f>
        <v>15.9955</v>
      </c>
      <c r="I38" s="23">
        <f>'Annual Raw'!J19-'Annual Raw'!J20</f>
        <v>12.104200000000001</v>
      </c>
      <c r="J38" s="23">
        <f>'Annual Raw'!K19-'Annual Raw'!K20</f>
        <v>8.1914999999999996</v>
      </c>
      <c r="K38" s="23">
        <f>'Annual Raw'!L19-'Annual Raw'!L20</f>
        <v>23.651800000000001</v>
      </c>
      <c r="L38" s="23">
        <f>'Annual Raw'!M19-'Annual Raw'!M20</f>
        <v>27.268899999999999</v>
      </c>
      <c r="M38" s="23">
        <f>'Annual Raw'!N19-'Annual Raw'!N20</f>
        <v>15.404199999999999</v>
      </c>
      <c r="N38" s="23">
        <f>'Annual Raw'!O19-'Annual Raw'!O20</f>
        <v>14.915800000000001</v>
      </c>
      <c r="O38" s="23">
        <f>'Annual Raw'!P19-'Annual Raw'!P20</f>
        <v>28.6309</v>
      </c>
      <c r="P38" s="23">
        <f>'Annual Raw'!Q19-'Annual Raw'!Q20</f>
        <v>44.361800000000002</v>
      </c>
      <c r="Q38" s="23">
        <f>'Annual Raw'!R19-'Annual Raw'!R20</f>
        <v>44.548699999999997</v>
      </c>
      <c r="R38" s="23">
        <f>'Annual Raw'!S19-'Annual Raw'!S20</f>
        <v>170.24</v>
      </c>
      <c r="S38" s="23">
        <f>'Annual Raw'!T19-'Annual Raw'!T20</f>
        <v>125.38</v>
      </c>
      <c r="T38" s="23">
        <f>'Annual Raw'!U19-'Annual Raw'!U20</f>
        <v>130.57</v>
      </c>
      <c r="U38" s="23">
        <f>'Annual Raw'!V19-'Annual Raw'!V20</f>
        <v>199.97</v>
      </c>
      <c r="V38" s="23">
        <f>'Annual Raw'!W19-'Annual Raw'!W20</f>
        <v>268.89</v>
      </c>
      <c r="W38" s="23">
        <f>'Annual Raw'!X19-'Annual Raw'!X20</f>
        <v>218.11</v>
      </c>
      <c r="X38" s="23">
        <f>'Annual Raw'!Y19-'Annual Raw'!Y20</f>
        <v>222.46</v>
      </c>
      <c r="Y38" s="23">
        <f>'Annual Raw'!Z19-'Annual Raw'!Z20</f>
        <v>548.16999999999996</v>
      </c>
      <c r="Z38" s="23">
        <f>'Annual Raw'!AA19-'Annual Raw'!AA20</f>
        <v>242.34</v>
      </c>
      <c r="AA38" s="23">
        <f>'Annual Raw'!AB19-'Annual Raw'!AB20</f>
        <v>191.46</v>
      </c>
      <c r="AB38" s="76">
        <f t="shared" si="342"/>
        <v>0</v>
      </c>
      <c r="AC38" s="76">
        <f t="shared" si="343"/>
        <v>0</v>
      </c>
      <c r="AD38" s="76">
        <f t="shared" si="344"/>
        <v>0</v>
      </c>
      <c r="AE38" s="76">
        <f t="shared" si="345"/>
        <v>0</v>
      </c>
      <c r="AI38" s="23">
        <f>+'QTR Raw'!C21</f>
        <v>0</v>
      </c>
      <c r="AJ38" s="23">
        <f>+'QTR Raw'!D21</f>
        <v>0</v>
      </c>
      <c r="AK38" s="23">
        <f>+'QTR Raw'!E21</f>
        <v>0</v>
      </c>
      <c r="AL38" s="23">
        <f>+'QTR Raw'!F21</f>
        <v>0</v>
      </c>
      <c r="AM38" s="23">
        <f>+'QTR Raw'!G21</f>
        <v>0</v>
      </c>
      <c r="AN38" s="23">
        <f>+'QTR Raw'!H21</f>
        <v>0</v>
      </c>
      <c r="AO38" s="23">
        <f>+'QTR Raw'!I21</f>
        <v>0</v>
      </c>
      <c r="AP38" s="23">
        <f>+'QTR Raw'!J21</f>
        <v>0</v>
      </c>
      <c r="AQ38" s="23">
        <f>+'QTR Raw'!K21</f>
        <v>0</v>
      </c>
      <c r="AR38" s="23">
        <f>+'QTR Raw'!L21</f>
        <v>0</v>
      </c>
      <c r="AS38" s="23">
        <f>+'QTR Raw'!M21</f>
        <v>0</v>
      </c>
      <c r="AT38" s="23">
        <f>+'QTR Raw'!N21</f>
        <v>0</v>
      </c>
      <c r="AU38" s="23">
        <f>+'QTR Raw'!O21</f>
        <v>0</v>
      </c>
      <c r="AV38" s="23">
        <f>+'QTR Raw'!P21</f>
        <v>0</v>
      </c>
      <c r="AW38" s="23">
        <f>+'QTR Raw'!Q21</f>
        <v>0</v>
      </c>
      <c r="AX38" s="23">
        <f>+'QTR Raw'!R21</f>
        <v>0</v>
      </c>
      <c r="AY38" s="23">
        <f>+'QTR Raw'!S21</f>
        <v>0</v>
      </c>
      <c r="AZ38" s="23">
        <f>+'QTR Raw'!T21</f>
        <v>0</v>
      </c>
      <c r="BA38" s="23">
        <f>+'QTR Raw'!U21</f>
        <v>0</v>
      </c>
      <c r="BB38" s="23">
        <f>+'QTR Raw'!V21</f>
        <v>0</v>
      </c>
      <c r="BC38" s="23">
        <f>+'QTR Raw'!W21</f>
        <v>0</v>
      </c>
      <c r="BD38" s="23">
        <f>+'QTR Raw'!X21</f>
        <v>0</v>
      </c>
      <c r="BE38" s="23">
        <f>+'QTR Raw'!Y21</f>
        <v>0</v>
      </c>
      <c r="BF38" s="23">
        <f>+'QTR Raw'!Z21</f>
        <v>0</v>
      </c>
      <c r="BG38" s="23">
        <f>+'QTR Raw'!AA21</f>
        <v>0</v>
      </c>
      <c r="BH38" s="23">
        <f>+'QTR Raw'!AB21</f>
        <v>0</v>
      </c>
      <c r="BI38" s="23">
        <f>+'QTR Raw'!AC21</f>
        <v>0</v>
      </c>
      <c r="BJ38" s="23">
        <f>+'QTR Raw'!AD21</f>
        <v>0</v>
      </c>
      <c r="BK38" s="23">
        <f>+'QTR Raw'!AE21</f>
        <v>0</v>
      </c>
      <c r="BL38" s="23">
        <f>+'QTR Raw'!AF21</f>
        <v>0</v>
      </c>
      <c r="BM38" s="23">
        <f>+'QTR Raw'!AG21</f>
        <v>0</v>
      </c>
      <c r="BN38" s="23">
        <f>+'QTR Raw'!AH21</f>
        <v>0</v>
      </c>
      <c r="BO38" s="23">
        <f>+'QTR Raw'!AI21</f>
        <v>0</v>
      </c>
      <c r="BP38" s="23">
        <f>+'QTR Raw'!AJ21</f>
        <v>0</v>
      </c>
      <c r="BQ38" s="23">
        <f>+'QTR Raw'!AK21</f>
        <v>0</v>
      </c>
      <c r="BR38" s="23">
        <f>+'QTR Raw'!AL21</f>
        <v>0</v>
      </c>
      <c r="BS38" s="23">
        <f>+'QTR Raw'!AM21</f>
        <v>0</v>
      </c>
      <c r="BT38" s="23">
        <f>+'QTR Raw'!AN21</f>
        <v>0</v>
      </c>
      <c r="BU38" s="23">
        <f>+'QTR Raw'!AO21</f>
        <v>0</v>
      </c>
      <c r="BV38" s="23">
        <f>+'QTR Raw'!AP21</f>
        <v>0</v>
      </c>
      <c r="BW38" s="23">
        <f>+'QTR Raw'!AQ21</f>
        <v>0</v>
      </c>
      <c r="BX38" s="23">
        <f>+'QTR Raw'!AR21</f>
        <v>0</v>
      </c>
      <c r="BY38" s="23">
        <f>+'QTR Raw'!AS21</f>
        <v>0</v>
      </c>
      <c r="BZ38" s="23">
        <f>+'QTR Raw'!AT21</f>
        <v>0</v>
      </c>
      <c r="CA38" s="23">
        <f>+'QTR Raw'!AU21</f>
        <v>0</v>
      </c>
      <c r="CB38" s="23">
        <f>+'QTR Raw'!AV21</f>
        <v>0</v>
      </c>
      <c r="CC38" s="23">
        <f>+'QTR Raw'!AW21</f>
        <v>0</v>
      </c>
      <c r="CD38" s="23">
        <f>+'QTR Raw'!AX21</f>
        <v>0</v>
      </c>
      <c r="CE38" s="23">
        <f>+'QTR Raw'!AY21</f>
        <v>0</v>
      </c>
      <c r="CF38" s="23">
        <f>+'QTR Raw'!AZ21</f>
        <v>0</v>
      </c>
      <c r="CG38" s="23">
        <f>+'QTR Raw'!BA21</f>
        <v>0</v>
      </c>
      <c r="CH38" s="23">
        <f>+'QTR Raw'!BB21</f>
        <v>0</v>
      </c>
      <c r="CI38" s="23">
        <f>+'QTR Raw'!BC21</f>
        <v>0</v>
      </c>
      <c r="CJ38" s="23">
        <f>+'QTR Raw'!BD21</f>
        <v>0</v>
      </c>
      <c r="CK38" s="23">
        <f>+'QTR Raw'!BE21</f>
        <v>0</v>
      </c>
      <c r="CL38" s="23">
        <f>+'QTR Raw'!BF21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9</v>
      </c>
      <c r="B39" s="23">
        <f>'Annual Raw'!C15+'Annual Raw'!C16</f>
        <v>7.5552999999999999</v>
      </c>
      <c r="C39" s="23">
        <f>'Annual Raw'!D15+'Annual Raw'!D16</f>
        <v>8.8409999999999993</v>
      </c>
      <c r="D39" s="23">
        <f>'Annual Raw'!E15+'Annual Raw'!E16</f>
        <v>7.32</v>
      </c>
      <c r="E39" s="23">
        <f>'Annual Raw'!F15+'Annual Raw'!F16</f>
        <v>7.5075000000000003</v>
      </c>
      <c r="F39" s="23">
        <f>'Annual Raw'!G15+'Annual Raw'!G16</f>
        <v>6.7282000000000002</v>
      </c>
      <c r="G39" s="23">
        <f>'Annual Raw'!H15+'Annual Raw'!H16</f>
        <v>7.0118</v>
      </c>
      <c r="H39" s="23">
        <f>'Annual Raw'!I15+'Annual Raw'!I16</f>
        <v>10.0716</v>
      </c>
      <c r="I39" s="23">
        <f>'Annual Raw'!J15+'Annual Raw'!J16</f>
        <v>12.8489</v>
      </c>
      <c r="J39" s="23">
        <f>'Annual Raw'!K15+'Annual Raw'!K16</f>
        <v>15.150499999999999</v>
      </c>
      <c r="K39" s="23">
        <f>'Annual Raw'!L15+'Annual Raw'!L16</f>
        <v>13.922499999999999</v>
      </c>
      <c r="L39" s="23">
        <f>'Annual Raw'!M15+'Annual Raw'!M16</f>
        <v>14.1816</v>
      </c>
      <c r="M39" s="23">
        <f>'Annual Raw'!N15+'Annual Raw'!N16</f>
        <v>13.3729</v>
      </c>
      <c r="N39" s="23">
        <f>'Annual Raw'!O15+'Annual Raw'!O16</f>
        <v>12.4313</v>
      </c>
      <c r="O39" s="23">
        <f>'Annual Raw'!P15+'Annual Raw'!P16</f>
        <v>12.8856</v>
      </c>
      <c r="P39" s="23">
        <f>'Annual Raw'!Q15+'Annual Raw'!Q16</f>
        <v>13.8933</v>
      </c>
      <c r="Q39" s="23">
        <f>'Annual Raw'!R15+'Annual Raw'!R16</f>
        <v>15.708299999999999</v>
      </c>
      <c r="R39" s="23">
        <f>'Annual Raw'!S15+'Annual Raw'!S16</f>
        <v>15.55</v>
      </c>
      <c r="S39" s="23">
        <f>'Annual Raw'!T15+'Annual Raw'!T16</f>
        <v>13.71</v>
      </c>
      <c r="T39" s="23">
        <f>'Annual Raw'!U15+'Annual Raw'!U16</f>
        <v>14.33</v>
      </c>
      <c r="U39" s="23">
        <f>'Annual Raw'!V15+'Annual Raw'!V16</f>
        <v>17.07</v>
      </c>
      <c r="V39" s="23">
        <f>'Annual Raw'!W15+'Annual Raw'!W16</f>
        <v>16.2</v>
      </c>
      <c r="W39" s="23">
        <f>'Annual Raw'!X15+'Annual Raw'!X16</f>
        <v>17.72</v>
      </c>
      <c r="X39" s="23">
        <f>'Annual Raw'!Y15+'Annual Raw'!Y16</f>
        <v>36.6</v>
      </c>
      <c r="Y39" s="23">
        <f>'Annual Raw'!Z15+'Annual Raw'!Z16</f>
        <v>51.66</v>
      </c>
      <c r="Z39" s="23">
        <f>'Annual Raw'!AA15+'Annual Raw'!AA16</f>
        <v>80</v>
      </c>
      <c r="AA39" s="23">
        <f>'Annual Raw'!AB15+'Annual Raw'!AB16</f>
        <v>117.42</v>
      </c>
      <c r="AB39" s="76">
        <f t="shared" si="342"/>
        <v>2089.7030938219282</v>
      </c>
      <c r="AC39" s="76">
        <f t="shared" si="343"/>
        <v>2404.2659480292987</v>
      </c>
      <c r="AD39" s="76">
        <f t="shared" si="344"/>
        <v>2847.4852684088846</v>
      </c>
      <c r="AE39" s="76">
        <f t="shared" si="345"/>
        <v>3364.9690229566563</v>
      </c>
      <c r="AI39" s="23">
        <f>'QTR Raw'!C14</f>
        <v>153.51</v>
      </c>
      <c r="AJ39" s="23">
        <f>'QTR Raw'!D14</f>
        <v>109.06</v>
      </c>
      <c r="AK39" s="23">
        <f>'QTR Raw'!E14</f>
        <v>99.76</v>
      </c>
      <c r="AL39" s="23">
        <f>'QTR Raw'!F14</f>
        <v>125.13</v>
      </c>
      <c r="AM39" s="23">
        <f>'QTR Raw'!G14</f>
        <v>164.53</v>
      </c>
      <c r="AN39" s="23">
        <f>'QTR Raw'!H14</f>
        <v>114.47</v>
      </c>
      <c r="AO39" s="23">
        <f>'QTR Raw'!I14</f>
        <v>132.71</v>
      </c>
      <c r="AP39" s="23">
        <f>'QTR Raw'!J14</f>
        <v>139.78</v>
      </c>
      <c r="AQ39" s="23">
        <f>'QTR Raw'!K14</f>
        <v>189.85</v>
      </c>
      <c r="AR39" s="23">
        <f>'QTR Raw'!L14</f>
        <v>121.24</v>
      </c>
      <c r="AS39" s="23">
        <f>'QTR Raw'!M14</f>
        <v>111.49</v>
      </c>
      <c r="AT39" s="23">
        <f>'QTR Raw'!N14</f>
        <v>163.1</v>
      </c>
      <c r="AU39" s="23">
        <f>'QTR Raw'!O14</f>
        <v>152.58000000000001</v>
      </c>
      <c r="AV39" s="23">
        <f>'QTR Raw'!P14</f>
        <v>113.74</v>
      </c>
      <c r="AW39" s="23">
        <f>'QTR Raw'!Q14</f>
        <v>138.54</v>
      </c>
      <c r="AX39" s="23">
        <f>'QTR Raw'!R14</f>
        <v>159.71</v>
      </c>
      <c r="AY39" s="23">
        <f>'QTR Raw'!S14</f>
        <v>170.69</v>
      </c>
      <c r="AZ39" s="23">
        <f>'QTR Raw'!T14</f>
        <v>123.04</v>
      </c>
      <c r="BA39" s="23">
        <f>'QTR Raw'!U14</f>
        <v>126.15</v>
      </c>
      <c r="BB39" s="23">
        <f>'QTR Raw'!V14</f>
        <v>180.26</v>
      </c>
      <c r="BC39" s="23">
        <f>'QTR Raw'!W14</f>
        <v>193.83</v>
      </c>
      <c r="BD39" s="23">
        <f>'QTR Raw'!X14</f>
        <v>100.28</v>
      </c>
      <c r="BE39" s="23">
        <f>'QTR Raw'!Y14</f>
        <v>142.72</v>
      </c>
      <c r="BF39" s="23">
        <f>'QTR Raw'!Z14</f>
        <v>150.66</v>
      </c>
      <c r="BG39" s="23">
        <f>'QTR Raw'!AA14</f>
        <v>199.18</v>
      </c>
      <c r="BH39" s="23">
        <f>'QTR Raw'!AB14</f>
        <v>110.54</v>
      </c>
      <c r="BI39" s="23">
        <f>'QTR Raw'!AC14</f>
        <v>125.4</v>
      </c>
      <c r="BJ39" s="23">
        <f>'QTR Raw'!AD14</f>
        <v>173.15</v>
      </c>
      <c r="BK39" s="23">
        <f>'QTR Raw'!AE14</f>
        <v>219.43</v>
      </c>
      <c r="BL39" s="23">
        <f>'QTR Raw'!AF14</f>
        <v>140.41</v>
      </c>
      <c r="BM39" s="23">
        <f>'QTR Raw'!AG14</f>
        <v>156.11000000000001</v>
      </c>
      <c r="BN39" s="23">
        <f>'QTR Raw'!AH14</f>
        <v>228.81</v>
      </c>
      <c r="BO39" s="23">
        <f>'QTR Raw'!AI14</f>
        <v>164.55</v>
      </c>
      <c r="BP39" s="23">
        <f>'QTR Raw'!AJ14</f>
        <v>178.73</v>
      </c>
      <c r="BQ39" s="23">
        <f>'QTR Raw'!AK14</f>
        <v>189.89</v>
      </c>
      <c r="BR39" s="23">
        <f>'QTR Raw'!AL14</f>
        <v>201.11</v>
      </c>
      <c r="BS39" s="23">
        <f>'QTR Raw'!AM14</f>
        <v>214.33</v>
      </c>
      <c r="BT39" s="23">
        <f>'QTR Raw'!AN14</f>
        <v>165.47</v>
      </c>
      <c r="BU39" s="23">
        <f>'QTR Raw'!AO14</f>
        <v>172</v>
      </c>
      <c r="BV39" s="23">
        <f>'QTR Raw'!AP14</f>
        <v>186.82</v>
      </c>
      <c r="BW39" s="23">
        <f>'QTR Raw'!AQ14</f>
        <v>241.25</v>
      </c>
      <c r="BX39" s="23">
        <f>'QTR Raw'!AR14</f>
        <v>155.24</v>
      </c>
      <c r="BY39" s="23">
        <f>'QTR Raw'!AS14</f>
        <v>231.9</v>
      </c>
      <c r="BZ39" s="23">
        <f>'QTR Raw'!AT14</f>
        <v>252.62</v>
      </c>
      <c r="CA39" s="23">
        <f>'QTR Raw'!AU14</f>
        <v>343.64</v>
      </c>
      <c r="CB39" s="23">
        <f>'QTR Raw'!AV14</f>
        <v>297.51</v>
      </c>
      <c r="CC39" s="23">
        <f>'QTR Raw'!AW14</f>
        <v>332.21</v>
      </c>
      <c r="CD39" s="23">
        <f>'QTR Raw'!AX14</f>
        <v>440.43</v>
      </c>
      <c r="CE39" s="23">
        <f>'QTR Raw'!AY14</f>
        <v>402.72</v>
      </c>
      <c r="CF39" s="23">
        <f>'QTR Raw'!AZ14</f>
        <v>276.63</v>
      </c>
      <c r="CG39" s="23">
        <f>'QTR Raw'!BA14</f>
        <v>295.89999999999998</v>
      </c>
      <c r="CH39" s="23">
        <f>'QTR Raw'!BB14</f>
        <v>470.91</v>
      </c>
      <c r="CI39" s="23">
        <f>'QTR Raw'!BC14</f>
        <v>449.95</v>
      </c>
      <c r="CJ39" s="23">
        <f>'QTR Raw'!BD14</f>
        <v>271.69</v>
      </c>
      <c r="CK39" s="23">
        <f>'QTR Raw'!BE14</f>
        <v>324.66000000000003</v>
      </c>
      <c r="CL39" s="23">
        <f>'QTR Raw'!BF14</f>
        <v>542.92999999999995</v>
      </c>
      <c r="CM39" s="24">
        <f t="shared" ref="CM39:DB39" si="347">CM42-CM36-CM37-CM38-CM40-CM41</f>
        <v>621.03380317377344</v>
      </c>
      <c r="CN39" s="24">
        <f t="shared" si="347"/>
        <v>267.16339964778274</v>
      </c>
      <c r="CO39" s="24">
        <f t="shared" si="347"/>
        <v>416.51384621969015</v>
      </c>
      <c r="CP39" s="24">
        <f t="shared" si="347"/>
        <v>784.99204478068191</v>
      </c>
      <c r="CQ39" s="24">
        <f t="shared" si="347"/>
        <v>703.19574150888207</v>
      </c>
      <c r="CR39" s="24">
        <f t="shared" si="347"/>
        <v>302.08067330885484</v>
      </c>
      <c r="CS39" s="24">
        <f t="shared" si="347"/>
        <v>490.25071759502634</v>
      </c>
      <c r="CT39" s="24">
        <f t="shared" si="347"/>
        <v>908.7388156165357</v>
      </c>
      <c r="CU39" s="24">
        <f t="shared" si="347"/>
        <v>824.86073754542008</v>
      </c>
      <c r="CV39" s="24">
        <f t="shared" si="347"/>
        <v>364.22205660545347</v>
      </c>
      <c r="CW39" s="24">
        <f t="shared" si="347"/>
        <v>585.41759892362188</v>
      </c>
      <c r="CX39" s="24">
        <f t="shared" si="347"/>
        <v>1072.984875334389</v>
      </c>
      <c r="CY39" s="24">
        <f t="shared" si="347"/>
        <v>968.95571647703014</v>
      </c>
      <c r="CZ39" s="24">
        <f t="shared" si="347"/>
        <v>441.63742694873628</v>
      </c>
      <c r="DA39" s="24">
        <f t="shared" si="347"/>
        <v>695.88005831870623</v>
      </c>
      <c r="DB39" s="24">
        <f t="shared" si="347"/>
        <v>1258.4958212121837</v>
      </c>
      <c r="DE39" s="123"/>
      <c r="DF39" s="23">
        <v>669.67049165055391</v>
      </c>
    </row>
    <row r="40" spans="1:110" s="23" customFormat="1" outlineLevel="1" x14ac:dyDescent="0.2">
      <c r="A40" s="23" t="s">
        <v>7</v>
      </c>
      <c r="B40" s="23">
        <f>'Annual Raw'!C13</f>
        <v>6.6359000000000004</v>
      </c>
      <c r="C40" s="23">
        <f>'Annual Raw'!D13</f>
        <v>5.8440000000000003</v>
      </c>
      <c r="D40" s="23">
        <f>'Annual Raw'!E13</f>
        <v>5.1779000000000002</v>
      </c>
      <c r="E40" s="23">
        <f>'Annual Raw'!F13</f>
        <v>4.9363999999999999</v>
      </c>
      <c r="F40" s="23">
        <f>'Annual Raw'!G13</f>
        <v>4.3907999999999996</v>
      </c>
      <c r="G40" s="23">
        <f>'Annual Raw'!H13</f>
        <v>4.1447000000000003</v>
      </c>
      <c r="H40" s="23">
        <f>'Annual Raw'!I13</f>
        <v>4.258</v>
      </c>
      <c r="I40" s="23">
        <f>'Annual Raw'!J13</f>
        <v>4.0643000000000002</v>
      </c>
      <c r="J40" s="23">
        <f>'Annual Raw'!K13</f>
        <v>3.7930999999999999</v>
      </c>
      <c r="K40" s="23">
        <f>'Annual Raw'!L13</f>
        <v>3.5769000000000002</v>
      </c>
      <c r="L40" s="23">
        <f>'Annual Raw'!M13</f>
        <v>4.3343999999999996</v>
      </c>
      <c r="M40" s="23">
        <f>'Annual Raw'!N13</f>
        <v>4.5308000000000002</v>
      </c>
      <c r="N40" s="23">
        <f>'Annual Raw'!O13</f>
        <v>5.3045</v>
      </c>
      <c r="O40" s="23">
        <f>'Annual Raw'!P13</f>
        <v>6.6555</v>
      </c>
      <c r="P40" s="23">
        <f>'Annual Raw'!Q13</f>
        <v>5.7808000000000002</v>
      </c>
      <c r="Q40" s="23">
        <f>'Annual Raw'!R13</f>
        <v>7.4550999999999998</v>
      </c>
      <c r="R40" s="23">
        <f>'Annual Raw'!S13</f>
        <v>14.51</v>
      </c>
      <c r="S40" s="23">
        <f>'Annual Raw'!T13</f>
        <v>10.39</v>
      </c>
      <c r="T40" s="23">
        <f>'Annual Raw'!U13</f>
        <v>11.22</v>
      </c>
      <c r="U40" s="23">
        <f>'Annual Raw'!V13</f>
        <v>12.79</v>
      </c>
      <c r="V40" s="23">
        <f>'Annual Raw'!W13</f>
        <v>9.69</v>
      </c>
      <c r="W40" s="23">
        <f>'Annual Raw'!X13</f>
        <v>11.95</v>
      </c>
      <c r="X40" s="23">
        <f>'Annual Raw'!Y13</f>
        <v>15.16</v>
      </c>
      <c r="Y40" s="23">
        <f>'Annual Raw'!Z13</f>
        <v>17.28</v>
      </c>
      <c r="Z40" s="23">
        <f>'Annual Raw'!AA13</f>
        <v>25.61</v>
      </c>
      <c r="AA40" s="23">
        <f>'Annual Raw'!AB13</f>
        <v>30.29</v>
      </c>
      <c r="AB40" s="76">
        <f t="shared" si="342"/>
        <v>0</v>
      </c>
      <c r="AC40" s="76">
        <f t="shared" si="343"/>
        <v>0</v>
      </c>
      <c r="AD40" s="76">
        <f t="shared" si="344"/>
        <v>0</v>
      </c>
      <c r="AE40" s="76">
        <f t="shared" si="345"/>
        <v>0</v>
      </c>
      <c r="AI40" s="23">
        <f>'QTR Raw'!C15</f>
        <v>0</v>
      </c>
      <c r="AJ40" s="23">
        <f>'QTR Raw'!D15</f>
        <v>0</v>
      </c>
      <c r="AK40" s="23">
        <f>'QTR Raw'!E15</f>
        <v>0</v>
      </c>
      <c r="AL40" s="23">
        <f>'QTR Raw'!F15</f>
        <v>0</v>
      </c>
      <c r="AM40" s="23">
        <f>'QTR Raw'!G15</f>
        <v>0</v>
      </c>
      <c r="AN40" s="23">
        <f>'QTR Raw'!H15</f>
        <v>0</v>
      </c>
      <c r="AO40" s="23">
        <f>'QTR Raw'!I15</f>
        <v>0</v>
      </c>
      <c r="AP40" s="23">
        <f>'QTR Raw'!J15</f>
        <v>0</v>
      </c>
      <c r="AQ40" s="23">
        <f>'QTR Raw'!K15</f>
        <v>0</v>
      </c>
      <c r="AR40" s="23">
        <f>'QTR Raw'!L15</f>
        <v>0</v>
      </c>
      <c r="AS40" s="23">
        <f>'QTR Raw'!M15</f>
        <v>0</v>
      </c>
      <c r="AT40" s="23">
        <f>'QTR Raw'!N15</f>
        <v>0</v>
      </c>
      <c r="AU40" s="23">
        <f>'QTR Raw'!O15</f>
        <v>0</v>
      </c>
      <c r="AV40" s="23">
        <f>'QTR Raw'!P15</f>
        <v>0</v>
      </c>
      <c r="AW40" s="23">
        <f>'QTR Raw'!Q15</f>
        <v>0</v>
      </c>
      <c r="AX40" s="23">
        <f>'QTR Raw'!R15</f>
        <v>0</v>
      </c>
      <c r="AY40" s="23">
        <f>'QTR Raw'!S15</f>
        <v>0</v>
      </c>
      <c r="AZ40" s="23">
        <f>'QTR Raw'!T15</f>
        <v>0</v>
      </c>
      <c r="BA40" s="23">
        <f>'QTR Raw'!U15</f>
        <v>0</v>
      </c>
      <c r="BB40" s="23">
        <f>'QTR Raw'!V15</f>
        <v>0</v>
      </c>
      <c r="BC40" s="23">
        <f>'QTR Raw'!W15</f>
        <v>0</v>
      </c>
      <c r="BD40" s="23">
        <f>'QTR Raw'!X15</f>
        <v>0</v>
      </c>
      <c r="BE40" s="23">
        <f>'QTR Raw'!Y15</f>
        <v>0</v>
      </c>
      <c r="BF40" s="23">
        <f>'QTR Raw'!Z15</f>
        <v>0</v>
      </c>
      <c r="BG40" s="23">
        <f>'QTR Raw'!AA15</f>
        <v>0</v>
      </c>
      <c r="BH40" s="23">
        <f>'QTR Raw'!AB15</f>
        <v>0</v>
      </c>
      <c r="BI40" s="23">
        <f>'QTR Raw'!AC15</f>
        <v>0</v>
      </c>
      <c r="BJ40" s="23">
        <f>'QTR Raw'!AD15</f>
        <v>0</v>
      </c>
      <c r="BK40" s="23">
        <f>'QTR Raw'!AE15</f>
        <v>0</v>
      </c>
      <c r="BL40" s="23">
        <f>'QTR Raw'!AF15</f>
        <v>0</v>
      </c>
      <c r="BM40" s="23">
        <f>'QTR Raw'!AG15</f>
        <v>0</v>
      </c>
      <c r="BN40" s="23">
        <f>'QTR Raw'!AH15</f>
        <v>0</v>
      </c>
      <c r="BO40" s="23">
        <f>'QTR Raw'!AI15</f>
        <v>0</v>
      </c>
      <c r="BP40" s="23">
        <f>'QTR Raw'!AJ15</f>
        <v>0</v>
      </c>
      <c r="BQ40" s="23">
        <f>'QTR Raw'!AK15</f>
        <v>0</v>
      </c>
      <c r="BR40" s="23">
        <f>'QTR Raw'!AL15</f>
        <v>0</v>
      </c>
      <c r="BS40" s="23">
        <f>'QTR Raw'!AM15</f>
        <v>0</v>
      </c>
      <c r="BT40" s="23">
        <f>'QTR Raw'!AN15</f>
        <v>0</v>
      </c>
      <c r="BU40" s="23">
        <f>'QTR Raw'!AO15</f>
        <v>0</v>
      </c>
      <c r="BV40" s="23">
        <f>'QTR Raw'!AP15</f>
        <v>0</v>
      </c>
      <c r="BW40" s="23">
        <f>'QTR Raw'!AQ15</f>
        <v>0</v>
      </c>
      <c r="BX40" s="23">
        <f>'QTR Raw'!AR15</f>
        <v>0</v>
      </c>
      <c r="BY40" s="23">
        <f>'QTR Raw'!AS15</f>
        <v>0</v>
      </c>
      <c r="BZ40" s="23">
        <f>'QTR Raw'!AT15</f>
        <v>0</v>
      </c>
      <c r="CA40" s="23">
        <f>'QTR Raw'!AU15</f>
        <v>0</v>
      </c>
      <c r="CB40" s="23">
        <f>'QTR Raw'!AV15</f>
        <v>0</v>
      </c>
      <c r="CC40" s="23">
        <f>'QTR Raw'!AW15</f>
        <v>0</v>
      </c>
      <c r="CD40" s="23">
        <f>'QTR Raw'!AX15</f>
        <v>0</v>
      </c>
      <c r="CE40" s="23">
        <f>'QTR Raw'!AY15</f>
        <v>0</v>
      </c>
      <c r="CF40" s="23">
        <f>'QTR Raw'!AZ15</f>
        <v>0</v>
      </c>
      <c r="CG40" s="23">
        <f>'QTR Raw'!BA15</f>
        <v>0</v>
      </c>
      <c r="CH40" s="23">
        <f>'QTR Raw'!BB15</f>
        <v>0</v>
      </c>
      <c r="CI40" s="23">
        <f>'QTR Raw'!BC15</f>
        <v>0</v>
      </c>
      <c r="CJ40" s="23">
        <f>'QTR Raw'!BD15</f>
        <v>0</v>
      </c>
      <c r="CK40" s="23">
        <f>'QTR Raw'!BE15</f>
        <v>0</v>
      </c>
      <c r="CL40" s="23">
        <f>'QTR Raw'!BF15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11</v>
      </c>
      <c r="B41" s="23">
        <f>'Annual Raw'!C18</f>
        <v>21.430199999999999</v>
      </c>
      <c r="C41" s="23">
        <f>'Annual Raw'!D18</f>
        <v>25.227599999999999</v>
      </c>
      <c r="D41" s="23">
        <f>'Annual Raw'!E18</f>
        <v>36.891399999999997</v>
      </c>
      <c r="E41" s="23">
        <f>'Annual Raw'!F18</f>
        <v>35.8005</v>
      </c>
      <c r="F41" s="23">
        <f>'Annual Raw'!G18</f>
        <v>33.265999999999998</v>
      </c>
      <c r="G41" s="23">
        <f>'Annual Raw'!H18</f>
        <v>37.953800000000001</v>
      </c>
      <c r="H41" s="23">
        <f>'Annual Raw'!I18</f>
        <v>46.844000000000001</v>
      </c>
      <c r="I41" s="23">
        <f>'Annual Raw'!J18</f>
        <v>75.739400000000003</v>
      </c>
      <c r="J41" s="23">
        <f>'Annual Raw'!K18</f>
        <v>83.074799999999996</v>
      </c>
      <c r="K41" s="23">
        <f>'Annual Raw'!L18</f>
        <v>118.72450000000001</v>
      </c>
      <c r="L41" s="23">
        <f>'Annual Raw'!M18</f>
        <v>89.787599999999998</v>
      </c>
      <c r="M41" s="23">
        <f>'Annual Raw'!N18</f>
        <v>80.055300000000003</v>
      </c>
      <c r="N41" s="23">
        <f>'Annual Raw'!O18</f>
        <v>91.110699999999994</v>
      </c>
      <c r="O41" s="23">
        <f>'Annual Raw'!P18</f>
        <v>113.4015</v>
      </c>
      <c r="P41" s="23">
        <f>'Annual Raw'!Q18</f>
        <v>106.0466</v>
      </c>
      <c r="Q41" s="23">
        <f>'Annual Raw'!R18</f>
        <v>149.7679</v>
      </c>
      <c r="R41" s="23">
        <f>'Annual Raw'!S18</f>
        <v>194.08</v>
      </c>
      <c r="S41" s="23">
        <f>'Annual Raw'!T18</f>
        <v>197.77</v>
      </c>
      <c r="T41" s="23">
        <f>'Annual Raw'!U18</f>
        <v>209.98</v>
      </c>
      <c r="U41" s="23">
        <f>'Annual Raw'!V18</f>
        <v>256.25</v>
      </c>
      <c r="V41" s="23">
        <f>'Annual Raw'!W18</f>
        <v>183.09</v>
      </c>
      <c r="W41" s="23">
        <f>'Annual Raw'!X18</f>
        <v>245.52</v>
      </c>
      <c r="X41" s="23">
        <f>'Annual Raw'!Y18</f>
        <v>303.98</v>
      </c>
      <c r="Y41" s="23">
        <f>'Annual Raw'!Z18</f>
        <v>366.6</v>
      </c>
      <c r="Z41" s="23">
        <f>'Annual Raw'!AA18</f>
        <v>527.03</v>
      </c>
      <c r="AA41" s="23">
        <f>'Annual Raw'!AB18</f>
        <v>620.72</v>
      </c>
      <c r="AB41" s="76">
        <f t="shared" si="342"/>
        <v>0</v>
      </c>
      <c r="AC41" s="76">
        <f t="shared" si="343"/>
        <v>0</v>
      </c>
      <c r="AD41" s="76">
        <f t="shared" si="344"/>
        <v>0</v>
      </c>
      <c r="AE41" s="76">
        <f t="shared" si="345"/>
        <v>0</v>
      </c>
      <c r="AI41" s="23">
        <f>'QTR Raw'!C18</f>
        <v>0</v>
      </c>
      <c r="AJ41" s="23">
        <f>'QTR Raw'!D18</f>
        <v>0</v>
      </c>
      <c r="AK41" s="23">
        <f>'QTR Raw'!E18</f>
        <v>0</v>
      </c>
      <c r="AL41" s="23">
        <f>'QTR Raw'!F18</f>
        <v>0</v>
      </c>
      <c r="AM41" s="23">
        <f>'QTR Raw'!G18</f>
        <v>0</v>
      </c>
      <c r="AN41" s="23">
        <f>'QTR Raw'!H18</f>
        <v>0</v>
      </c>
      <c r="AO41" s="23">
        <f>'QTR Raw'!I18</f>
        <v>0</v>
      </c>
      <c r="AP41" s="23">
        <f>'QTR Raw'!J18</f>
        <v>0</v>
      </c>
      <c r="AQ41" s="23">
        <f>'QTR Raw'!K18</f>
        <v>0</v>
      </c>
      <c r="AR41" s="23">
        <f>'QTR Raw'!L18</f>
        <v>0</v>
      </c>
      <c r="AS41" s="23">
        <f>'QTR Raw'!M18</f>
        <v>0</v>
      </c>
      <c r="AT41" s="23">
        <f>'QTR Raw'!N18</f>
        <v>0</v>
      </c>
      <c r="AU41" s="23">
        <f>'QTR Raw'!O18</f>
        <v>0</v>
      </c>
      <c r="AV41" s="23">
        <f>'QTR Raw'!P18</f>
        <v>0</v>
      </c>
      <c r="AW41" s="23">
        <f>'QTR Raw'!Q18</f>
        <v>0</v>
      </c>
      <c r="AX41" s="23">
        <f>'QTR Raw'!R18</f>
        <v>0</v>
      </c>
      <c r="AY41" s="23">
        <f>'QTR Raw'!S18</f>
        <v>0</v>
      </c>
      <c r="AZ41" s="23">
        <f>'QTR Raw'!T18</f>
        <v>0</v>
      </c>
      <c r="BA41" s="23">
        <f>'QTR Raw'!U18</f>
        <v>0</v>
      </c>
      <c r="BB41" s="23">
        <f>'QTR Raw'!V18</f>
        <v>0</v>
      </c>
      <c r="BC41" s="23">
        <f>'QTR Raw'!W18</f>
        <v>0</v>
      </c>
      <c r="BD41" s="23">
        <f>'QTR Raw'!X18</f>
        <v>0</v>
      </c>
      <c r="BE41" s="23">
        <f>'QTR Raw'!Y18</f>
        <v>0</v>
      </c>
      <c r="BF41" s="23">
        <f>'QTR Raw'!Z18</f>
        <v>0</v>
      </c>
      <c r="BG41" s="23">
        <f>'QTR Raw'!AA18</f>
        <v>0</v>
      </c>
      <c r="BH41" s="23">
        <f>'QTR Raw'!AB18</f>
        <v>0</v>
      </c>
      <c r="BI41" s="23">
        <f>'QTR Raw'!AC18</f>
        <v>0</v>
      </c>
      <c r="BJ41" s="23">
        <f>'QTR Raw'!AD18</f>
        <v>0</v>
      </c>
      <c r="BK41" s="23">
        <f>'QTR Raw'!AE18</f>
        <v>0</v>
      </c>
      <c r="BL41" s="23">
        <f>'QTR Raw'!AF18</f>
        <v>0</v>
      </c>
      <c r="BM41" s="23">
        <f>'QTR Raw'!AG18</f>
        <v>0</v>
      </c>
      <c r="BN41" s="23">
        <f>'QTR Raw'!AH18</f>
        <v>0</v>
      </c>
      <c r="BO41" s="23">
        <f>'QTR Raw'!AI18</f>
        <v>0</v>
      </c>
      <c r="BP41" s="23">
        <f>'QTR Raw'!AJ18</f>
        <v>0</v>
      </c>
      <c r="BQ41" s="23">
        <f>'QTR Raw'!AK18</f>
        <v>0</v>
      </c>
      <c r="BR41" s="23">
        <f>'QTR Raw'!AL18</f>
        <v>0</v>
      </c>
      <c r="BS41" s="23">
        <f>'QTR Raw'!AM18</f>
        <v>0</v>
      </c>
      <c r="BT41" s="23">
        <f>'QTR Raw'!AN18</f>
        <v>0</v>
      </c>
      <c r="BU41" s="23">
        <f>'QTR Raw'!AO18</f>
        <v>0</v>
      </c>
      <c r="BV41" s="23">
        <f>'QTR Raw'!AP18</f>
        <v>0</v>
      </c>
      <c r="BW41" s="23">
        <f>'QTR Raw'!AQ18</f>
        <v>0</v>
      </c>
      <c r="BX41" s="23">
        <f>'QTR Raw'!AR18</f>
        <v>0</v>
      </c>
      <c r="BY41" s="23">
        <f>'QTR Raw'!AS18</f>
        <v>0</v>
      </c>
      <c r="BZ41" s="23">
        <f>'QTR Raw'!AT18</f>
        <v>0</v>
      </c>
      <c r="CA41" s="23">
        <f>'QTR Raw'!AU18</f>
        <v>0</v>
      </c>
      <c r="CB41" s="23">
        <f>'QTR Raw'!AV18</f>
        <v>0</v>
      </c>
      <c r="CC41" s="23">
        <f>'QTR Raw'!AW18</f>
        <v>0</v>
      </c>
      <c r="CD41" s="23">
        <f>'QTR Raw'!AX18</f>
        <v>0</v>
      </c>
      <c r="CE41" s="23">
        <f>'QTR Raw'!AY18</f>
        <v>0</v>
      </c>
      <c r="CF41" s="23">
        <f>'QTR Raw'!AZ18</f>
        <v>0</v>
      </c>
      <c r="CG41" s="23">
        <f>'QTR Raw'!BA18</f>
        <v>0</v>
      </c>
      <c r="CH41" s="23">
        <f>'QTR Raw'!BB18</f>
        <v>0</v>
      </c>
      <c r="CI41" s="23">
        <f>'QTR Raw'!BC18</f>
        <v>0</v>
      </c>
      <c r="CJ41" s="23">
        <f>'QTR Raw'!BD18</f>
        <v>0</v>
      </c>
      <c r="CK41" s="23">
        <f>'QTR Raw'!BE18</f>
        <v>0</v>
      </c>
      <c r="CL41" s="23">
        <f>'QTR Raw'!BF18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2" customFormat="1" x14ac:dyDescent="0.2">
      <c r="A42" s="33" t="s">
        <v>348</v>
      </c>
      <c r="B42" s="22">
        <f t="shared" ref="B42:E42" si="348">+SUM(B36:B41)</f>
        <v>74.837400000000017</v>
      </c>
      <c r="C42" s="22">
        <f t="shared" si="348"/>
        <v>180.29480000000001</v>
      </c>
      <c r="D42" s="22">
        <f t="shared" si="348"/>
        <v>206.17749999999998</v>
      </c>
      <c r="E42" s="22">
        <f t="shared" si="348"/>
        <v>316.71039999999999</v>
      </c>
      <c r="F42" s="22">
        <f t="shared" ref="F42:AE42" si="349">+SUM(F36:F41)</f>
        <v>336.18880000000007</v>
      </c>
      <c r="G42" s="22">
        <f t="shared" si="349"/>
        <v>385.76730000000003</v>
      </c>
      <c r="H42" s="22">
        <f t="shared" si="349"/>
        <v>520.51179999999999</v>
      </c>
      <c r="I42" s="22">
        <f t="shared" si="349"/>
        <v>611.51660000000004</v>
      </c>
      <c r="J42" s="22">
        <f t="shared" si="349"/>
        <v>874.31229999999994</v>
      </c>
      <c r="K42" s="22">
        <f t="shared" si="349"/>
        <v>1020.0829</v>
      </c>
      <c r="L42" s="22">
        <f t="shared" si="349"/>
        <v>1055.6336999999999</v>
      </c>
      <c r="M42" s="22">
        <f t="shared" si="349"/>
        <v>1069.3074999999999</v>
      </c>
      <c r="N42" s="22">
        <f t="shared" si="349"/>
        <v>1125.9245999999998</v>
      </c>
      <c r="O42" s="22">
        <f t="shared" si="349"/>
        <v>1146.1751999999999</v>
      </c>
      <c r="P42" s="22">
        <f t="shared" si="349"/>
        <v>1175.6023999999998</v>
      </c>
      <c r="Q42" s="22">
        <f t="shared" si="349"/>
        <v>1199.6994999999999</v>
      </c>
      <c r="R42" s="22">
        <f t="shared" si="349"/>
        <v>1230.02</v>
      </c>
      <c r="S42" s="22">
        <f t="shared" si="349"/>
        <v>1185.21</v>
      </c>
      <c r="T42" s="22">
        <f t="shared" si="349"/>
        <v>1261.3</v>
      </c>
      <c r="U42" s="22">
        <f t="shared" si="349"/>
        <v>1417.1899999999998</v>
      </c>
      <c r="V42" s="22">
        <f t="shared" si="349"/>
        <v>1335.96</v>
      </c>
      <c r="W42" s="22">
        <f t="shared" si="349"/>
        <v>1356.2400000000002</v>
      </c>
      <c r="X42" s="22">
        <f t="shared" si="349"/>
        <v>1548.22</v>
      </c>
      <c r="Y42" s="22">
        <f t="shared" si="349"/>
        <v>2194.29</v>
      </c>
      <c r="Z42" s="22">
        <f t="shared" ref="Z42:AA42" si="350">+SUM(Z36:Z41)</f>
        <v>2336.2199999999998</v>
      </c>
      <c r="AA42" s="22">
        <f t="shared" si="350"/>
        <v>2572.62</v>
      </c>
      <c r="AB42" s="21">
        <f t="shared" si="349"/>
        <v>3093.9943938219285</v>
      </c>
      <c r="AC42" s="21">
        <f t="shared" si="349"/>
        <v>3478.8576390292988</v>
      </c>
      <c r="AD42" s="21">
        <f t="shared" si="349"/>
        <v>3997.298377778885</v>
      </c>
      <c r="AE42" s="21">
        <f t="shared" si="349"/>
        <v>4595.2690499825567</v>
      </c>
      <c r="AI42" s="22">
        <f t="shared" ref="AI42:BN42" si="351">+SUM(AI36:AI41)</f>
        <v>318</v>
      </c>
      <c r="AJ42" s="22">
        <f t="shared" si="351"/>
        <v>272.05</v>
      </c>
      <c r="AK42" s="22">
        <f t="shared" si="351"/>
        <v>247.01999999999998</v>
      </c>
      <c r="AL42" s="22">
        <f t="shared" si="351"/>
        <v>282.91999999999996</v>
      </c>
      <c r="AM42" s="22">
        <f t="shared" si="351"/>
        <v>329.39</v>
      </c>
      <c r="AN42" s="22">
        <f t="shared" si="351"/>
        <v>267.12</v>
      </c>
      <c r="AO42" s="22">
        <f t="shared" si="351"/>
        <v>279.18</v>
      </c>
      <c r="AP42" s="22">
        <f t="shared" si="351"/>
        <v>270.49</v>
      </c>
      <c r="AQ42" s="22">
        <f t="shared" si="351"/>
        <v>340.13</v>
      </c>
      <c r="AR42" s="22">
        <f t="shared" si="351"/>
        <v>264.8</v>
      </c>
      <c r="AS42" s="22">
        <f t="shared" si="351"/>
        <v>255.73000000000002</v>
      </c>
      <c r="AT42" s="22">
        <f t="shared" si="351"/>
        <v>314.94</v>
      </c>
      <c r="AU42" s="22">
        <f t="shared" si="351"/>
        <v>301.58000000000004</v>
      </c>
      <c r="AV42" s="22">
        <f t="shared" si="351"/>
        <v>264.81</v>
      </c>
      <c r="AW42" s="22">
        <f t="shared" si="351"/>
        <v>299.57</v>
      </c>
      <c r="AX42" s="22">
        <f t="shared" si="351"/>
        <v>333.75</v>
      </c>
      <c r="AY42" s="22">
        <f t="shared" si="351"/>
        <v>333.45</v>
      </c>
      <c r="AZ42" s="22">
        <f t="shared" si="351"/>
        <v>282.41000000000003</v>
      </c>
      <c r="BA42" s="22">
        <f t="shared" si="351"/>
        <v>273.98</v>
      </c>
      <c r="BB42" s="22">
        <f t="shared" si="351"/>
        <v>328.73</v>
      </c>
      <c r="BC42" s="22">
        <f t="shared" si="351"/>
        <v>341.62</v>
      </c>
      <c r="BD42" s="22">
        <f t="shared" si="351"/>
        <v>245.54</v>
      </c>
      <c r="BE42" s="22">
        <f t="shared" si="351"/>
        <v>292.98</v>
      </c>
      <c r="BF42" s="22">
        <f t="shared" si="351"/>
        <v>294.08</v>
      </c>
      <c r="BG42" s="22">
        <f t="shared" si="351"/>
        <v>342.26</v>
      </c>
      <c r="BH42" s="22">
        <f t="shared" si="351"/>
        <v>282.84000000000003</v>
      </c>
      <c r="BI42" s="22">
        <f t="shared" si="351"/>
        <v>285.51</v>
      </c>
      <c r="BJ42" s="22">
        <f t="shared" si="351"/>
        <v>339.52</v>
      </c>
      <c r="BK42" s="22">
        <f t="shared" si="351"/>
        <v>382.62</v>
      </c>
      <c r="BL42" s="22">
        <f t="shared" si="351"/>
        <v>298.01</v>
      </c>
      <c r="BM42" s="22">
        <f t="shared" si="351"/>
        <v>329.47</v>
      </c>
      <c r="BN42" s="22">
        <f t="shared" si="351"/>
        <v>406.38</v>
      </c>
      <c r="BO42" s="22">
        <f t="shared" ref="BO42:CH42" si="352">+SUM(BO36:BO41)</f>
        <v>321.96000000000004</v>
      </c>
      <c r="BP42" s="22">
        <f t="shared" si="352"/>
        <v>321.95</v>
      </c>
      <c r="BQ42" s="22">
        <f t="shared" si="352"/>
        <v>344.63</v>
      </c>
      <c r="BR42" s="22">
        <f t="shared" si="352"/>
        <v>347.42</v>
      </c>
      <c r="BS42" s="22">
        <f t="shared" si="352"/>
        <v>361.77</v>
      </c>
      <c r="BT42" s="22">
        <f t="shared" si="352"/>
        <v>319.41999999999996</v>
      </c>
      <c r="BU42" s="22">
        <f t="shared" si="352"/>
        <v>328.24</v>
      </c>
      <c r="BV42" s="22">
        <f t="shared" si="352"/>
        <v>346.81</v>
      </c>
      <c r="BW42" s="22">
        <f t="shared" si="352"/>
        <v>391.73</v>
      </c>
      <c r="BX42" s="22">
        <f t="shared" si="352"/>
        <v>329.99</v>
      </c>
      <c r="BY42" s="22">
        <f t="shared" si="352"/>
        <v>406.06</v>
      </c>
      <c r="BZ42" s="22">
        <f t="shared" si="352"/>
        <v>420.44</v>
      </c>
      <c r="CA42" s="22">
        <f t="shared" si="352"/>
        <v>524.14</v>
      </c>
      <c r="CB42" s="22">
        <f t="shared" si="352"/>
        <v>491.98</v>
      </c>
      <c r="CC42" s="22">
        <f t="shared" si="352"/>
        <v>536.81999999999994</v>
      </c>
      <c r="CD42" s="22">
        <f t="shared" si="352"/>
        <v>639.61</v>
      </c>
      <c r="CE42" s="22">
        <f t="shared" si="352"/>
        <v>604.99</v>
      </c>
      <c r="CF42" s="22">
        <f t="shared" si="352"/>
        <v>514.79</v>
      </c>
      <c r="CG42" s="22">
        <f t="shared" si="352"/>
        <v>527.04</v>
      </c>
      <c r="CH42" s="22">
        <f t="shared" si="352"/>
        <v>689.41000000000008</v>
      </c>
      <c r="CI42" s="22">
        <f t="shared" ref="CI42:CJ42" si="353">+SUM(CI36:CI41)</f>
        <v>680.46</v>
      </c>
      <c r="CJ42" s="22">
        <f t="shared" si="353"/>
        <v>512.45000000000005</v>
      </c>
      <c r="CK42" s="22">
        <f t="shared" ref="CK42:CL42" si="354">+SUM(CK36:CK41)</f>
        <v>549.29999999999995</v>
      </c>
      <c r="CL42" s="22">
        <f t="shared" si="354"/>
        <v>785.6099999999999</v>
      </c>
      <c r="CM42" s="21">
        <f t="shared" ref="CM42:DB42" si="355">CM43*CM26</f>
        <v>867.67950317377347</v>
      </c>
      <c r="CN42" s="21">
        <f t="shared" si="355"/>
        <v>524.77659964778275</v>
      </c>
      <c r="CO42" s="21">
        <f t="shared" si="355"/>
        <v>656.87864621969015</v>
      </c>
      <c r="CP42" s="21">
        <f t="shared" si="355"/>
        <v>1044.6596447806819</v>
      </c>
      <c r="CQ42" s="21">
        <f t="shared" si="355"/>
        <v>967.10664050888215</v>
      </c>
      <c r="CR42" s="21">
        <f t="shared" si="355"/>
        <v>577.72679730885488</v>
      </c>
      <c r="CS42" s="21">
        <f t="shared" si="355"/>
        <v>747.44105359502635</v>
      </c>
      <c r="CT42" s="21">
        <f t="shared" si="355"/>
        <v>1186.5831476165358</v>
      </c>
      <c r="CU42" s="21">
        <f t="shared" si="355"/>
        <v>1107.2453994754201</v>
      </c>
      <c r="CV42" s="21">
        <f t="shared" si="355"/>
        <v>659.16340928545355</v>
      </c>
      <c r="CW42" s="21">
        <f t="shared" si="355"/>
        <v>860.61125844362198</v>
      </c>
      <c r="CX42" s="21">
        <f t="shared" si="355"/>
        <v>1370.278310574389</v>
      </c>
      <c r="CY42" s="21">
        <f t="shared" si="355"/>
        <v>1271.1073047421303</v>
      </c>
      <c r="CZ42" s="21">
        <f t="shared" si="355"/>
        <v>757.2246743163364</v>
      </c>
      <c r="DA42" s="21">
        <f t="shared" si="355"/>
        <v>990.33727400510622</v>
      </c>
      <c r="DB42" s="21">
        <f t="shared" si="355"/>
        <v>1576.5997969189839</v>
      </c>
      <c r="DE42" s="126"/>
      <c r="DF42" s="22">
        <v>903.46549165055387</v>
      </c>
    </row>
    <row r="43" spans="1:110" s="44" customFormat="1" x14ac:dyDescent="0.2">
      <c r="A43" s="43" t="s">
        <v>349</v>
      </c>
      <c r="B43" s="44">
        <f t="shared" ref="B43:E43" si="356">B42/B26</f>
        <v>9.7883861550474613E-2</v>
      </c>
      <c r="C43" s="44">
        <f t="shared" si="356"/>
        <v>0.20461064750526695</v>
      </c>
      <c r="D43" s="44">
        <f t="shared" si="356"/>
        <v>0.16421387567525589</v>
      </c>
      <c r="E43" s="44">
        <f t="shared" si="356"/>
        <v>0.2328832395458198</v>
      </c>
      <c r="F43" s="44">
        <f t="shared" ref="F43:AE43" si="357">F42/F26</f>
        <v>0.22760556118081532</v>
      </c>
      <c r="G43" s="44">
        <f t="shared" si="357"/>
        <v>0.19738024839068763</v>
      </c>
      <c r="H43" s="44">
        <f t="shared" si="357"/>
        <v>0.20600157436250785</v>
      </c>
      <c r="I43" s="44">
        <f t="shared" si="357"/>
        <v>0.19092431931083531</v>
      </c>
      <c r="J43" s="44">
        <f t="shared" si="357"/>
        <v>0.20211117793860039</v>
      </c>
      <c r="K43" s="44">
        <f t="shared" si="357"/>
        <v>0.21441720831513822</v>
      </c>
      <c r="L43" s="44">
        <f t="shared" si="357"/>
        <v>0.20334364016644518</v>
      </c>
      <c r="M43" s="44">
        <f t="shared" si="357"/>
        <v>0.206201672846342</v>
      </c>
      <c r="N43" s="44">
        <f t="shared" si="357"/>
        <v>0.2035676590760436</v>
      </c>
      <c r="O43" s="44">
        <f t="shared" si="357"/>
        <v>0.21765389808962698</v>
      </c>
      <c r="P43" s="44">
        <f t="shared" si="357"/>
        <v>0.22681511823475992</v>
      </c>
      <c r="Q43" s="44">
        <f t="shared" si="357"/>
        <v>0.20974482154995103</v>
      </c>
      <c r="R43" s="44">
        <f t="shared" si="357"/>
        <v>0.20388874154621403</v>
      </c>
      <c r="S43" s="44">
        <f t="shared" si="357"/>
        <v>0.18506241041287369</v>
      </c>
      <c r="T43" s="44">
        <f t="shared" si="357"/>
        <v>0.17704767078369527</v>
      </c>
      <c r="U43" s="44">
        <f t="shared" si="357"/>
        <v>0.18505813467605456</v>
      </c>
      <c r="V43" s="44">
        <f t="shared" si="357"/>
        <v>0.17681298290844891</v>
      </c>
      <c r="W43" s="44">
        <f t="shared" si="357"/>
        <v>0.17093056229480308</v>
      </c>
      <c r="X43" s="44">
        <f t="shared" si="357"/>
        <v>0.16299162944254889</v>
      </c>
      <c r="Y43" s="44">
        <f t="shared" si="357"/>
        <v>0.17580747379460807</v>
      </c>
      <c r="Z43" s="44">
        <f t="shared" ref="Z43:AA43" si="358">Z42/Z26</f>
        <v>0.15157670999215583</v>
      </c>
      <c r="AA43" s="44">
        <f t="shared" si="358"/>
        <v>0.1806044438204219</v>
      </c>
      <c r="AB43" s="52">
        <f t="shared" si="357"/>
        <v>0.18100520632653119</v>
      </c>
      <c r="AC43" s="52">
        <f t="shared" si="357"/>
        <v>0.17697436432517299</v>
      </c>
      <c r="AD43" s="52">
        <f t="shared" si="357"/>
        <v>0.17682449686155013</v>
      </c>
      <c r="AE43" s="52">
        <f t="shared" si="357"/>
        <v>0.17676202468530849</v>
      </c>
      <c r="AI43" s="44">
        <f t="shared" ref="AI43:BN43" si="359">AI42/AI26</f>
        <v>0.19668237651686646</v>
      </c>
      <c r="AJ43" s="44">
        <f t="shared" si="359"/>
        <v>0.23362158541507441</v>
      </c>
      <c r="AK43" s="44">
        <f t="shared" si="359"/>
        <v>0.21432661773127179</v>
      </c>
      <c r="AL43" s="44">
        <f t="shared" si="359"/>
        <v>0.17714496809862812</v>
      </c>
      <c r="AM43" s="44">
        <f t="shared" si="359"/>
        <v>0.20544501964697812</v>
      </c>
      <c r="AN43" s="44">
        <f t="shared" si="359"/>
        <v>0.24721201632532183</v>
      </c>
      <c r="AO43" s="44">
        <f t="shared" si="359"/>
        <v>0.24940146507057351</v>
      </c>
      <c r="AP43" s="44">
        <f t="shared" si="359"/>
        <v>0.18491123249089084</v>
      </c>
      <c r="AQ43" s="44">
        <f t="shared" si="359"/>
        <v>0.19354820353488797</v>
      </c>
      <c r="AR43" s="44">
        <f t="shared" si="359"/>
        <v>0.26892804549840049</v>
      </c>
      <c r="AS43" s="44">
        <f t="shared" si="359"/>
        <v>0.26886966029880249</v>
      </c>
      <c r="AT43" s="44">
        <f t="shared" si="359"/>
        <v>0.21137338335671188</v>
      </c>
      <c r="AU43" s="44">
        <f t="shared" si="359"/>
        <v>0.19351154344673591</v>
      </c>
      <c r="AV43" s="44">
        <f t="shared" si="359"/>
        <v>0.25460786293230259</v>
      </c>
      <c r="AW43" s="44">
        <f t="shared" si="359"/>
        <v>0.23664212588473207</v>
      </c>
      <c r="AX43" s="44">
        <f t="shared" si="359"/>
        <v>0.17988422731976542</v>
      </c>
      <c r="AY43" s="44">
        <f t="shared" si="359"/>
        <v>0.18023934617629891</v>
      </c>
      <c r="AZ43" s="44">
        <f t="shared" si="359"/>
        <v>0.29198114182915991</v>
      </c>
      <c r="BA43" s="44">
        <f t="shared" si="359"/>
        <v>0.23209203036053133</v>
      </c>
      <c r="BB43" s="44">
        <f t="shared" si="359"/>
        <v>0.16153332088488792</v>
      </c>
      <c r="BC43" s="44">
        <f t="shared" si="359"/>
        <v>0.17567442482335882</v>
      </c>
      <c r="BD43" s="44">
        <f t="shared" si="359"/>
        <v>0.2368454051759894</v>
      </c>
      <c r="BE43" s="44">
        <f t="shared" si="359"/>
        <v>0.21312751423978119</v>
      </c>
      <c r="BF43" s="44">
        <f t="shared" si="359"/>
        <v>0.1435671115710952</v>
      </c>
      <c r="BG43" s="44">
        <f t="shared" si="359"/>
        <v>0.15933224399350121</v>
      </c>
      <c r="BH43" s="44">
        <f t="shared" si="359"/>
        <v>0.19899251421174088</v>
      </c>
      <c r="BI43" s="44">
        <f t="shared" si="359"/>
        <v>0.19138881068254032</v>
      </c>
      <c r="BJ43" s="44">
        <f t="shared" si="359"/>
        <v>0.16458862539023869</v>
      </c>
      <c r="BK43" s="44">
        <f t="shared" si="359"/>
        <v>0.14416729464958553</v>
      </c>
      <c r="BL43" s="44">
        <f t="shared" si="359"/>
        <v>0.20957986975540457</v>
      </c>
      <c r="BM43" s="44">
        <f t="shared" si="359"/>
        <v>0.22074893970559664</v>
      </c>
      <c r="BN43" s="44">
        <f t="shared" si="359"/>
        <v>0.1944746199087877</v>
      </c>
      <c r="BO43" s="44">
        <f t="shared" ref="BO43:CH43" si="360">BO42/BO26</f>
        <v>0.24824587105031845</v>
      </c>
      <c r="BP43" s="44">
        <f t="shared" si="360"/>
        <v>0.19965396207225866</v>
      </c>
      <c r="BQ43" s="44">
        <f t="shared" si="360"/>
        <v>0.17277804516103154</v>
      </c>
      <c r="BR43" s="44">
        <f t="shared" si="360"/>
        <v>0.13101981400330359</v>
      </c>
      <c r="BS43" s="44">
        <f t="shared" si="360"/>
        <v>0.20264956307416537</v>
      </c>
      <c r="BT43" s="44">
        <f t="shared" si="360"/>
        <v>0.18910886399696872</v>
      </c>
      <c r="BU43" s="44">
        <f t="shared" si="360"/>
        <v>0.18300726475950468</v>
      </c>
      <c r="BV43" s="44">
        <f t="shared" si="360"/>
        <v>0.13005797688424875</v>
      </c>
      <c r="BW43" s="44">
        <f t="shared" si="360"/>
        <v>0.14152095375722545</v>
      </c>
      <c r="BX43" s="44">
        <f t="shared" si="360"/>
        <v>0.18660793051188673</v>
      </c>
      <c r="BY43" s="44">
        <f t="shared" si="360"/>
        <v>0.20246209382681579</v>
      </c>
      <c r="BZ43" s="44">
        <f t="shared" si="360"/>
        <v>0.14219426406926405</v>
      </c>
      <c r="CA43" s="44">
        <f t="shared" si="360"/>
        <v>0.15600054764186602</v>
      </c>
      <c r="CB43" s="44">
        <f t="shared" si="360"/>
        <v>0.21458074364845711</v>
      </c>
      <c r="CC43" s="44">
        <f t="shared" si="360"/>
        <v>0.20444678031168592</v>
      </c>
      <c r="CD43" s="44">
        <f t="shared" si="360"/>
        <v>0.15218374067306228</v>
      </c>
      <c r="CE43" s="44">
        <f t="shared" si="360"/>
        <v>0.12293995960187117</v>
      </c>
      <c r="CF43" s="44">
        <f t="shared" si="360"/>
        <v>0.19655150031881055</v>
      </c>
      <c r="CG43" s="44">
        <f t="shared" si="360"/>
        <v>0.16973311734527921</v>
      </c>
      <c r="CH43" s="44">
        <f t="shared" si="360"/>
        <v>0.14460436785273809</v>
      </c>
      <c r="CI43" s="44">
        <f t="shared" ref="CI43:CJ43" si="361">CI42/CI26</f>
        <v>0.17276785034200146</v>
      </c>
      <c r="CJ43" s="44">
        <f t="shared" si="361"/>
        <v>0.21831279927747393</v>
      </c>
      <c r="CK43" s="44">
        <f t="shared" ref="CK43:CL43" si="362">CK42/CK26</f>
        <v>0.17888021571136881</v>
      </c>
      <c r="CL43" s="44">
        <f t="shared" si="362"/>
        <v>0.16072776671856426</v>
      </c>
      <c r="CM43" s="52">
        <f>AVERAGE(CI43:CL43)*1.005</f>
        <v>0.18358551880241386</v>
      </c>
      <c r="CN43" s="52">
        <f t="shared" ref="CN43:CP43" si="363">AVERAGE(CJ43:CM43)*1.005</f>
        <v>0.18630345800309245</v>
      </c>
      <c r="CO43" s="52">
        <f t="shared" si="363"/>
        <v>0.17826111100790415</v>
      </c>
      <c r="CP43" s="52">
        <f t="shared" si="363"/>
        <v>0.17810556095115862</v>
      </c>
      <c r="CQ43" s="52">
        <f>AVERAGE(CM43:CP43)*0.98</f>
        <v>0.17793263394731942</v>
      </c>
      <c r="CR43" s="52">
        <f t="shared" ref="CR43:CT43" si="364">AVERAGE(CN43:CQ43)*0.99</f>
        <v>0.17834918406759498</v>
      </c>
      <c r="CS43" s="52">
        <f t="shared" si="364"/>
        <v>0.17638050126855934</v>
      </c>
      <c r="CT43" s="52">
        <f t="shared" si="364"/>
        <v>0.17591505035807151</v>
      </c>
      <c r="CU43" s="52">
        <f t="shared" ref="CU43:DB43" si="365">AVERAGE(CQ43:CT43)</f>
        <v>0.17714434241038632</v>
      </c>
      <c r="CV43" s="52">
        <f t="shared" si="365"/>
        <v>0.17694726952615306</v>
      </c>
      <c r="CW43" s="52">
        <f t="shared" si="365"/>
        <v>0.17659679089079255</v>
      </c>
      <c r="CX43" s="52">
        <f t="shared" si="365"/>
        <v>0.17665086329635088</v>
      </c>
      <c r="CY43" s="52">
        <f t="shared" si="365"/>
        <v>0.1768348165309207</v>
      </c>
      <c r="CZ43" s="52">
        <f t="shared" si="365"/>
        <v>0.17675743506105432</v>
      </c>
      <c r="DA43" s="52">
        <f t="shared" si="365"/>
        <v>0.17670997644477962</v>
      </c>
      <c r="DB43" s="52">
        <f t="shared" si="365"/>
        <v>0.17673827283327637</v>
      </c>
      <c r="DE43" s="128"/>
      <c r="DF43" s="44">
        <v>0.17149565596405972</v>
      </c>
    </row>
    <row r="44" spans="1:110" s="26" customFormat="1" x14ac:dyDescent="0.2">
      <c r="A44" s="34" t="s">
        <v>13</v>
      </c>
      <c r="B44" s="26">
        <f t="shared" ref="B44:E44" si="366">B32-B42</f>
        <v>27.489599999999982</v>
      </c>
      <c r="C44" s="26">
        <f t="shared" si="366"/>
        <v>22.230499999999893</v>
      </c>
      <c r="D44" s="26">
        <f t="shared" si="366"/>
        <v>34.868400000000094</v>
      </c>
      <c r="E44" s="26">
        <f t="shared" si="366"/>
        <v>41.011799999999937</v>
      </c>
      <c r="F44" s="26">
        <f t="shared" ref="F44:AE44" si="367">F32-F42</f>
        <v>52.776499999999999</v>
      </c>
      <c r="G44" s="26">
        <f t="shared" si="367"/>
        <v>111.57999999999987</v>
      </c>
      <c r="H44" s="26">
        <f t="shared" si="367"/>
        <v>128.06730000000016</v>
      </c>
      <c r="I44" s="26">
        <f t="shared" si="367"/>
        <v>253.00190000000009</v>
      </c>
      <c r="J44" s="26">
        <f t="shared" si="367"/>
        <v>283.0550999999997</v>
      </c>
      <c r="K44" s="26">
        <f t="shared" si="367"/>
        <v>459.57070000000101</v>
      </c>
      <c r="L44" s="26">
        <f t="shared" si="367"/>
        <v>454.97679999999946</v>
      </c>
      <c r="M44" s="26">
        <f t="shared" si="367"/>
        <v>336.46939999999995</v>
      </c>
      <c r="N44" s="26">
        <f t="shared" si="367"/>
        <v>238.01089999999976</v>
      </c>
      <c r="O44" s="26">
        <f t="shared" si="367"/>
        <v>265.6115999999995</v>
      </c>
      <c r="P44" s="26">
        <f t="shared" si="367"/>
        <v>410.03779999999961</v>
      </c>
      <c r="Q44" s="26">
        <f t="shared" si="367"/>
        <v>432.96160000000032</v>
      </c>
      <c r="R44" s="26">
        <f t="shared" si="367"/>
        <v>566.88999999999987</v>
      </c>
      <c r="S44" s="26">
        <f t="shared" si="367"/>
        <v>651.65000000000055</v>
      </c>
      <c r="T44" s="26">
        <f t="shared" si="367"/>
        <v>600.54000000000019</v>
      </c>
      <c r="U44" s="26">
        <f t="shared" si="367"/>
        <v>685.9500000000005</v>
      </c>
      <c r="V44" s="26">
        <f t="shared" si="367"/>
        <v>641.35999999999967</v>
      </c>
      <c r="W44" s="26">
        <f t="shared" si="367"/>
        <v>681.54999999999973</v>
      </c>
      <c r="X44" s="26">
        <f t="shared" si="367"/>
        <v>572.37000000000103</v>
      </c>
      <c r="Y44" s="26">
        <f t="shared" si="367"/>
        <v>472.87999999999829</v>
      </c>
      <c r="Z44" s="26">
        <f t="shared" ref="Z44:AA44" si="368">Z32-Z42</f>
        <v>1116.1800000000017</v>
      </c>
      <c r="AA44" s="26">
        <f t="shared" si="368"/>
        <v>602.09999999999945</v>
      </c>
      <c r="AB44" s="27">
        <f t="shared" si="367"/>
        <v>1049.4074849336657</v>
      </c>
      <c r="AC44" s="27">
        <f t="shared" si="367"/>
        <v>1300.254766340167</v>
      </c>
      <c r="AD44" s="27">
        <f t="shared" si="367"/>
        <v>1501.661535913101</v>
      </c>
      <c r="AE44" s="27">
        <f t="shared" si="367"/>
        <v>1729.119554284649</v>
      </c>
      <c r="AI44" s="26">
        <f t="shared" ref="AI44:BN44" si="369">AI32-AI42</f>
        <v>93.910000000000082</v>
      </c>
      <c r="AJ44" s="26">
        <f t="shared" si="369"/>
        <v>43.979999999999961</v>
      </c>
      <c r="AK44" s="26">
        <f t="shared" si="369"/>
        <v>24.259999999999934</v>
      </c>
      <c r="AL44" s="26">
        <f t="shared" si="369"/>
        <v>81.790000000000134</v>
      </c>
      <c r="AM44" s="26">
        <f t="shared" si="369"/>
        <v>50.46999999999997</v>
      </c>
      <c r="AN44" s="26">
        <f t="shared" si="369"/>
        <v>42.270000000000095</v>
      </c>
      <c r="AO44" s="26">
        <f t="shared" si="369"/>
        <v>67.499999999999943</v>
      </c>
      <c r="AP44" s="26">
        <f t="shared" si="369"/>
        <v>105.36999999999983</v>
      </c>
      <c r="AQ44" s="26">
        <f t="shared" si="369"/>
        <v>131.88999999999993</v>
      </c>
      <c r="AR44" s="26">
        <f t="shared" si="369"/>
        <v>77.739999999999952</v>
      </c>
      <c r="AS44" s="26">
        <f t="shared" si="369"/>
        <v>57.39999999999992</v>
      </c>
      <c r="AT44" s="26">
        <f t="shared" si="369"/>
        <v>143.01000000000005</v>
      </c>
      <c r="AU44" s="26">
        <f t="shared" si="369"/>
        <v>131.2999999999999</v>
      </c>
      <c r="AV44" s="26">
        <f t="shared" si="369"/>
        <v>64.520000000000152</v>
      </c>
      <c r="AW44" s="26">
        <f t="shared" si="369"/>
        <v>56.299999999999727</v>
      </c>
      <c r="AX44" s="26">
        <f t="shared" si="369"/>
        <v>180.84000000000015</v>
      </c>
      <c r="AY44" s="26">
        <f t="shared" si="369"/>
        <v>199.53999999999979</v>
      </c>
      <c r="AZ44" s="26">
        <f t="shared" si="369"/>
        <v>68.669999999999902</v>
      </c>
      <c r="BA44" s="26">
        <f t="shared" si="369"/>
        <v>88.959999999999923</v>
      </c>
      <c r="BB44" s="26">
        <f t="shared" si="369"/>
        <v>221.1700000000003</v>
      </c>
      <c r="BC44" s="26">
        <f t="shared" si="369"/>
        <v>208.32999999999981</v>
      </c>
      <c r="BD44" s="26">
        <f t="shared" si="369"/>
        <v>86.960000000000008</v>
      </c>
      <c r="BE44" s="26">
        <f t="shared" si="369"/>
        <v>114.19000000000005</v>
      </c>
      <c r="BF44" s="26">
        <f t="shared" si="369"/>
        <v>253.16000000000025</v>
      </c>
      <c r="BG44" s="26">
        <f t="shared" si="369"/>
        <v>243.18999999999971</v>
      </c>
      <c r="BH44" s="26">
        <f t="shared" si="369"/>
        <v>108.54000000000008</v>
      </c>
      <c r="BI44" s="26">
        <f t="shared" si="369"/>
        <v>115.67000000000002</v>
      </c>
      <c r="BJ44" s="26">
        <f t="shared" si="369"/>
        <v>144.30999999999995</v>
      </c>
      <c r="BK44" s="26">
        <f t="shared" si="369"/>
        <v>291.20999999999981</v>
      </c>
      <c r="BL44" s="26">
        <f t="shared" si="369"/>
        <v>105.88000000000022</v>
      </c>
      <c r="BM44" s="26">
        <f t="shared" si="369"/>
        <v>97.549999999999955</v>
      </c>
      <c r="BN44" s="26">
        <f t="shared" si="369"/>
        <v>192.01999999999941</v>
      </c>
      <c r="BO44" s="26">
        <f t="shared" ref="BO44:CT44" si="370">BO32-BO42</f>
        <v>66.75</v>
      </c>
      <c r="BP44" s="26">
        <f t="shared" si="370"/>
        <v>97.990000000000009</v>
      </c>
      <c r="BQ44" s="26">
        <f t="shared" si="370"/>
        <v>145.88999999999987</v>
      </c>
      <c r="BR44" s="26">
        <f t="shared" si="370"/>
        <v>330.73000000000042</v>
      </c>
      <c r="BS44" s="26">
        <f t="shared" si="370"/>
        <v>135.7799999999998</v>
      </c>
      <c r="BT44" s="26">
        <f t="shared" si="370"/>
        <v>129.12000000000018</v>
      </c>
      <c r="BU44" s="26">
        <f t="shared" si="370"/>
        <v>155.63999999999965</v>
      </c>
      <c r="BV44" s="26">
        <f t="shared" si="370"/>
        <v>261.00999999999993</v>
      </c>
      <c r="BW44" s="26">
        <f t="shared" si="370"/>
        <v>176.99000000000012</v>
      </c>
      <c r="BX44" s="26">
        <f t="shared" si="370"/>
        <v>100.83999999999997</v>
      </c>
      <c r="BY44" s="26">
        <f t="shared" si="370"/>
        <v>76.369999999999777</v>
      </c>
      <c r="BZ44" s="26">
        <f t="shared" si="370"/>
        <v>218.17000000000024</v>
      </c>
      <c r="CA44" s="26">
        <f t="shared" si="370"/>
        <v>185.35000000000002</v>
      </c>
      <c r="CB44" s="26">
        <f t="shared" si="370"/>
        <v>70.269999999999868</v>
      </c>
      <c r="CC44" s="26">
        <f t="shared" si="370"/>
        <v>28.419999999999959</v>
      </c>
      <c r="CD44" s="26">
        <f t="shared" si="370"/>
        <v>190.58000000000027</v>
      </c>
      <c r="CE44" s="26">
        <f t="shared" si="370"/>
        <v>423.79999999999905</v>
      </c>
      <c r="CF44" s="26">
        <f t="shared" si="370"/>
        <v>162.21000000000004</v>
      </c>
      <c r="CG44" s="26">
        <f t="shared" si="370"/>
        <v>197.39000000000021</v>
      </c>
      <c r="CH44" s="26">
        <f t="shared" si="370"/>
        <v>332.78</v>
      </c>
      <c r="CI44" s="26">
        <f t="shared" ref="CI44:CJ44" si="371">CI32-CI42</f>
        <v>178.52999999999975</v>
      </c>
      <c r="CJ44" s="26">
        <f t="shared" si="371"/>
        <v>70.4099999999994</v>
      </c>
      <c r="CK44" s="26">
        <f t="shared" ref="CK44:CL44" si="372">CK32-CK42</f>
        <v>177.29000000000008</v>
      </c>
      <c r="CL44" s="26">
        <f t="shared" si="372"/>
        <v>220.66999999999985</v>
      </c>
      <c r="CM44" s="27">
        <f t="shared" si="370"/>
        <v>259.94302456655521</v>
      </c>
      <c r="CN44" s="27">
        <f t="shared" si="370"/>
        <v>162.41461851332554</v>
      </c>
      <c r="CO44" s="27">
        <f t="shared" si="370"/>
        <v>237.90313162063057</v>
      </c>
      <c r="CP44" s="27">
        <f t="shared" si="370"/>
        <v>389.14671023315282</v>
      </c>
      <c r="CQ44" s="27">
        <f t="shared" si="370"/>
        <v>350.69722416217871</v>
      </c>
      <c r="CR44" s="27">
        <f t="shared" si="370"/>
        <v>210.79421086608568</v>
      </c>
      <c r="CS44" s="27">
        <f t="shared" si="370"/>
        <v>283.53216030692727</v>
      </c>
      <c r="CT44" s="27">
        <f t="shared" si="370"/>
        <v>455.2311710049737</v>
      </c>
      <c r="CU44" s="27">
        <f t="shared" ref="CU44:DB44" si="373">CU32-CU42</f>
        <v>412.52551662386736</v>
      </c>
      <c r="CV44" s="27">
        <f t="shared" si="373"/>
        <v>247.23178016913835</v>
      </c>
      <c r="CW44" s="27">
        <f t="shared" si="373"/>
        <v>325.00511734802774</v>
      </c>
      <c r="CX44" s="27">
        <f t="shared" si="373"/>
        <v>516.89912177207043</v>
      </c>
      <c r="CY44" s="27">
        <f t="shared" si="373"/>
        <v>477.45797841769854</v>
      </c>
      <c r="CZ44" s="27">
        <f t="shared" si="373"/>
        <v>285.0110004407295</v>
      </c>
      <c r="DA44" s="27">
        <f t="shared" si="373"/>
        <v>373.07923775714551</v>
      </c>
      <c r="DB44" s="27">
        <f t="shared" si="373"/>
        <v>593.57133766907418</v>
      </c>
      <c r="DE44" s="121"/>
      <c r="DF44" s="26">
        <v>365.23308483341236</v>
      </c>
    </row>
    <row r="45" spans="1:110" s="168" customFormat="1" x14ac:dyDescent="0.2">
      <c r="A45" s="165" t="s">
        <v>14</v>
      </c>
      <c r="B45" s="166">
        <f t="shared" ref="B45:E45" si="374">B44/B26</f>
        <v>3.5955126721103681E-2</v>
      </c>
      <c r="C45" s="166">
        <f t="shared" si="374"/>
        <v>2.5228664383919082E-2</v>
      </c>
      <c r="D45" s="166">
        <f t="shared" si="374"/>
        <v>2.7771580810685495E-2</v>
      </c>
      <c r="E45" s="166">
        <f t="shared" si="374"/>
        <v>3.0156764171954054E-2</v>
      </c>
      <c r="F45" s="166">
        <f t="shared" ref="F45:AE45" si="375">F44/F26</f>
        <v>3.5730592154346895E-2</v>
      </c>
      <c r="G45" s="166">
        <f t="shared" si="375"/>
        <v>5.7090603883307105E-2</v>
      </c>
      <c r="H45" s="166">
        <f t="shared" si="375"/>
        <v>5.0684855606262208E-2</v>
      </c>
      <c r="I45" s="166">
        <f t="shared" si="375"/>
        <v>7.8990849213002631E-2</v>
      </c>
      <c r="J45" s="166">
        <f t="shared" si="375"/>
        <v>6.5432683129961991E-2</v>
      </c>
      <c r="K45" s="166">
        <f t="shared" si="375"/>
        <v>9.6599861165630865E-2</v>
      </c>
      <c r="L45" s="166">
        <f t="shared" si="375"/>
        <v>8.7640853738641167E-2</v>
      </c>
      <c r="M45" s="166">
        <f t="shared" si="375"/>
        <v>6.4883630893456723E-2</v>
      </c>
      <c r="N45" s="166">
        <f t="shared" si="375"/>
        <v>4.3032474596951045E-2</v>
      </c>
      <c r="O45" s="166">
        <f t="shared" si="375"/>
        <v>5.0438536898916204E-2</v>
      </c>
      <c r="P45" s="166">
        <f t="shared" si="375"/>
        <v>7.9110736833916617E-2</v>
      </c>
      <c r="Q45" s="166">
        <f t="shared" si="375"/>
        <v>7.5695166606288777E-2</v>
      </c>
      <c r="R45" s="166">
        <f t="shared" si="375"/>
        <v>9.3967975069619389E-2</v>
      </c>
      <c r="S45" s="166">
        <f t="shared" si="375"/>
        <v>0.10175067688050998</v>
      </c>
      <c r="T45" s="166">
        <f t="shared" si="375"/>
        <v>8.4297318807928651E-2</v>
      </c>
      <c r="U45" s="166">
        <f t="shared" si="375"/>
        <v>8.9572059837452797E-2</v>
      </c>
      <c r="V45" s="166">
        <f t="shared" si="375"/>
        <v>8.4883360817810963E-2</v>
      </c>
      <c r="W45" s="166">
        <f t="shared" si="375"/>
        <v>8.5897573240741293E-2</v>
      </c>
      <c r="X45" s="166">
        <f t="shared" si="375"/>
        <v>6.0257275415659187E-2</v>
      </c>
      <c r="Y45" s="166">
        <f t="shared" si="375"/>
        <v>3.7887352267929018E-2</v>
      </c>
      <c r="Z45" s="166">
        <f t="shared" ref="Z45:AA45" si="376">Z44/Z26</f>
        <v>7.24190753264011E-2</v>
      </c>
      <c r="AA45" s="166">
        <f t="shared" si="376"/>
        <v>4.2268945908947274E-2</v>
      </c>
      <c r="AB45" s="167">
        <f t="shared" si="375"/>
        <v>6.1392554139823891E-2</v>
      </c>
      <c r="AC45" s="167">
        <f t="shared" si="375"/>
        <v>6.614578249831321E-2</v>
      </c>
      <c r="AD45" s="167">
        <f t="shared" si="375"/>
        <v>6.6427501889843865E-2</v>
      </c>
      <c r="AE45" s="167">
        <f t="shared" si="375"/>
        <v>6.6512465323324846E-2</v>
      </c>
      <c r="AI45" s="166">
        <f t="shared" ref="AI45:BN45" si="377">AI44/AI26</f>
        <v>5.8083150876411777E-2</v>
      </c>
      <c r="AJ45" s="166">
        <f t="shared" si="377"/>
        <v>3.7767606419977812E-2</v>
      </c>
      <c r="AK45" s="166">
        <f t="shared" si="377"/>
        <v>2.1049160983566673E-2</v>
      </c>
      <c r="AL45" s="166">
        <f t="shared" si="377"/>
        <v>5.1211250320892195E-2</v>
      </c>
      <c r="AM45" s="166">
        <f t="shared" si="377"/>
        <v>3.1478824923595071E-2</v>
      </c>
      <c r="AN45" s="166">
        <f t="shared" si="377"/>
        <v>3.9119691262621208E-2</v>
      </c>
      <c r="AO45" s="166">
        <f t="shared" si="377"/>
        <v>6.0300160800428743E-2</v>
      </c>
      <c r="AP45" s="166">
        <f t="shared" si="377"/>
        <v>7.2032594800418265E-2</v>
      </c>
      <c r="AQ45" s="166">
        <f t="shared" si="377"/>
        <v>7.505092924533667E-2</v>
      </c>
      <c r="AR45" s="166">
        <f t="shared" si="377"/>
        <v>7.895191184684909E-2</v>
      </c>
      <c r="AS45" s="166">
        <f t="shared" si="377"/>
        <v>6.0349268764522117E-2</v>
      </c>
      <c r="AT45" s="166">
        <f t="shared" si="377"/>
        <v>9.5981798291240789E-2</v>
      </c>
      <c r="AU45" s="166">
        <f t="shared" si="377"/>
        <v>8.4249836376936144E-2</v>
      </c>
      <c r="AV45" s="166">
        <f t="shared" si="377"/>
        <v>6.2034286153816703E-2</v>
      </c>
      <c r="AW45" s="166">
        <f t="shared" si="377"/>
        <v>4.4473584428715664E-2</v>
      </c>
      <c r="AX45" s="166">
        <f t="shared" si="377"/>
        <v>9.746895481200421E-2</v>
      </c>
      <c r="AY45" s="166">
        <f t="shared" si="377"/>
        <v>0.10785712741346123</v>
      </c>
      <c r="AZ45" s="166">
        <f t="shared" si="377"/>
        <v>7.0997291205723526E-2</v>
      </c>
      <c r="BA45" s="166">
        <f t="shared" si="377"/>
        <v>7.5359175928435829E-2</v>
      </c>
      <c r="BB45" s="166">
        <f t="shared" si="377"/>
        <v>0.10867984236337026</v>
      </c>
      <c r="BC45" s="166">
        <f t="shared" si="377"/>
        <v>0.10713147041581379</v>
      </c>
      <c r="BD45" s="166">
        <f t="shared" si="377"/>
        <v>8.388073810419501E-2</v>
      </c>
      <c r="BE45" s="166">
        <f t="shared" si="377"/>
        <v>8.3067208857398545E-2</v>
      </c>
      <c r="BF45" s="166">
        <f t="shared" si="377"/>
        <v>0.12359034944688009</v>
      </c>
      <c r="BG45" s="166">
        <f t="shared" si="377"/>
        <v>0.11321220246823911</v>
      </c>
      <c r="BH45" s="166">
        <f t="shared" si="377"/>
        <v>7.6363482861484824E-2</v>
      </c>
      <c r="BI45" s="166">
        <f t="shared" si="377"/>
        <v>7.7538242904449731E-2</v>
      </c>
      <c r="BJ45" s="166">
        <f t="shared" si="377"/>
        <v>6.9956952550852186E-2</v>
      </c>
      <c r="BK45" s="166">
        <f t="shared" si="377"/>
        <v>0.10972494348153723</v>
      </c>
      <c r="BL45" s="166">
        <f t="shared" si="377"/>
        <v>7.446165098386727E-2</v>
      </c>
      <c r="BM45" s="166">
        <f t="shared" si="377"/>
        <v>6.5359696082438273E-2</v>
      </c>
      <c r="BN45" s="166">
        <f t="shared" si="377"/>
        <v>9.189186602412841E-2</v>
      </c>
      <c r="BO45" s="166">
        <f t="shared" ref="BO45:CT45" si="378">BO44/BO26</f>
        <v>5.1467299952195164E-2</v>
      </c>
      <c r="BP45" s="166">
        <f t="shared" si="378"/>
        <v>6.0767484837585428E-2</v>
      </c>
      <c r="BQ45" s="166">
        <f t="shared" si="378"/>
        <v>7.31410179280471E-2</v>
      </c>
      <c r="BR45" s="166">
        <f t="shared" si="378"/>
        <v>0.12472564355912914</v>
      </c>
      <c r="BS45" s="166">
        <f t="shared" si="378"/>
        <v>7.6058704907013122E-2</v>
      </c>
      <c r="BT45" s="166">
        <f t="shared" si="378"/>
        <v>7.6443981338953845E-2</v>
      </c>
      <c r="BU45" s="166">
        <f t="shared" si="378"/>
        <v>8.6775684520988439E-2</v>
      </c>
      <c r="BV45" s="166">
        <f t="shared" si="378"/>
        <v>9.7881931162762767E-2</v>
      </c>
      <c r="BW45" s="166">
        <f t="shared" si="378"/>
        <v>6.3941473988439357E-2</v>
      </c>
      <c r="BX45" s="166">
        <f t="shared" si="378"/>
        <v>5.7024587753624817E-2</v>
      </c>
      <c r="BY45" s="166">
        <f t="shared" si="378"/>
        <v>3.8078190675156075E-2</v>
      </c>
      <c r="BZ45" s="166">
        <f t="shared" si="378"/>
        <v>7.3785849567099646E-2</v>
      </c>
      <c r="CA45" s="166">
        <f t="shared" si="378"/>
        <v>5.5165989059067944E-2</v>
      </c>
      <c r="CB45" s="166">
        <f t="shared" si="378"/>
        <v>3.064878421110015E-2</v>
      </c>
      <c r="CC45" s="166">
        <f t="shared" si="378"/>
        <v>1.0823697880962159E-2</v>
      </c>
      <c r="CD45" s="166">
        <f t="shared" si="378"/>
        <v>4.5345096695599274E-2</v>
      </c>
      <c r="CE45" s="166">
        <f t="shared" si="378"/>
        <v>8.6120357161726446E-2</v>
      </c>
      <c r="CF45" s="166">
        <f t="shared" si="378"/>
        <v>6.1933252135267333E-2</v>
      </c>
      <c r="CG45" s="166">
        <f t="shared" si="378"/>
        <v>6.3569406558865935E-2</v>
      </c>
      <c r="CH45" s="166">
        <f t="shared" si="378"/>
        <v>6.9800904445880066E-2</v>
      </c>
      <c r="CI45" s="166">
        <f t="shared" ref="CI45:CJ45" si="379">CI44/CI26</f>
        <v>4.5328519415626885E-2</v>
      </c>
      <c r="CJ45" s="166">
        <f t="shared" si="379"/>
        <v>2.9995910229538115E-2</v>
      </c>
      <c r="CK45" s="166">
        <f t="shared" ref="CK45:CL45" si="380">CK44/CK26</f>
        <v>5.7734704976276335E-2</v>
      </c>
      <c r="CL45" s="166">
        <f t="shared" si="380"/>
        <v>4.5146823846164828E-2</v>
      </c>
      <c r="CM45" s="167">
        <f t="shared" si="378"/>
        <v>5.4999311208302482E-2</v>
      </c>
      <c r="CN45" s="167">
        <f t="shared" si="378"/>
        <v>5.7659592824059476E-2</v>
      </c>
      <c r="CO45" s="167">
        <f t="shared" si="378"/>
        <v>6.4561204415784584E-2</v>
      </c>
      <c r="CP45" s="167">
        <f t="shared" si="378"/>
        <v>6.6346195590741494E-2</v>
      </c>
      <c r="CQ45" s="167">
        <f t="shared" si="378"/>
        <v>6.4522854253544829E-2</v>
      </c>
      <c r="CR45" s="167">
        <f t="shared" si="378"/>
        <v>6.5073968680806282E-2</v>
      </c>
      <c r="CS45" s="167">
        <f t="shared" si="378"/>
        <v>6.6907676960154233E-2</v>
      </c>
      <c r="CT45" s="167">
        <f t="shared" si="378"/>
        <v>6.7489593571898307E-2</v>
      </c>
      <c r="CU45" s="167">
        <f t="shared" ref="CU45:DB45" si="381">CU44/CU26</f>
        <v>6.599852336660092E-2</v>
      </c>
      <c r="CV45" s="167">
        <f t="shared" si="381"/>
        <v>6.6367440644864925E-2</v>
      </c>
      <c r="CW45" s="167">
        <f t="shared" si="381"/>
        <v>6.6690808635879645E-2</v>
      </c>
      <c r="CX45" s="167">
        <f t="shared" si="381"/>
        <v>6.6636591554810873E-2</v>
      </c>
      <c r="CY45" s="167">
        <f t="shared" si="381"/>
        <v>6.642334105053907E-2</v>
      </c>
      <c r="CZ45" s="167">
        <f t="shared" si="381"/>
        <v>6.6529545471523621E-2</v>
      </c>
      <c r="DA45" s="167">
        <f t="shared" si="381"/>
        <v>6.6570071678188292E-2</v>
      </c>
      <c r="DB45" s="167">
        <f t="shared" si="381"/>
        <v>6.6539887438765447E-2</v>
      </c>
      <c r="DE45" s="169"/>
      <c r="DF45" s="168">
        <v>6.9328478001802515E-2</v>
      </c>
    </row>
    <row r="46" spans="1:110" s="38" customFormat="1" x14ac:dyDescent="0.2">
      <c r="A46" s="39" t="s">
        <v>449</v>
      </c>
      <c r="B46" s="39"/>
      <c r="C46" s="39">
        <f t="shared" ref="C46:E46" si="382">+IF(B44&lt;0,1-C44/B44,C44/B44-1)</f>
        <v>-0.19131235085268949</v>
      </c>
      <c r="D46" s="39">
        <f t="shared" si="382"/>
        <v>0.56849373608332066</v>
      </c>
      <c r="E46" s="39">
        <f t="shared" si="382"/>
        <v>0.17618818184946328</v>
      </c>
      <c r="F46" s="39">
        <f t="shared" ref="F46:Y46" si="383">+IF(E44&lt;0,1-F44/E44,F44/E44-1)</f>
        <v>0.28686134234537564</v>
      </c>
      <c r="G46" s="39">
        <f t="shared" si="383"/>
        <v>1.1141985542807853</v>
      </c>
      <c r="H46" s="39">
        <f t="shared" si="383"/>
        <v>0.14776214375336361</v>
      </c>
      <c r="I46" s="39">
        <f t="shared" si="383"/>
        <v>0.97553864257308298</v>
      </c>
      <c r="J46" s="39">
        <f t="shared" si="383"/>
        <v>0.11878645970642743</v>
      </c>
      <c r="K46" s="39">
        <f t="shared" si="383"/>
        <v>0.62360861895793973</v>
      </c>
      <c r="L46" s="39">
        <f t="shared" si="383"/>
        <v>-9.996068069617059E-3</v>
      </c>
      <c r="M46" s="39">
        <f t="shared" si="383"/>
        <v>-0.26046910523789268</v>
      </c>
      <c r="N46" s="39">
        <f t="shared" si="383"/>
        <v>-0.29262244947088856</v>
      </c>
      <c r="O46" s="39">
        <f t="shared" si="383"/>
        <v>0.11596401677402079</v>
      </c>
      <c r="P46" s="39">
        <f t="shared" si="383"/>
        <v>0.54374959527370192</v>
      </c>
      <c r="Q46" s="39">
        <f t="shared" si="383"/>
        <v>5.5906553005602655E-2</v>
      </c>
      <c r="R46" s="39">
        <f t="shared" si="383"/>
        <v>0.30933089678160708</v>
      </c>
      <c r="S46" s="39">
        <f t="shared" si="383"/>
        <v>0.14951754308596144</v>
      </c>
      <c r="T46" s="39">
        <f t="shared" si="383"/>
        <v>-7.8431673444334105E-2</v>
      </c>
      <c r="U46" s="39">
        <f t="shared" si="383"/>
        <v>0.14222200019982068</v>
      </c>
      <c r="V46" s="39">
        <f t="shared" si="383"/>
        <v>-6.500473795466255E-2</v>
      </c>
      <c r="W46" s="39">
        <f t="shared" si="383"/>
        <v>6.2663714606461474E-2</v>
      </c>
      <c r="X46" s="39">
        <f t="shared" si="383"/>
        <v>-0.16019367617929536</v>
      </c>
      <c r="Y46" s="39">
        <f t="shared" si="383"/>
        <v>-0.17382112968884211</v>
      </c>
      <c r="Z46" s="39">
        <f t="shared" ref="Z46:AE46" si="384">+IF(Y44&lt;0,1-Z44/Y44,Z44/Y44-1)</f>
        <v>1.3603874132972544</v>
      </c>
      <c r="AA46" s="39">
        <f t="shared" si="384"/>
        <v>-0.46057087566521659</v>
      </c>
      <c r="AB46" s="40">
        <f t="shared" si="384"/>
        <v>0.74291228190278469</v>
      </c>
      <c r="AC46" s="40">
        <f t="shared" si="384"/>
        <v>0.23903706139694392</v>
      </c>
      <c r="AD46" s="40">
        <f t="shared" si="384"/>
        <v>0.15489792830356985</v>
      </c>
      <c r="AE46" s="40">
        <f t="shared" si="384"/>
        <v>0.15147089602534147</v>
      </c>
      <c r="AI46" s="39"/>
      <c r="AJ46" s="39"/>
      <c r="AK46" s="39"/>
      <c r="AL46" s="39"/>
      <c r="AM46" s="39">
        <f>+IF(AI44&lt;0,1-AM44/AI44,AM44/AI44-1)</f>
        <v>-0.46257054626770389</v>
      </c>
      <c r="AN46" s="39">
        <f t="shared" ref="AN46" si="385">+IF(AJ44&lt;0,1-AN44/AJ44,AN44/AJ44-1)</f>
        <v>-3.8881309686217946E-2</v>
      </c>
      <c r="AO46" s="39">
        <f t="shared" ref="AO46" si="386">+IF(AK44&lt;0,1-AO44/AK44,AO44/AK44-1)</f>
        <v>1.7823577906018189</v>
      </c>
      <c r="AP46" s="39">
        <f t="shared" ref="AP46" si="387">+IF(AL44&lt;0,1-AP44/AL44,AP44/AL44-1)</f>
        <v>0.28829930309328344</v>
      </c>
      <c r="AQ46" s="39">
        <f t="shared" ref="AQ46" si="388">+IF(AM44&lt;0,1-AQ44/AM44,AQ44/AM44-1)</f>
        <v>1.6132355854963345</v>
      </c>
      <c r="AR46" s="39">
        <f t="shared" ref="AR46" si="389">+IF(AN44&lt;0,1-AR44/AN44,AR44/AN44-1)</f>
        <v>0.83912940619824417</v>
      </c>
      <c r="AS46" s="39">
        <f t="shared" ref="AS46" si="390">+IF(AO44&lt;0,1-AS44/AO44,AS44/AO44-1)</f>
        <v>-0.14962962962963011</v>
      </c>
      <c r="AT46" s="39">
        <f t="shared" ref="AT46" si="391">+IF(AP44&lt;0,1-AT44/AP44,AT44/AP44-1)</f>
        <v>0.35721742431432357</v>
      </c>
      <c r="AU46" s="39">
        <f t="shared" ref="AU46" si="392">+IF(AQ44&lt;0,1-AU44/AQ44,AU44/AQ44-1)</f>
        <v>-4.4734248237169316E-3</v>
      </c>
      <c r="AV46" s="39">
        <f t="shared" ref="AV46" si="393">+IF(AR44&lt;0,1-AV44/AR44,AV44/AR44-1)</f>
        <v>-0.17005402624131472</v>
      </c>
      <c r="AW46" s="39">
        <f t="shared" ref="AW46" si="394">+IF(AS44&lt;0,1-AW44/AS44,AW44/AS44-1)</f>
        <v>-1.9163763066205486E-2</v>
      </c>
      <c r="AX46" s="39">
        <f t="shared" ref="AX46" si="395">+IF(AT44&lt;0,1-AX44/AT44,AX44/AT44-1)</f>
        <v>0.2645269561569128</v>
      </c>
      <c r="AY46" s="39">
        <f t="shared" ref="AY46" si="396">+IF(AU44&lt;0,1-AY44/AU44,AY44/AU44-1)</f>
        <v>0.51972581873571944</v>
      </c>
      <c r="AZ46" s="39">
        <f t="shared" ref="AZ46" si="397">+IF(AV44&lt;0,1-AZ44/AV44,AZ44/AV44-1)</f>
        <v>6.432114073155204E-2</v>
      </c>
      <c r="BA46" s="39">
        <f t="shared" ref="BA46" si="398">+IF(AW44&lt;0,1-BA44/AW44,BA44/AW44-1)</f>
        <v>0.58010657193606319</v>
      </c>
      <c r="BB46" s="39">
        <f t="shared" ref="BB46" si="399">+IF(AX44&lt;0,1-BB44/AX44,BB44/AX44-1)</f>
        <v>0.22301481973014892</v>
      </c>
      <c r="BC46" s="39">
        <f t="shared" ref="BC46" si="400">+IF(AY44&lt;0,1-BC44/AY44,BC44/AY44-1)</f>
        <v>4.4051318031472553E-2</v>
      </c>
      <c r="BD46" s="39">
        <f t="shared" ref="BD46" si="401">+IF(AZ44&lt;0,1-BD44/AZ44,BD44/AZ44-1)</f>
        <v>0.26634629386923159</v>
      </c>
      <c r="BE46" s="39">
        <f t="shared" ref="BE46" si="402">+IF(BA44&lt;0,1-BE44/BA44,BE44/BA44-1)</f>
        <v>0.28361061151079303</v>
      </c>
      <c r="BF46" s="39">
        <f t="shared" ref="BF46" si="403">+IF(BB44&lt;0,1-BF44/BB44,BF44/BB44-1)</f>
        <v>0.14463986978342414</v>
      </c>
      <c r="BG46" s="39">
        <f t="shared" ref="BG46" si="404">+IF(BC44&lt;0,1-BG44/BC44,BG44/BC44-1)</f>
        <v>0.16733067729083628</v>
      </c>
      <c r="BH46" s="39">
        <f t="shared" ref="BH46" si="405">+IF(BD44&lt;0,1-BH44/BD44,BH44/BD44-1)</f>
        <v>0.24816007359705683</v>
      </c>
      <c r="BI46" s="39">
        <f t="shared" ref="BI46" si="406">+IF(BE44&lt;0,1-BI44/BE44,BI44/BE44-1)</f>
        <v>1.2960854715824199E-2</v>
      </c>
      <c r="BJ46" s="39">
        <f t="shared" ref="BJ46" si="407">+IF(BF44&lt;0,1-BJ44/BF44,BJ44/BF44-1)</f>
        <v>-0.42996523937430953</v>
      </c>
      <c r="BK46" s="39">
        <f t="shared" ref="BK46" si="408">+IF(BG44&lt;0,1-BK44/BG44,BK44/BG44-1)</f>
        <v>0.1974587770878744</v>
      </c>
      <c r="BL46" s="39">
        <f t="shared" ref="BL46" si="409">+IF(BH44&lt;0,1-BL44/BH44,BL44/BH44-1)</f>
        <v>-2.450709415883412E-2</v>
      </c>
      <c r="BM46" s="39">
        <f t="shared" ref="BM46" si="410">+IF(BI44&lt;0,1-BM44/BI44,BM44/BI44-1)</f>
        <v>-0.15665254603613776</v>
      </c>
      <c r="BN46" s="39">
        <f t="shared" ref="BN46" si="411">+IF(BJ44&lt;0,1-BN44/BJ44,BN44/BJ44-1)</f>
        <v>0.33060771949275503</v>
      </c>
      <c r="BO46" s="39">
        <f t="shared" ref="BO46" si="412">+IF(BK44&lt;0,1-BO44/BK44,BO44/BK44-1)</f>
        <v>-0.77078397033068902</v>
      </c>
      <c r="BP46" s="39">
        <f t="shared" ref="BP46" si="413">+IF(BL44&lt;0,1-BP44/BL44,BP44/BL44-1)</f>
        <v>-7.4518322629393619E-2</v>
      </c>
      <c r="BQ46" s="39">
        <f t="shared" ref="BQ46" si="414">+IF(BM44&lt;0,1-BQ44/BM44,BQ44/BM44-1)</f>
        <v>0.49554074833418693</v>
      </c>
      <c r="BR46" s="39">
        <f t="shared" ref="BR46" si="415">+IF(BN44&lt;0,1-BR44/BN44,BR44/BN44-1)</f>
        <v>0.72237266951359969</v>
      </c>
      <c r="BS46" s="39">
        <f t="shared" ref="BS46" si="416">+IF(BO44&lt;0,1-BS44/BO44,BS44/BO44-1)</f>
        <v>1.0341573033707836</v>
      </c>
      <c r="BT46" s="39">
        <f t="shared" ref="BT46" si="417">+IF(BP44&lt;0,1-BT44/BP44,BT44/BP44-1)</f>
        <v>0.31768547811001291</v>
      </c>
      <c r="BU46" s="39">
        <f t="shared" ref="BU46" si="418">+IF(BQ44&lt;0,1-BU44/BQ44,BU44/BQ44-1)</f>
        <v>6.6831174172320207E-2</v>
      </c>
      <c r="BV46" s="39">
        <f t="shared" ref="BV46" si="419">+IF(BR44&lt;0,1-BV44/BR44,BV44/BR44-1)</f>
        <v>-0.21080639796813228</v>
      </c>
      <c r="BW46" s="39">
        <f t="shared" ref="BW46" si="420">+IF(BS44&lt;0,1-BW44/BS44,BW44/BS44-1)</f>
        <v>0.30350567093828529</v>
      </c>
      <c r="BX46" s="39">
        <f t="shared" ref="BX46" si="421">+IF(BT44&lt;0,1-BX44/BT44,BX44/BT44-1)</f>
        <v>-0.21902106567534207</v>
      </c>
      <c r="BY46" s="39">
        <f t="shared" ref="BY46" si="422">+IF(BU44&lt;0,1-BY44/BU44,BY44/BU44-1)</f>
        <v>-0.5093163711128248</v>
      </c>
      <c r="BZ46" s="39">
        <f t="shared" ref="BZ46" si="423">+IF(BV44&lt;0,1-BZ44/BV44,BZ44/BV44-1)</f>
        <v>-0.16413164246580481</v>
      </c>
      <c r="CA46" s="39">
        <f t="shared" ref="CA46" si="424">+IF(BW44&lt;0,1-CA44/BW44,CA44/BW44-1)</f>
        <v>4.7234307022995026E-2</v>
      </c>
      <c r="CB46" s="39">
        <f t="shared" ref="CB46" si="425">+IF(BX44&lt;0,1-CB44/BX44,CB44/BX44-1)</f>
        <v>-0.30315351051170281</v>
      </c>
      <c r="CC46" s="39">
        <f t="shared" ref="CC46" si="426">+IF(BY44&lt;0,1-CC44/BY44,CC44/BY44-1)</f>
        <v>-0.62786434463794627</v>
      </c>
      <c r="CD46" s="39">
        <f t="shared" ref="CD46" si="427">+IF(BZ44&lt;0,1-CD44/BZ44,CD44/BZ44-1)</f>
        <v>-0.12646101663840104</v>
      </c>
      <c r="CE46" s="39">
        <f t="shared" ref="CE46" si="428">+IF(CA44&lt;0,1-CE44/CA44,CE44/CA44-1)</f>
        <v>1.2864850283247855</v>
      </c>
      <c r="CF46" s="39">
        <f t="shared" ref="CF46" si="429">+IF(CB44&lt;0,1-CF44/CB44,CF44/CB44-1)</f>
        <v>1.3083819553152174</v>
      </c>
      <c r="CG46" s="39">
        <f t="shared" ref="CG46" si="430">+IF(CC44&lt;0,1-CG44/CC44,CG44/CC44-1)</f>
        <v>5.9454609429979062</v>
      </c>
      <c r="CH46" s="39">
        <f t="shared" ref="CH46:CL46" si="431">+IF(CD44&lt;0,1-CH44/CD44,CH44/CD44-1)</f>
        <v>0.74614335187322656</v>
      </c>
      <c r="CI46" s="39">
        <f t="shared" si="431"/>
        <v>-0.57873997168475655</v>
      </c>
      <c r="CJ46" s="39">
        <f t="shared" si="431"/>
        <v>-0.56593304975032743</v>
      </c>
      <c r="CK46" s="39">
        <f t="shared" si="431"/>
        <v>-0.10182886671057356</v>
      </c>
      <c r="CL46" s="39">
        <f t="shared" si="431"/>
        <v>-0.33688923613197952</v>
      </c>
      <c r="CM46" s="40">
        <f t="shared" ref="CM46" si="432">+CM44/CI44-1</f>
        <v>0.45601873391898051</v>
      </c>
      <c r="CN46" s="40">
        <f t="shared" ref="CN46" si="433">+CN44/CJ44-1</f>
        <v>1.3066981751644215</v>
      </c>
      <c r="CO46" s="40">
        <f t="shared" ref="CO46" si="434">+CO44/CK44-1</f>
        <v>0.34188691759620093</v>
      </c>
      <c r="CP46" s="40">
        <f t="shared" ref="CP46" si="435">+CP44/CL44-1</f>
        <v>0.76347809051141113</v>
      </c>
      <c r="CQ46" s="40">
        <f t="shared" ref="CQ46" si="436">+CQ44/CM44-1</f>
        <v>0.34913112112530253</v>
      </c>
      <c r="CR46" s="40">
        <f t="shared" ref="CR46" si="437">+CR44/CN44-1</f>
        <v>0.29787708025057347</v>
      </c>
      <c r="CS46" s="40">
        <f t="shared" ref="CS46" si="438">+CS44/CO44-1</f>
        <v>0.19179667108820775</v>
      </c>
      <c r="CT46" s="40">
        <f t="shared" ref="CT46" si="439">+CT44/CP44-1</f>
        <v>0.1698188858701315</v>
      </c>
      <c r="CU46" s="40">
        <f t="shared" ref="CU46" si="440">+CU44/CQ44-1</f>
        <v>0.17630106029324133</v>
      </c>
      <c r="CV46" s="40">
        <f t="shared" ref="CV46" si="441">+CV44/CR44-1</f>
        <v>0.17285849148011412</v>
      </c>
      <c r="CW46" s="40">
        <f t="shared" ref="CW46" si="442">+CW44/CS44-1</f>
        <v>0.14627249690548494</v>
      </c>
      <c r="CX46" s="40">
        <f t="shared" ref="CX46" si="443">+CX44/CT44-1</f>
        <v>0.13546513221174594</v>
      </c>
      <c r="CY46" s="40">
        <f t="shared" ref="CY46" si="444">+CY44/CU44-1</f>
        <v>0.15740229192424793</v>
      </c>
      <c r="CZ46" s="40">
        <f t="shared" ref="CZ46" si="445">+CZ44/CV44-1</f>
        <v>0.15280891577023525</v>
      </c>
      <c r="DA46" s="40">
        <f t="shared" ref="DA46" si="446">+DA44/CW44-1</f>
        <v>0.14791804141852394</v>
      </c>
      <c r="DB46" s="40">
        <f t="shared" ref="DB46" si="447">+DB44/CX44-1</f>
        <v>0.14833110111340608</v>
      </c>
      <c r="DE46" s="122"/>
      <c r="DF46" s="38">
        <v>9.7521139591959738E-2</v>
      </c>
    </row>
    <row r="47" spans="1:110" s="38" customFormat="1" x14ac:dyDescent="0.2">
      <c r="A47" s="39" t="s">
        <v>450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40"/>
      <c r="AD47" s="40"/>
      <c r="AE47" s="40"/>
      <c r="AI47" s="39"/>
      <c r="AJ47" s="39">
        <f>+IF(AI44&lt;0,1-AJ44/AI44,AJ44/AI44-1)</f>
        <v>-0.53167926738366611</v>
      </c>
      <c r="AK47" s="39">
        <f t="shared" ref="AK47:AM47" si="448">+IF(AJ44&lt;0,1-AK44/AJ44,AK44/AJ44-1)</f>
        <v>-0.44838562983174268</v>
      </c>
      <c r="AL47" s="39">
        <f t="shared" si="448"/>
        <v>2.3713932399010864</v>
      </c>
      <c r="AM47" s="39">
        <f t="shared" si="448"/>
        <v>-0.38293189876513156</v>
      </c>
      <c r="AN47" s="39">
        <f t="shared" ref="AN47" si="449">+IF(AM44&lt;0,1-AN44/AM44,AN44/AM44-1)</f>
        <v>-0.16247275609272593</v>
      </c>
      <c r="AO47" s="39">
        <f t="shared" ref="AO47" si="450">+IF(AN44&lt;0,1-AO44/AN44,AO44/AN44-1)</f>
        <v>0.59687721788501991</v>
      </c>
      <c r="AP47" s="39">
        <f t="shared" ref="AP47" si="451">+IF(AO44&lt;0,1-AP44/AO44,AP44/AO44-1)</f>
        <v>0.56103703703703589</v>
      </c>
      <c r="AQ47" s="39">
        <f t="shared" ref="AQ47" si="452">+IF(AP44&lt;0,1-AQ44/AP44,AQ44/AP44-1)</f>
        <v>0.25168454019170672</v>
      </c>
      <c r="AR47" s="39">
        <f t="shared" ref="AR47" si="453">+IF(AQ44&lt;0,1-AR44/AQ44,AR44/AQ44-1)</f>
        <v>-0.41056941390552737</v>
      </c>
      <c r="AS47" s="39">
        <f t="shared" ref="AS47" si="454">+IF(AR44&lt;0,1-AS44/AR44,AS44/AR44-1)</f>
        <v>-0.2616413686647806</v>
      </c>
      <c r="AT47" s="39">
        <f t="shared" ref="AT47" si="455">+IF(AS44&lt;0,1-AT44/AS44,AT44/AS44-1)</f>
        <v>1.4914634146341506</v>
      </c>
      <c r="AU47" s="39">
        <f t="shared" ref="AU47" si="456">+IF(AT44&lt;0,1-AU44/AT44,AU44/AT44-1)</f>
        <v>-8.1882385847144579E-2</v>
      </c>
      <c r="AV47" s="39">
        <f t="shared" ref="AV47" si="457">+IF(AU44&lt;0,1-AV44/AU44,AV44/AU44-1)</f>
        <v>-0.50860624523990705</v>
      </c>
      <c r="AW47" s="39">
        <f t="shared" ref="AW47" si="458">+IF(AV44&lt;0,1-AW44/AV44,AW44/AV44-1)</f>
        <v>-0.12740235585865478</v>
      </c>
      <c r="AX47" s="39">
        <f t="shared" ref="AX47" si="459">+IF(AW44&lt;0,1-AX44/AW44,AX44/AW44-1)</f>
        <v>2.2120781527531266</v>
      </c>
      <c r="AY47" s="39">
        <f t="shared" ref="AY47" si="460">+IF(AX44&lt;0,1-AY44/AX44,AY44/AX44-1)</f>
        <v>0.10340632603406119</v>
      </c>
      <c r="AZ47" s="39">
        <f t="shared" ref="AZ47" si="461">+IF(AY44&lt;0,1-AZ44/AY44,AZ44/AY44-1)</f>
        <v>-0.65585847449133017</v>
      </c>
      <c r="BA47" s="39">
        <f t="shared" ref="BA47" si="462">+IF(AZ44&lt;0,1-BA44/AZ44,BA44/AZ44-1)</f>
        <v>0.29547109363623192</v>
      </c>
      <c r="BB47" s="39">
        <f t="shared" ref="BB47" si="463">+IF(BA44&lt;0,1-BB44/BA44,BB44/BA44-1)</f>
        <v>1.4861735611510847</v>
      </c>
      <c r="BC47" s="39">
        <f t="shared" ref="BC47" si="464">+IF(BB44&lt;0,1-BC44/BB44,BC44/BB44-1)</f>
        <v>-5.8054889903696116E-2</v>
      </c>
      <c r="BD47" s="39">
        <f t="shared" ref="BD47" si="465">+IF(BC44&lt;0,1-BD44/BC44,BD44/BC44-1)</f>
        <v>-0.58258532136514141</v>
      </c>
      <c r="BE47" s="39">
        <f t="shared" ref="BE47" si="466">+IF(BD44&lt;0,1-BE44/BD44,BE44/BD44-1)</f>
        <v>0.31313247470101246</v>
      </c>
      <c r="BF47" s="39">
        <f t="shared" ref="BF47" si="467">+IF(BE44&lt;0,1-BF44/BE44,BF44/BE44-1)</f>
        <v>1.2170067431473872</v>
      </c>
      <c r="BG47" s="39">
        <f t="shared" ref="BG47" si="468">+IF(BF44&lt;0,1-BG44/BF44,BG44/BF44-1)</f>
        <v>-3.938220887976196E-2</v>
      </c>
      <c r="BH47" s="39">
        <f t="shared" ref="BH47" si="469">+IF(BG44&lt;0,1-BH44/BG44,BH44/BG44-1)</f>
        <v>-0.55368230601587154</v>
      </c>
      <c r="BI47" s="39">
        <f t="shared" ref="BI47" si="470">+IF(BH44&lt;0,1-BI44/BH44,BI44/BH44-1)</f>
        <v>6.569006817762979E-2</v>
      </c>
      <c r="BJ47" s="39">
        <f t="shared" ref="BJ47" si="471">+IF(BI44&lt;0,1-BJ44/BI44,BJ44/BI44-1)</f>
        <v>0.24760093369067104</v>
      </c>
      <c r="BK47" s="39">
        <f t="shared" ref="BK47" si="472">+IF(BJ44&lt;0,1-BK44/BJ44,BK44/BJ44-1)</f>
        <v>1.0179474741875123</v>
      </c>
      <c r="BL47" s="39">
        <f t="shared" ref="BL47" si="473">+IF(BK44&lt;0,1-BL44/BK44,BL44/BK44-1)</f>
        <v>-0.63641358469832665</v>
      </c>
      <c r="BM47" s="39">
        <f t="shared" ref="BM47" si="474">+IF(BL44&lt;0,1-BM44/BL44,BM44/BL44-1)</f>
        <v>-7.8673970532680881E-2</v>
      </c>
      <c r="BN47" s="39">
        <f t="shared" ref="BN47" si="475">+IF(BM44&lt;0,1-BN44/BM44,BN44/BM44-1)</f>
        <v>0.96842644797539212</v>
      </c>
      <c r="BO47" s="39">
        <f t="shared" ref="BO47" si="476">+IF(BN44&lt;0,1-BO44/BN44,BO44/BN44-1)</f>
        <v>-0.6523799604207885</v>
      </c>
      <c r="BP47" s="39">
        <f t="shared" ref="BP47" si="477">+IF(BO44&lt;0,1-BP44/BO44,BP44/BO44-1)</f>
        <v>0.46801498127340846</v>
      </c>
      <c r="BQ47" s="39">
        <f t="shared" ref="BQ47" si="478">+IF(BP44&lt;0,1-BQ44/BP44,BQ44/BP44-1)</f>
        <v>0.48882539034595229</v>
      </c>
      <c r="BR47" s="39">
        <f t="shared" ref="BR47" si="479">+IF(BQ44&lt;0,1-BR44/BQ44,BR44/BQ44-1)</f>
        <v>1.2669819727191767</v>
      </c>
      <c r="BS47" s="39">
        <f t="shared" ref="BS47" si="480">+IF(BR44&lt;0,1-BS44/BR44,BS44/BR44-1)</f>
        <v>-0.58945363287273711</v>
      </c>
      <c r="BT47" s="39">
        <f t="shared" ref="BT47" si="481">+IF(BS44&lt;0,1-BT44/BS44,BT44/BS44-1)</f>
        <v>-4.9049933716303062E-2</v>
      </c>
      <c r="BU47" s="39">
        <f t="shared" ref="BU47" si="482">+IF(BT44&lt;0,1-BU44/BT44,BU44/BT44-1)</f>
        <v>0.20539033457248634</v>
      </c>
      <c r="BV47" s="39">
        <f t="shared" ref="BV47" si="483">+IF(BU44&lt;0,1-BV44/BU44,BV44/BU44-1)</f>
        <v>0.67701105114366822</v>
      </c>
      <c r="BW47" s="39">
        <f t="shared" ref="BW47" si="484">+IF(BV44&lt;0,1-BW44/BV44,BW44/BV44-1)</f>
        <v>-0.32190337534960278</v>
      </c>
      <c r="BX47" s="39">
        <f t="shared" ref="BX47" si="485">+IF(BW44&lt;0,1-BX44/BW44,BX44/BW44-1)</f>
        <v>-0.4302502966269286</v>
      </c>
      <c r="BY47" s="39">
        <f t="shared" ref="BY47" si="486">+IF(BX44&lt;0,1-BY44/BX44,BY44/BX44-1)</f>
        <v>-0.24266164220547604</v>
      </c>
      <c r="BZ47" s="39">
        <f t="shared" ref="BZ47" si="487">+IF(BY44&lt;0,1-BZ44/BY44,BZ44/BY44-1)</f>
        <v>1.8567500327353788</v>
      </c>
      <c r="CA47" s="39">
        <f t="shared" ref="CA47" si="488">+IF(BZ44&lt;0,1-CA44/BZ44,CA44/BZ44-1)</f>
        <v>-0.15043314846220923</v>
      </c>
      <c r="CB47" s="39">
        <f t="shared" ref="CB47" si="489">+IF(CA44&lt;0,1-CB44/CA44,CB44/CA44-1)</f>
        <v>-0.6208794173185872</v>
      </c>
      <c r="CC47" s="39">
        <f t="shared" ref="CC47" si="490">+IF(CB44&lt;0,1-CC44/CB44,CC44/CB44-1)</f>
        <v>-0.59555998292301104</v>
      </c>
      <c r="CD47" s="39">
        <f t="shared" ref="CD47" si="491">+IF(CC44&lt;0,1-CD44/CC44,CD44/CC44-1)</f>
        <v>5.7058409570725033</v>
      </c>
      <c r="CE47" s="39">
        <f t="shared" ref="CE47" si="492">+IF(CD44&lt;0,1-CE44/CD44,CE44/CD44-1)</f>
        <v>1.2237380627557899</v>
      </c>
      <c r="CF47" s="39">
        <f t="shared" ref="CF47" si="493">+IF(CE44&lt;0,1-CF44/CE44,CF44/CE44-1)</f>
        <v>-0.61724870221802641</v>
      </c>
      <c r="CG47" s="39">
        <f t="shared" ref="CG47" si="494">+IF(CF44&lt;0,1-CG44/CF44,CG44/CF44-1)</f>
        <v>0.21687935392392688</v>
      </c>
      <c r="CH47" s="39">
        <f t="shared" ref="CH47:CI47" si="495">+IF(CG44&lt;0,1-CH44/CG44,CH44/CG44-1)</f>
        <v>0.68590100815643962</v>
      </c>
      <c r="CI47" s="39">
        <f t="shared" si="495"/>
        <v>-0.46351944227417585</v>
      </c>
      <c r="CJ47" s="39">
        <f>+IF(CI44&gt;1,CJ44/CI44-1,1-CJ44/CI44)</f>
        <v>-0.60561250210049011</v>
      </c>
      <c r="CK47" s="39">
        <f>+IF(CJ44&gt;1,CK44/CJ44-1,1-CK44/CJ44)</f>
        <v>1.5179661979832635</v>
      </c>
      <c r="CL47" s="39">
        <f>+IF(CK44&gt;1,CL44/CK44-1,1-CL44/CK44)</f>
        <v>0.24468385131704973</v>
      </c>
      <c r="CM47" s="40">
        <f t="shared" ref="CM47" si="496">+CM44/CL44-1</f>
        <v>0.17797174317558073</v>
      </c>
      <c r="CN47" s="40">
        <f t="shared" ref="CN47" si="497">+CN44/CM44-1</f>
        <v>-0.37519147211530091</v>
      </c>
      <c r="CO47" s="40">
        <f t="shared" ref="CO47" si="498">+CO44/CN44-1</f>
        <v>0.46478890753981905</v>
      </c>
      <c r="CP47" s="40">
        <f t="shared" ref="CP47" si="499">+CP44/CO44-1</f>
        <v>0.63573597195727971</v>
      </c>
      <c r="CQ47" s="40">
        <f t="shared" ref="CQ47" si="500">+CQ44/CP44-1</f>
        <v>-9.8804602634151917E-2</v>
      </c>
      <c r="CR47" s="40">
        <f t="shared" ref="CR47" si="501">+CR44/CQ44-1</f>
        <v>-0.39892820261216377</v>
      </c>
      <c r="CS47" s="40">
        <f t="shared" ref="CS47" si="502">+CS44/CR44-1</f>
        <v>0.34506616259519052</v>
      </c>
      <c r="CT47" s="40">
        <f t="shared" ref="CT47" si="503">+CT44/CS44-1</f>
        <v>0.6055715531958703</v>
      </c>
      <c r="CU47" s="40">
        <f t="shared" ref="CU47" si="504">+CU44/CT44-1</f>
        <v>-9.3810918718129188E-2</v>
      </c>
      <c r="CV47" s="40">
        <f t="shared" ref="CV47" si="505">+CV44/CU44-1</f>
        <v>-0.4006873024667722</v>
      </c>
      <c r="CW47" s="40">
        <f t="shared" ref="CW47" si="506">+CW44/CV44-1</f>
        <v>0.3145766176406708</v>
      </c>
      <c r="CX47" s="40">
        <f t="shared" ref="CX47" si="507">+CX44/CW44-1</f>
        <v>0.59043379375025462</v>
      </c>
      <c r="CY47" s="40">
        <f t="shared" ref="CY47" si="508">+CY44/CX44-1</f>
        <v>-7.6303366930005501E-2</v>
      </c>
      <c r="CZ47" s="40">
        <f t="shared" ref="CZ47" si="509">+CZ44/CY44-1</f>
        <v>-0.4030657914959147</v>
      </c>
      <c r="DA47" s="40">
        <f t="shared" ref="DA47" si="510">+DA44/CZ44-1</f>
        <v>0.3089994322332501</v>
      </c>
      <c r="DB47" s="40">
        <f t="shared" ref="DB47" si="511">+DB44/DA44-1</f>
        <v>0.59100608556367096</v>
      </c>
      <c r="DE47" s="122"/>
      <c r="DF47" s="38">
        <v>1.0600884699273068</v>
      </c>
    </row>
    <row r="48" spans="1:110" s="23" customFormat="1" x14ac:dyDescent="0.2">
      <c r="A48" s="23" t="s">
        <v>15</v>
      </c>
      <c r="B48" s="23">
        <f>'Annual Raw'!C27</f>
        <v>14.792</v>
      </c>
      <c r="C48" s="23">
        <f>'Annual Raw'!D27</f>
        <v>15.225099999999999</v>
      </c>
      <c r="D48" s="23">
        <f>'Annual Raw'!E27</f>
        <v>17.6584</v>
      </c>
      <c r="E48" s="23">
        <f>'Annual Raw'!F27</f>
        <v>15.952400000000001</v>
      </c>
      <c r="F48" s="23">
        <f>'Annual Raw'!G27</f>
        <v>13.269</v>
      </c>
      <c r="G48" s="23">
        <f>'Annual Raw'!H27</f>
        <v>14.0906</v>
      </c>
      <c r="H48" s="23">
        <f>'Annual Raw'!I27</f>
        <v>15.566800000000001</v>
      </c>
      <c r="I48" s="23">
        <f>'Annual Raw'!J27</f>
        <v>16.692599999999999</v>
      </c>
      <c r="J48" s="23">
        <f>'Annual Raw'!K27</f>
        <v>20.9636</v>
      </c>
      <c r="K48" s="23">
        <f>'Annual Raw'!L27</f>
        <v>21.409600000000001</v>
      </c>
      <c r="L48" s="23">
        <f>'Annual Raw'!M27</f>
        <v>21.017099999999999</v>
      </c>
      <c r="M48" s="23">
        <f>'Annual Raw'!N27</f>
        <v>33.958199999999998</v>
      </c>
      <c r="N48" s="23">
        <f>'Annual Raw'!O27</f>
        <v>27.840299999999999</v>
      </c>
      <c r="O48" s="23">
        <f>'Annual Raw'!P27</f>
        <v>24.843299999999999</v>
      </c>
      <c r="P48" s="23">
        <f>'Annual Raw'!Q27</f>
        <v>28.0412</v>
      </c>
      <c r="Q48" s="23">
        <f>'Annual Raw'!R27</f>
        <v>26.346900000000002</v>
      </c>
      <c r="R48" s="23">
        <f>'Annual Raw'!S27</f>
        <v>24.45</v>
      </c>
      <c r="S48" s="23">
        <f>'Annual Raw'!T27</f>
        <v>24.35</v>
      </c>
      <c r="T48" s="23">
        <f>'Annual Raw'!U27</f>
        <v>23.98</v>
      </c>
      <c r="U48" s="23">
        <f>'Annual Raw'!V27</f>
        <v>31.96</v>
      </c>
      <c r="V48" s="23">
        <f>'Annual Raw'!W27</f>
        <v>33.89</v>
      </c>
      <c r="W48" s="23">
        <f>'Annual Raw'!X27</f>
        <v>37.26</v>
      </c>
      <c r="X48" s="23">
        <f>'Annual Raw'!Y27</f>
        <v>39.619999999999997</v>
      </c>
      <c r="Y48" s="23">
        <f>'Annual Raw'!Z27</f>
        <v>47.59</v>
      </c>
      <c r="Z48" s="23">
        <f>'Annual Raw'!AA27</f>
        <v>61.78</v>
      </c>
      <c r="AA48" s="23">
        <f>'Annual Raw'!AB27</f>
        <v>84.1</v>
      </c>
      <c r="AB48" s="76">
        <f>+SUM(CM48:CP48)</f>
        <v>90.927357571519323</v>
      </c>
      <c r="AC48" s="76">
        <f>+SUM(CQ48:CT48)</f>
        <v>82.122006535852961</v>
      </c>
      <c r="AD48" s="76">
        <f>+SUM(CU48:CX48)</f>
        <v>74.169360438855094</v>
      </c>
      <c r="AE48" s="76">
        <f>+SUM(CY48:DB48)</f>
        <v>66.98684384321669</v>
      </c>
      <c r="AI48" s="23">
        <f>'QTR Raw'!C28</f>
        <v>7.3</v>
      </c>
      <c r="AJ48" s="23">
        <f>'QTR Raw'!D28</f>
        <v>7.59</v>
      </c>
      <c r="AK48" s="23">
        <f>'QTR Raw'!E28</f>
        <v>6.95</v>
      </c>
      <c r="AL48" s="23">
        <f>'QTR Raw'!F28</f>
        <v>6</v>
      </c>
      <c r="AM48" s="23">
        <f>'QTR Raw'!G28</f>
        <v>6.05</v>
      </c>
      <c r="AN48" s="23">
        <f>'QTR Raw'!H28</f>
        <v>5.95</v>
      </c>
      <c r="AO48" s="23">
        <f>'QTR Raw'!I28</f>
        <v>5.96</v>
      </c>
      <c r="AP48" s="23">
        <f>'QTR Raw'!J28</f>
        <v>6.88</v>
      </c>
      <c r="AQ48" s="23">
        <f>'QTR Raw'!K28</f>
        <v>6.06</v>
      </c>
      <c r="AR48" s="23">
        <f>'QTR Raw'!L28</f>
        <v>6.9</v>
      </c>
      <c r="AS48" s="23">
        <f>'QTR Raw'!M28</f>
        <v>6.97</v>
      </c>
      <c r="AT48" s="23">
        <f>'QTR Raw'!N28</f>
        <v>8.11</v>
      </c>
      <c r="AU48" s="23">
        <f>'QTR Raw'!O28</f>
        <v>5.9</v>
      </c>
      <c r="AV48" s="23">
        <f>'QTR Raw'!P28</f>
        <v>6.41</v>
      </c>
      <c r="AW48" s="23">
        <f>'QTR Raw'!Q28</f>
        <v>6.52</v>
      </c>
      <c r="AX48" s="23">
        <f>'QTR Raw'!R28</f>
        <v>7.52</v>
      </c>
      <c r="AY48" s="23">
        <f>'QTR Raw'!S28</f>
        <v>6.55</v>
      </c>
      <c r="AZ48" s="23">
        <f>'QTR Raw'!T28</f>
        <v>6.32</v>
      </c>
      <c r="BA48" s="23">
        <f>'QTR Raw'!U28</f>
        <v>5.96</v>
      </c>
      <c r="BB48" s="23">
        <f>'QTR Raw'!V28</f>
        <v>5.62</v>
      </c>
      <c r="BC48" s="23">
        <f>'QTR Raw'!W28</f>
        <v>6.12</v>
      </c>
      <c r="BD48" s="23">
        <f>'QTR Raw'!X28</f>
        <v>6.09</v>
      </c>
      <c r="BE48" s="23">
        <f>'QTR Raw'!Y28</f>
        <v>6.07</v>
      </c>
      <c r="BF48" s="23">
        <f>'QTR Raw'!Z28</f>
        <v>6.07</v>
      </c>
      <c r="BG48" s="23">
        <f>'QTR Raw'!AA28</f>
        <v>5.94</v>
      </c>
      <c r="BH48" s="23">
        <f>'QTR Raw'!AB28</f>
        <v>5.95</v>
      </c>
      <c r="BI48" s="23">
        <f>'QTR Raw'!AC28</f>
        <v>6.16</v>
      </c>
      <c r="BJ48" s="23">
        <f>'QTR Raw'!AD28</f>
        <v>5.93</v>
      </c>
      <c r="BK48" s="23">
        <f>'QTR Raw'!AE28</f>
        <v>7.72</v>
      </c>
      <c r="BL48" s="23">
        <f>'QTR Raw'!AF28</f>
        <v>8.02</v>
      </c>
      <c r="BM48" s="23">
        <f>'QTR Raw'!AG28</f>
        <v>8.02</v>
      </c>
      <c r="BN48" s="23">
        <f>'QTR Raw'!AH28</f>
        <v>8.1999999999999993</v>
      </c>
      <c r="BO48" s="23">
        <f>'QTR Raw'!AI28</f>
        <v>8.2200000000000006</v>
      </c>
      <c r="BP48" s="23">
        <f>'QTR Raw'!AJ28</f>
        <v>8.39</v>
      </c>
      <c r="BQ48" s="23">
        <f>'QTR Raw'!AK28</f>
        <v>8.41</v>
      </c>
      <c r="BR48" s="23">
        <f>'QTR Raw'!AL28</f>
        <v>8.8699999999999992</v>
      </c>
      <c r="BS48" s="23">
        <f>'QTR Raw'!AM28</f>
        <v>8.61</v>
      </c>
      <c r="BT48" s="23">
        <f>'QTR Raw'!AN28</f>
        <v>9.5</v>
      </c>
      <c r="BU48" s="23">
        <f>'QTR Raw'!AO28</f>
        <v>9.6999999999999993</v>
      </c>
      <c r="BV48" s="23">
        <f>'QTR Raw'!AP28</f>
        <v>9.4499999999999993</v>
      </c>
      <c r="BW48" s="23">
        <f>'QTR Raw'!AQ28</f>
        <v>8.49</v>
      </c>
      <c r="BX48" s="23">
        <f>'QTR Raw'!AR28</f>
        <v>9.6999999999999993</v>
      </c>
      <c r="BY48" s="23">
        <f>'QTR Raw'!AS28</f>
        <v>11.05</v>
      </c>
      <c r="BZ48" s="23">
        <f>'QTR Raw'!AT28</f>
        <v>10.38</v>
      </c>
      <c r="CA48" s="23">
        <f>'QTR Raw'!AU28</f>
        <v>11.26</v>
      </c>
      <c r="CB48" s="23">
        <f>'QTR Raw'!AV28</f>
        <v>11.68</v>
      </c>
      <c r="CC48" s="23">
        <f>'QTR Raw'!AW28</f>
        <v>12.84</v>
      </c>
      <c r="CD48" s="23">
        <f>'QTR Raw'!AX28</f>
        <v>11.81</v>
      </c>
      <c r="CE48" s="23">
        <f>'QTR Raw'!AY28</f>
        <v>13.43</v>
      </c>
      <c r="CF48" s="23">
        <f>'QTR Raw'!AZ28</f>
        <v>16.43</v>
      </c>
      <c r="CG48" s="23">
        <f>'QTR Raw'!BA28</f>
        <v>17.87</v>
      </c>
      <c r="CH48" s="23">
        <f>'QTR Raw'!BB28</f>
        <v>14.05</v>
      </c>
      <c r="CI48" s="23">
        <f>'QTR Raw'!BC28</f>
        <v>18.47</v>
      </c>
      <c r="CJ48" s="23">
        <f>'QTR Raw'!BD28</f>
        <v>24.42</v>
      </c>
      <c r="CK48" s="23">
        <f>'QTR Raw'!BE28</f>
        <v>20.62</v>
      </c>
      <c r="CL48" s="23">
        <f>'QTR Raw'!BF28</f>
        <v>20.59</v>
      </c>
      <c r="CM48" s="24">
        <f t="shared" ref="CM48:DB48" si="512">CM49*CL150</f>
        <v>23.607322270251789</v>
      </c>
      <c r="CN48" s="24">
        <f t="shared" si="512"/>
        <v>23.013780905140198</v>
      </c>
      <c r="CO48" s="24">
        <f t="shared" si="512"/>
        <v>22.435162509608372</v>
      </c>
      <c r="CP48" s="24">
        <f t="shared" si="512"/>
        <v>21.871091886518965</v>
      </c>
      <c r="CQ48" s="24">
        <f t="shared" si="512"/>
        <v>21.321203272037533</v>
      </c>
      <c r="CR48" s="24">
        <f t="shared" si="512"/>
        <v>20.785140098457962</v>
      </c>
      <c r="CS48" s="24">
        <f t="shared" si="512"/>
        <v>20.26255476299108</v>
      </c>
      <c r="CT48" s="24">
        <f t="shared" si="512"/>
        <v>19.753108402366387</v>
      </c>
      <c r="CU48" s="24">
        <f t="shared" si="512"/>
        <v>19.256470673100843</v>
      </c>
      <c r="CV48" s="24">
        <f t="shared" si="512"/>
        <v>18.772319537292184</v>
      </c>
      <c r="CW48" s="24">
        <f t="shared" si="512"/>
        <v>18.300341053797851</v>
      </c>
      <c r="CX48" s="24">
        <f t="shared" si="512"/>
        <v>17.840229174664216</v>
      </c>
      <c r="CY48" s="24">
        <f t="shared" si="512"/>
        <v>17.391685546673969</v>
      </c>
      <c r="CZ48" s="24">
        <f t="shared" si="512"/>
        <v>16.954419317883069</v>
      </c>
      <c r="DA48" s="24">
        <f t="shared" si="512"/>
        <v>16.528146949021846</v>
      </c>
      <c r="DB48" s="24">
        <f t="shared" si="512"/>
        <v>16.112592029637813</v>
      </c>
      <c r="DE48" s="123"/>
      <c r="DF48" s="23">
        <v>20.113562818619279</v>
      </c>
    </row>
    <row r="49" spans="1:110" s="46" customFormat="1" x14ac:dyDescent="0.2">
      <c r="A49" s="46" t="s">
        <v>483</v>
      </c>
      <c r="B49" s="46">
        <f t="shared" ref="B49:D49" si="513">+B48/B150</f>
        <v>0.11052076710019718</v>
      </c>
      <c r="C49" s="46">
        <f t="shared" si="513"/>
        <v>0.11511997350556731</v>
      </c>
      <c r="D49" s="46">
        <f t="shared" si="513"/>
        <v>0.12083406323902952</v>
      </c>
      <c r="E49" s="46">
        <f t="shared" ref="E49:AE49" si="514">+E48/E150</f>
        <v>0.11028054052148283</v>
      </c>
      <c r="F49" s="46">
        <f t="shared" si="514"/>
        <v>0.13132552776650594</v>
      </c>
      <c r="G49" s="46">
        <f t="shared" si="514"/>
        <v>9.4521539461565454E-2</v>
      </c>
      <c r="H49" s="46">
        <f t="shared" si="514"/>
        <v>0.10571644918013862</v>
      </c>
      <c r="I49" s="46">
        <f t="shared" si="514"/>
        <v>9.8119560253013799E-2</v>
      </c>
      <c r="J49" s="46">
        <f t="shared" si="514"/>
        <v>9.7610353860580867E-2</v>
      </c>
      <c r="K49" s="46">
        <f t="shared" si="514"/>
        <v>7.5586299030069512E-2</v>
      </c>
      <c r="L49" s="46">
        <f t="shared" si="514"/>
        <v>9.5076381478085309E-2</v>
      </c>
      <c r="M49" s="46">
        <f t="shared" si="514"/>
        <v>0.16942377396992023</v>
      </c>
      <c r="N49" s="46">
        <f t="shared" si="514"/>
        <v>0.13194667591800058</v>
      </c>
      <c r="O49" s="46">
        <f t="shared" si="514"/>
        <v>8.613841200451855E-2</v>
      </c>
      <c r="P49" s="46">
        <f t="shared" si="514"/>
        <v>0.14832493619497228</v>
      </c>
      <c r="Q49" s="46">
        <f t="shared" si="514"/>
        <v>0.1293060039400028</v>
      </c>
      <c r="R49" s="46">
        <f t="shared" si="514"/>
        <v>0.13439973614775727</v>
      </c>
      <c r="S49" s="46">
        <f t="shared" si="514"/>
        <v>0.13518014767112638</v>
      </c>
      <c r="T49" s="46">
        <f t="shared" si="514"/>
        <v>0.10683417980932018</v>
      </c>
      <c r="U49" s="46">
        <f t="shared" si="514"/>
        <v>0.12164116617188098</v>
      </c>
      <c r="V49" s="46">
        <f t="shared" si="514"/>
        <v>0.1302860218360756</v>
      </c>
      <c r="W49" s="46">
        <f t="shared" si="514"/>
        <v>0.14439062197248601</v>
      </c>
      <c r="X49" s="46">
        <f t="shared" si="514"/>
        <v>9.8324854200272968E-2</v>
      </c>
      <c r="Y49" s="46">
        <f t="shared" si="514"/>
        <v>0.11054330909851109</v>
      </c>
      <c r="Z49" s="46">
        <f t="shared" si="514"/>
        <v>7.2069339617138919E-2</v>
      </c>
      <c r="AA49" s="46">
        <f t="shared" ref="AA49" si="515">+AA48/AA150</f>
        <v>8.6652791229624729E-2</v>
      </c>
      <c r="AB49" s="110">
        <f t="shared" si="514"/>
        <v>0.10722279456021461</v>
      </c>
      <c r="AC49" s="110">
        <f t="shared" si="514"/>
        <v>0.10722279456021462</v>
      </c>
      <c r="AD49" s="110">
        <f t="shared" si="514"/>
        <v>0.10722279456021461</v>
      </c>
      <c r="AE49" s="110">
        <f t="shared" si="514"/>
        <v>0.10722279456021459</v>
      </c>
      <c r="AI49" s="46" t="e">
        <f t="shared" ref="AI49:BN49" si="516">+AI48/AH150</f>
        <v>#DIV/0!</v>
      </c>
      <c r="AJ49" s="46" t="e">
        <f t="shared" si="516"/>
        <v>#DIV/0!</v>
      </c>
      <c r="AK49" s="46">
        <f t="shared" si="516"/>
        <v>3.273515142951345E-2</v>
      </c>
      <c r="AL49" s="46">
        <f t="shared" si="516"/>
        <v>2.8260562385191465E-2</v>
      </c>
      <c r="AM49" s="46">
        <f t="shared" si="516"/>
        <v>2.8672985781990519E-2</v>
      </c>
      <c r="AN49" s="46">
        <f t="shared" si="516"/>
        <v>2.8199052132701422E-2</v>
      </c>
      <c r="AO49" s="46">
        <f t="shared" si="516"/>
        <v>2.9032100930391155E-2</v>
      </c>
      <c r="AP49" s="46">
        <f t="shared" si="516"/>
        <v>3.3513566174679724E-2</v>
      </c>
      <c r="AQ49" s="46">
        <f t="shared" si="516"/>
        <v>2.8810497290101739E-2</v>
      </c>
      <c r="AR49" s="46">
        <f t="shared" si="516"/>
        <v>3.2804031567937625E-2</v>
      </c>
      <c r="AS49" s="46">
        <f t="shared" si="516"/>
        <v>3.425061425061425E-2</v>
      </c>
      <c r="AT49" s="46">
        <f t="shared" si="516"/>
        <v>3.9852579852579853E-2</v>
      </c>
      <c r="AU49" s="46">
        <f t="shared" si="516"/>
        <v>3.0495684085387918E-2</v>
      </c>
      <c r="AV49" s="46">
        <f t="shared" si="516"/>
        <v>3.3131751692768906E-2</v>
      </c>
      <c r="AW49" s="46">
        <f t="shared" si="516"/>
        <v>3.1305516877130644E-2</v>
      </c>
      <c r="AX49" s="46">
        <f t="shared" si="516"/>
        <v>3.6106976520862338E-2</v>
      </c>
      <c r="AY49" s="46">
        <f t="shared" si="516"/>
        <v>3.214566156262269E-2</v>
      </c>
      <c r="AZ49" s="46">
        <f t="shared" si="516"/>
        <v>3.1016882606988618E-2</v>
      </c>
      <c r="BA49" s="46">
        <f t="shared" si="516"/>
        <v>2.9632575945905633E-2</v>
      </c>
      <c r="BB49" s="46">
        <f t="shared" si="516"/>
        <v>2.7942126982548603E-2</v>
      </c>
      <c r="BC49" s="46">
        <f t="shared" si="516"/>
        <v>3.3641160949868076E-2</v>
      </c>
      <c r="BD49" s="46">
        <f t="shared" si="516"/>
        <v>3.3476253298153034E-2</v>
      </c>
      <c r="BE49" s="46">
        <f t="shared" si="516"/>
        <v>3.3688533688533688E-2</v>
      </c>
      <c r="BF49" s="46">
        <f t="shared" si="516"/>
        <v>3.3688533688533688E-2</v>
      </c>
      <c r="BG49" s="46">
        <f t="shared" si="516"/>
        <v>3.2976183867207021E-2</v>
      </c>
      <c r="BH49" s="46">
        <f t="shared" si="516"/>
        <v>3.3031699328262921E-2</v>
      </c>
      <c r="BI49" s="46">
        <f t="shared" si="516"/>
        <v>3.470618062989464E-2</v>
      </c>
      <c r="BJ49" s="46">
        <f t="shared" si="516"/>
        <v>3.3410332976505717E-2</v>
      </c>
      <c r="BK49" s="46">
        <f t="shared" si="516"/>
        <v>3.4393655885235672E-2</v>
      </c>
      <c r="BL49" s="46">
        <f t="shared" si="516"/>
        <v>3.5730196917045348E-2</v>
      </c>
      <c r="BM49" s="46">
        <f t="shared" si="516"/>
        <v>3.5416206668138661E-2</v>
      </c>
      <c r="BN49" s="46">
        <f t="shared" si="516"/>
        <v>3.62110841245308E-2</v>
      </c>
      <c r="BO49" s="46">
        <f t="shared" ref="BO49:CL49" si="517">+BO48/BN150</f>
        <v>3.2918185094709868E-2</v>
      </c>
      <c r="BP49" s="46">
        <f t="shared" si="517"/>
        <v>3.3598974810780509E-2</v>
      </c>
      <c r="BQ49" s="46">
        <f t="shared" si="517"/>
        <v>3.4573484069886945E-2</v>
      </c>
      <c r="BR49" s="46">
        <f t="shared" si="517"/>
        <v>3.6464542651593011E-2</v>
      </c>
      <c r="BS49" s="46">
        <f t="shared" si="517"/>
        <v>3.4882307661143294E-2</v>
      </c>
      <c r="BT49" s="46">
        <f t="shared" si="517"/>
        <v>3.848802819754487E-2</v>
      </c>
      <c r="BU49" s="46">
        <f t="shared" si="517"/>
        <v>4.0374609781477624E-2</v>
      </c>
      <c r="BV49" s="46">
        <f t="shared" si="517"/>
        <v>3.9334027055150884E-2</v>
      </c>
      <c r="BW49" s="46">
        <f t="shared" si="517"/>
        <v>3.5729315714165474E-2</v>
      </c>
      <c r="BX49" s="46">
        <f t="shared" si="517"/>
        <v>4.0821479673428161E-2</v>
      </c>
      <c r="BY49" s="46">
        <f t="shared" si="517"/>
        <v>4.3270548615734032E-2</v>
      </c>
      <c r="BZ49" s="46">
        <f t="shared" si="517"/>
        <v>4.0646904491522105E-2</v>
      </c>
      <c r="CA49" s="46">
        <f t="shared" si="517"/>
        <v>3.0659478298752926E-2</v>
      </c>
      <c r="CB49" s="46">
        <f t="shared" si="517"/>
        <v>3.1803082285029677E-2</v>
      </c>
      <c r="CC49" s="46">
        <f t="shared" si="517"/>
        <v>3.4700826982325281E-2</v>
      </c>
      <c r="CD49" s="46">
        <f t="shared" si="517"/>
        <v>3.1917193665207289E-2</v>
      </c>
      <c r="CE49" s="46">
        <f t="shared" si="517"/>
        <v>3.3934707903780066E-2</v>
      </c>
      <c r="CF49" s="46">
        <f t="shared" si="517"/>
        <v>4.1515059632100261E-2</v>
      </c>
      <c r="CG49" s="46">
        <f t="shared" si="517"/>
        <v>2.6977657004830919E-2</v>
      </c>
      <c r="CH49" s="46">
        <f t="shared" si="517"/>
        <v>2.1210748792270532E-2</v>
      </c>
      <c r="CI49" s="46">
        <f t="shared" si="517"/>
        <v>2.1546142808814436E-2</v>
      </c>
      <c r="CJ49" s="46">
        <f t="shared" si="517"/>
        <v>2.9114406981734946E-2</v>
      </c>
      <c r="CK49" s="46">
        <f t="shared" si="517"/>
        <v>2.4560484063080663E-2</v>
      </c>
      <c r="CL49" s="46">
        <f t="shared" si="517"/>
        <v>2.5142257064009573E-2</v>
      </c>
      <c r="CM49" s="47">
        <f t="shared" ref="CM49" si="518">CL49</f>
        <v>2.5142257064009573E-2</v>
      </c>
      <c r="CN49" s="47">
        <f t="shared" ref="CN49" si="519">CM49</f>
        <v>2.5142257064009573E-2</v>
      </c>
      <c r="CO49" s="47">
        <f t="shared" ref="CO49" si="520">CN49</f>
        <v>2.5142257064009573E-2</v>
      </c>
      <c r="CP49" s="47">
        <f t="shared" ref="CP49" si="521">CO49</f>
        <v>2.5142257064009573E-2</v>
      </c>
      <c r="CQ49" s="47">
        <f t="shared" ref="CQ49" si="522">CP49</f>
        <v>2.5142257064009573E-2</v>
      </c>
      <c r="CR49" s="47">
        <f t="shared" ref="CR49" si="523">CQ49</f>
        <v>2.5142257064009573E-2</v>
      </c>
      <c r="CS49" s="47">
        <f t="shared" ref="CS49" si="524">CR49</f>
        <v>2.5142257064009573E-2</v>
      </c>
      <c r="CT49" s="47">
        <f t="shared" ref="CT49" si="525">CS49</f>
        <v>2.5142257064009573E-2</v>
      </c>
      <c r="CU49" s="47">
        <f t="shared" ref="CU49" si="526">CT49</f>
        <v>2.5142257064009573E-2</v>
      </c>
      <c r="CV49" s="47">
        <f t="shared" ref="CV49" si="527">CU49</f>
        <v>2.5142257064009573E-2</v>
      </c>
      <c r="CW49" s="47">
        <f t="shared" ref="CW49" si="528">CV49</f>
        <v>2.5142257064009573E-2</v>
      </c>
      <c r="CX49" s="47">
        <f t="shared" ref="CX49" si="529">CW49</f>
        <v>2.5142257064009573E-2</v>
      </c>
      <c r="CY49" s="47">
        <f t="shared" ref="CY49" si="530">CX49</f>
        <v>2.5142257064009573E-2</v>
      </c>
      <c r="CZ49" s="47">
        <f t="shared" ref="CZ49" si="531">CY49</f>
        <v>2.5142257064009573E-2</v>
      </c>
      <c r="DA49" s="47">
        <f t="shared" ref="DA49" si="532">CZ49</f>
        <v>2.5142257064009573E-2</v>
      </c>
      <c r="DB49" s="47">
        <f t="shared" ref="DB49" si="533">DA49</f>
        <v>2.5142257064009573E-2</v>
      </c>
      <c r="DE49" s="130"/>
      <c r="DF49" s="46">
        <v>2.4560484063080663E-2</v>
      </c>
    </row>
    <row r="50" spans="1:110" s="26" customFormat="1" x14ac:dyDescent="0.2">
      <c r="A50" s="34" t="s">
        <v>16</v>
      </c>
      <c r="B50" s="26">
        <f>B44-B48</f>
        <v>12.697599999999982</v>
      </c>
      <c r="C50" s="26">
        <f t="shared" ref="C50:T50" si="534">C44-C48</f>
        <v>7.0053999999998933</v>
      </c>
      <c r="D50" s="26">
        <f>D44-D48</f>
        <v>17.210000000000093</v>
      </c>
      <c r="E50" s="26">
        <f t="shared" si="534"/>
        <v>25.059399999999936</v>
      </c>
      <c r="F50" s="26">
        <f t="shared" si="534"/>
        <v>39.5075</v>
      </c>
      <c r="G50" s="26">
        <f t="shared" si="534"/>
        <v>97.489399999999875</v>
      </c>
      <c r="H50" s="26">
        <f t="shared" si="534"/>
        <v>112.50050000000016</v>
      </c>
      <c r="I50" s="26">
        <f t="shared" si="534"/>
        <v>236.30930000000009</v>
      </c>
      <c r="J50" s="26">
        <f t="shared" si="534"/>
        <v>262.09149999999971</v>
      </c>
      <c r="K50" s="26">
        <f t="shared" si="534"/>
        <v>438.161100000001</v>
      </c>
      <c r="L50" s="26">
        <f t="shared" si="534"/>
        <v>433.95969999999943</v>
      </c>
      <c r="M50" s="26">
        <f t="shared" si="534"/>
        <v>302.51119999999997</v>
      </c>
      <c r="N50" s="26">
        <f t="shared" si="534"/>
        <v>210.17059999999975</v>
      </c>
      <c r="O50" s="26">
        <f t="shared" si="534"/>
        <v>240.7682999999995</v>
      </c>
      <c r="P50" s="26">
        <f t="shared" si="534"/>
        <v>381.9965999999996</v>
      </c>
      <c r="Q50" s="26">
        <f t="shared" si="534"/>
        <v>406.61470000000031</v>
      </c>
      <c r="R50" s="26">
        <f t="shared" si="534"/>
        <v>542.43999999999983</v>
      </c>
      <c r="S50" s="26">
        <f t="shared" si="534"/>
        <v>627.30000000000052</v>
      </c>
      <c r="T50" s="26">
        <f t="shared" si="534"/>
        <v>576.56000000000017</v>
      </c>
      <c r="U50" s="26">
        <f t="shared" ref="U50:Z50" si="535">U44-U48</f>
        <v>653.99000000000046</v>
      </c>
      <c r="V50" s="26">
        <f t="shared" si="535"/>
        <v>607.46999999999969</v>
      </c>
      <c r="W50" s="26">
        <f t="shared" si="535"/>
        <v>644.28999999999974</v>
      </c>
      <c r="X50" s="26">
        <f t="shared" si="535"/>
        <v>532.75000000000102</v>
      </c>
      <c r="Y50" s="26">
        <f t="shared" si="535"/>
        <v>425.28999999999826</v>
      </c>
      <c r="Z50" s="26">
        <f t="shared" si="535"/>
        <v>1054.4000000000017</v>
      </c>
      <c r="AA50" s="26">
        <f t="shared" ref="AA50" si="536">AA44-AA48</f>
        <v>517.99999999999943</v>
      </c>
      <c r="AB50" s="27">
        <f t="shared" ref="AA50:AD50" si="537">AB44-AB48</f>
        <v>958.48012736214639</v>
      </c>
      <c r="AC50" s="27">
        <f t="shared" si="537"/>
        <v>1218.132759804314</v>
      </c>
      <c r="AD50" s="27">
        <f t="shared" si="537"/>
        <v>1427.4921754742459</v>
      </c>
      <c r="AE50" s="27">
        <f t="shared" ref="AE50" si="538">AE44-AE48</f>
        <v>1662.1327104414322</v>
      </c>
      <c r="AI50" s="26">
        <f t="shared" ref="AI50" si="539">AI44-AI48</f>
        <v>86.610000000000085</v>
      </c>
      <c r="AJ50" s="26">
        <f t="shared" ref="AJ50" si="540">AJ44-AJ48</f>
        <v>36.389999999999958</v>
      </c>
      <c r="AK50" s="26">
        <f t="shared" ref="AK50:AM50" si="541">AK44-AK48</f>
        <v>17.309999999999935</v>
      </c>
      <c r="AL50" s="26">
        <f t="shared" si="541"/>
        <v>75.790000000000134</v>
      </c>
      <c r="AM50" s="26">
        <f t="shared" si="541"/>
        <v>44.419999999999973</v>
      </c>
      <c r="AN50" s="26">
        <f t="shared" ref="AN50:AO50" si="542">AN44-AN48</f>
        <v>36.320000000000093</v>
      </c>
      <c r="AO50" s="26">
        <f t="shared" si="542"/>
        <v>61.539999999999942</v>
      </c>
      <c r="AP50" s="26">
        <f t="shared" ref="AP50:CD50" si="543">AP44-AP48</f>
        <v>98.489999999999839</v>
      </c>
      <c r="AQ50" s="26">
        <f t="shared" si="543"/>
        <v>125.82999999999993</v>
      </c>
      <c r="AR50" s="26">
        <f t="shared" si="543"/>
        <v>70.839999999999947</v>
      </c>
      <c r="AS50" s="26">
        <f t="shared" si="543"/>
        <v>50.429999999999922</v>
      </c>
      <c r="AT50" s="26">
        <f t="shared" si="543"/>
        <v>134.90000000000003</v>
      </c>
      <c r="AU50" s="26">
        <f t="shared" si="543"/>
        <v>125.39999999999989</v>
      </c>
      <c r="AV50" s="26">
        <f t="shared" si="543"/>
        <v>58.110000000000156</v>
      </c>
      <c r="AW50" s="26">
        <f t="shared" si="543"/>
        <v>49.779999999999731</v>
      </c>
      <c r="AX50" s="26">
        <f t="shared" si="543"/>
        <v>173.32000000000014</v>
      </c>
      <c r="AY50" s="26">
        <f t="shared" si="543"/>
        <v>192.98999999999978</v>
      </c>
      <c r="AZ50" s="26">
        <f t="shared" si="543"/>
        <v>62.349999999999902</v>
      </c>
      <c r="BA50" s="26">
        <f t="shared" si="543"/>
        <v>82.999999999999929</v>
      </c>
      <c r="BB50" s="26">
        <f t="shared" si="543"/>
        <v>215.5500000000003</v>
      </c>
      <c r="BC50" s="26">
        <f t="shared" si="543"/>
        <v>202.20999999999981</v>
      </c>
      <c r="BD50" s="26">
        <f t="shared" si="543"/>
        <v>80.87</v>
      </c>
      <c r="BE50" s="26">
        <f t="shared" si="543"/>
        <v>108.12000000000006</v>
      </c>
      <c r="BF50" s="26">
        <f t="shared" si="543"/>
        <v>247.09000000000026</v>
      </c>
      <c r="BG50" s="26">
        <f t="shared" si="543"/>
        <v>237.24999999999972</v>
      </c>
      <c r="BH50" s="26">
        <f t="shared" si="543"/>
        <v>102.59000000000007</v>
      </c>
      <c r="BI50" s="26">
        <f t="shared" si="543"/>
        <v>109.51000000000002</v>
      </c>
      <c r="BJ50" s="26">
        <f t="shared" si="543"/>
        <v>138.37999999999994</v>
      </c>
      <c r="BK50" s="26">
        <f t="shared" si="543"/>
        <v>283.48999999999978</v>
      </c>
      <c r="BL50" s="26">
        <f t="shared" si="543"/>
        <v>97.860000000000227</v>
      </c>
      <c r="BM50" s="26">
        <f t="shared" si="543"/>
        <v>89.529999999999959</v>
      </c>
      <c r="BN50" s="26">
        <f t="shared" si="543"/>
        <v>183.81999999999942</v>
      </c>
      <c r="BO50" s="26">
        <f t="shared" si="543"/>
        <v>58.53</v>
      </c>
      <c r="BP50" s="26">
        <f t="shared" si="543"/>
        <v>89.600000000000009</v>
      </c>
      <c r="BQ50" s="26">
        <f t="shared" si="543"/>
        <v>137.47999999999988</v>
      </c>
      <c r="BR50" s="26">
        <f t="shared" si="543"/>
        <v>321.86000000000041</v>
      </c>
      <c r="BS50" s="26">
        <f t="shared" si="543"/>
        <v>127.1699999999998</v>
      </c>
      <c r="BT50" s="26">
        <f t="shared" si="543"/>
        <v>119.62000000000018</v>
      </c>
      <c r="BU50" s="26">
        <f t="shared" si="543"/>
        <v>145.93999999999966</v>
      </c>
      <c r="BV50" s="26">
        <f t="shared" si="543"/>
        <v>251.55999999999995</v>
      </c>
      <c r="BW50" s="26">
        <f t="shared" si="543"/>
        <v>168.50000000000011</v>
      </c>
      <c r="BX50" s="26">
        <f t="shared" si="543"/>
        <v>91.139999999999972</v>
      </c>
      <c r="BY50" s="26">
        <f t="shared" si="543"/>
        <v>65.31999999999978</v>
      </c>
      <c r="BZ50" s="26">
        <f t="shared" si="543"/>
        <v>207.79000000000025</v>
      </c>
      <c r="CA50" s="26">
        <f t="shared" si="543"/>
        <v>174.09000000000003</v>
      </c>
      <c r="CB50" s="26">
        <f t="shared" si="543"/>
        <v>58.589999999999868</v>
      </c>
      <c r="CC50" s="26">
        <f t="shared" si="543"/>
        <v>15.579999999999959</v>
      </c>
      <c r="CD50" s="26">
        <f t="shared" si="543"/>
        <v>178.77000000000027</v>
      </c>
      <c r="CE50" s="26">
        <f t="shared" ref="CE50:CF50" si="544">CE44-CE48</f>
        <v>410.36999999999904</v>
      </c>
      <c r="CF50" s="26">
        <f t="shared" si="544"/>
        <v>145.78000000000003</v>
      </c>
      <c r="CG50" s="26">
        <f t="shared" ref="CG50:CH50" si="545">CG44-CG48</f>
        <v>179.52000000000021</v>
      </c>
      <c r="CH50" s="26">
        <f t="shared" si="545"/>
        <v>318.72999999999996</v>
      </c>
      <c r="CI50" s="26">
        <f t="shared" ref="CI50:CJ50" si="546">CI44-CI48</f>
        <v>160.05999999999975</v>
      </c>
      <c r="CJ50" s="26">
        <f t="shared" si="546"/>
        <v>45.989999999999398</v>
      </c>
      <c r="CK50" s="26">
        <f t="shared" ref="CK50:CL50" si="547">CK44-CK48</f>
        <v>156.67000000000007</v>
      </c>
      <c r="CL50" s="26">
        <f t="shared" si="547"/>
        <v>200.07999999999984</v>
      </c>
      <c r="CM50" s="27">
        <f t="shared" ref="CM50:DB50" si="548">CM44-CM48</f>
        <v>236.33570229630342</v>
      </c>
      <c r="CN50" s="27">
        <f t="shared" si="548"/>
        <v>139.40083760818533</v>
      </c>
      <c r="CO50" s="27">
        <f t="shared" si="548"/>
        <v>215.4679691110222</v>
      </c>
      <c r="CP50" s="27">
        <f t="shared" si="548"/>
        <v>367.27561834663385</v>
      </c>
      <c r="CQ50" s="27">
        <f t="shared" si="548"/>
        <v>329.37602089014121</v>
      </c>
      <c r="CR50" s="27">
        <f t="shared" si="548"/>
        <v>190.00907076762772</v>
      </c>
      <c r="CS50" s="27">
        <f t="shared" si="548"/>
        <v>263.26960554393617</v>
      </c>
      <c r="CT50" s="27">
        <f t="shared" si="548"/>
        <v>435.47806260260734</v>
      </c>
      <c r="CU50" s="27">
        <f t="shared" si="548"/>
        <v>393.2690459507665</v>
      </c>
      <c r="CV50" s="27">
        <f t="shared" si="548"/>
        <v>228.45946063184616</v>
      </c>
      <c r="CW50" s="27">
        <f t="shared" si="548"/>
        <v>306.70477629422987</v>
      </c>
      <c r="CX50" s="27">
        <f t="shared" si="548"/>
        <v>499.05889259740621</v>
      </c>
      <c r="CY50" s="27">
        <f t="shared" si="548"/>
        <v>460.06629287102459</v>
      </c>
      <c r="CZ50" s="27">
        <f t="shared" si="548"/>
        <v>268.05658112284641</v>
      </c>
      <c r="DA50" s="27">
        <f t="shared" si="548"/>
        <v>356.55109080812366</v>
      </c>
      <c r="DB50" s="27">
        <f t="shared" si="548"/>
        <v>577.45874563943642</v>
      </c>
      <c r="DE50" s="121"/>
      <c r="DF50" s="26">
        <v>345.11952201479306</v>
      </c>
    </row>
    <row r="51" spans="1:110" s="23" customFormat="1" x14ac:dyDescent="0.2">
      <c r="A51" s="23" t="s">
        <v>17</v>
      </c>
      <c r="B51" s="23">
        <f>'Annual Raw'!C23</f>
        <v>19.0685</v>
      </c>
      <c r="C51" s="23">
        <f>'Annual Raw'!D23</f>
        <v>26.7028</v>
      </c>
      <c r="D51" s="23">
        <f>'Annual Raw'!E23</f>
        <v>21.1738</v>
      </c>
      <c r="E51" s="23">
        <f>'Annual Raw'!F23</f>
        <v>23.286200000000001</v>
      </c>
      <c r="F51" s="23">
        <f>'Annual Raw'!G23</f>
        <v>24.355</v>
      </c>
      <c r="G51" s="23">
        <f>'Annual Raw'!H23</f>
        <v>31.192299999999999</v>
      </c>
      <c r="H51" s="23">
        <f>'Annual Raw'!I23</f>
        <v>70.180800000000005</v>
      </c>
      <c r="I51" s="23">
        <f>'Annual Raw'!J23</f>
        <v>48.337200000000003</v>
      </c>
      <c r="J51" s="23">
        <f>'Annual Raw'!K23</f>
        <v>96.251599999999996</v>
      </c>
      <c r="K51" s="23">
        <f>'Annual Raw'!L23</f>
        <v>78.456900000000005</v>
      </c>
      <c r="L51" s="23">
        <f>'Annual Raw'!M23</f>
        <v>66.436300000000003</v>
      </c>
      <c r="M51" s="23">
        <f>'Annual Raw'!N23</f>
        <v>98.496799999999993</v>
      </c>
      <c r="N51" s="23">
        <f>'Annual Raw'!O23</f>
        <v>90.126199999999997</v>
      </c>
      <c r="O51" s="23">
        <f>'Annual Raw'!P23</f>
        <v>100.1781</v>
      </c>
      <c r="P51" s="23">
        <f>'Annual Raw'!Q23</f>
        <v>108.71899999999999</v>
      </c>
      <c r="Q51" s="23">
        <f>'Annual Raw'!R23</f>
        <v>136.71</v>
      </c>
      <c r="R51" s="23">
        <f>'Annual Raw'!S23</f>
        <v>212.02</v>
      </c>
      <c r="S51" s="23">
        <f>'Annual Raw'!T23</f>
        <v>185.12</v>
      </c>
      <c r="T51" s="23">
        <f>'Annual Raw'!U23</f>
        <v>197.42</v>
      </c>
      <c r="U51" s="23">
        <f>'Annual Raw'!V23</f>
        <v>231.31</v>
      </c>
      <c r="V51" s="23">
        <f>'Annual Raw'!W23</f>
        <v>188.86</v>
      </c>
      <c r="W51" s="23">
        <f>'Annual Raw'!X23</f>
        <v>189.19</v>
      </c>
      <c r="X51" s="23">
        <f>'Annual Raw'!Y23</f>
        <v>168.45</v>
      </c>
      <c r="Y51" s="23">
        <f>'Annual Raw'!Z23</f>
        <v>255</v>
      </c>
      <c r="Z51" s="23">
        <f>'Annual Raw'!AA23</f>
        <v>324.45999999999998</v>
      </c>
      <c r="AA51" s="23">
        <f>'Annual Raw'!AB23</f>
        <v>282.95</v>
      </c>
      <c r="AB51" s="76">
        <f t="shared" ref="AB51:AB52" si="549">+SUM(CM51:CP51)</f>
        <v>0</v>
      </c>
      <c r="AC51" s="76">
        <f t="shared" ref="AC51:AC52" si="550">+SUM(CQ51:CT51)</f>
        <v>0</v>
      </c>
      <c r="AD51" s="76">
        <f t="shared" ref="AD51:AD52" si="551">+SUM(CU51:CX51)</f>
        <v>0</v>
      </c>
      <c r="AE51" s="76">
        <f t="shared" ref="AE51:AE52" si="552">+SUM(CY51:DB51)</f>
        <v>0</v>
      </c>
      <c r="AI51" s="23">
        <f>'QTR Raw'!C23</f>
        <v>34.94</v>
      </c>
      <c r="AJ51" s="23">
        <f>'QTR Raw'!D23</f>
        <v>18.260000000000002</v>
      </c>
      <c r="AK51" s="23">
        <f>'QTR Raw'!E23</f>
        <v>24.3</v>
      </c>
      <c r="AL51" s="23">
        <f>'QTR Raw'!F23</f>
        <v>12.63</v>
      </c>
      <c r="AM51" s="23">
        <f>'QTR Raw'!G23</f>
        <v>22.11</v>
      </c>
      <c r="AN51" s="23">
        <f>'QTR Raw'!H23</f>
        <v>30.25</v>
      </c>
      <c r="AO51" s="23">
        <f>'QTR Raw'!I23</f>
        <v>17.04</v>
      </c>
      <c r="AP51" s="23">
        <f>'QTR Raw'!J23</f>
        <v>30.78</v>
      </c>
      <c r="AQ51" s="23">
        <f>'QTR Raw'!K23</f>
        <v>29.21</v>
      </c>
      <c r="AR51" s="23">
        <f>'QTR Raw'!L23</f>
        <v>18.829999999999998</v>
      </c>
      <c r="AS51" s="23">
        <f>'QTR Raw'!M23</f>
        <v>30.39</v>
      </c>
      <c r="AT51" s="23">
        <f>'QTR Raw'!N23</f>
        <v>30.29</v>
      </c>
      <c r="AU51" s="23">
        <f>'QTR Raw'!O23</f>
        <v>24.8</v>
      </c>
      <c r="AV51" s="23">
        <f>'QTR Raw'!P23</f>
        <v>47.75</v>
      </c>
      <c r="AW51" s="23">
        <f>'QTR Raw'!Q23</f>
        <v>24.9</v>
      </c>
      <c r="AX51" s="23">
        <f>'QTR Raw'!R23</f>
        <v>39.26</v>
      </c>
      <c r="AY51" s="23">
        <f>'QTR Raw'!S23</f>
        <v>35.72</v>
      </c>
      <c r="AZ51" s="23">
        <f>'QTR Raw'!T23</f>
        <v>65.84</v>
      </c>
      <c r="BA51" s="23">
        <f>'QTR Raw'!U23</f>
        <v>59.66</v>
      </c>
      <c r="BB51" s="23">
        <f>'QTR Raw'!V23</f>
        <v>39.35</v>
      </c>
      <c r="BC51" s="23">
        <f>'QTR Raw'!W23</f>
        <v>58.95</v>
      </c>
      <c r="BD51" s="23">
        <f>'QTR Raw'!X23</f>
        <v>49.93</v>
      </c>
      <c r="BE51" s="23">
        <f>'QTR Raw'!Y23</f>
        <v>21.46</v>
      </c>
      <c r="BF51" s="23">
        <f>'QTR Raw'!Z23</f>
        <v>43.79</v>
      </c>
      <c r="BG51" s="23">
        <f>'QTR Raw'!AA23</f>
        <v>28.21</v>
      </c>
      <c r="BH51" s="23">
        <f>'QTR Raw'!AB23</f>
        <v>46.08</v>
      </c>
      <c r="BI51" s="23">
        <f>'QTR Raw'!AC23</f>
        <v>54.78</v>
      </c>
      <c r="BJ51" s="23">
        <f>'QTR Raw'!AD23</f>
        <v>57.18</v>
      </c>
      <c r="BK51" s="23">
        <f>'QTR Raw'!AE23</f>
        <v>43.27</v>
      </c>
      <c r="BL51" s="23">
        <f>'QTR Raw'!AF23</f>
        <v>72.62</v>
      </c>
      <c r="BM51" s="23">
        <f>'QTR Raw'!AG23</f>
        <v>54.25</v>
      </c>
      <c r="BN51" s="23">
        <f>'QTR Raw'!AH23</f>
        <v>60.46</v>
      </c>
      <c r="BO51" s="23">
        <f>'QTR Raw'!AI23</f>
        <v>67.400000000000006</v>
      </c>
      <c r="BP51" s="23">
        <f>'QTR Raw'!AJ23</f>
        <v>38.26</v>
      </c>
      <c r="BQ51" s="23">
        <f>'QTR Raw'!AK23</f>
        <v>51.62</v>
      </c>
      <c r="BR51" s="23">
        <f>'QTR Raw'!AL23</f>
        <v>31.58</v>
      </c>
      <c r="BS51" s="23">
        <f>'QTR Raw'!AM23</f>
        <v>74.97</v>
      </c>
      <c r="BT51" s="23">
        <f>'QTR Raw'!AN23</f>
        <v>48.27</v>
      </c>
      <c r="BU51" s="23">
        <f>'QTR Raw'!AO23</f>
        <v>28.75</v>
      </c>
      <c r="BV51" s="23">
        <f>'QTR Raw'!AP23</f>
        <v>37.200000000000003</v>
      </c>
      <c r="BW51" s="23">
        <f>'QTR Raw'!AQ23</f>
        <v>26.75</v>
      </c>
      <c r="BX51" s="23">
        <f>'QTR Raw'!AR23</f>
        <v>64.38</v>
      </c>
      <c r="BY51" s="23">
        <f>'QTR Raw'!AS23</f>
        <v>30.66</v>
      </c>
      <c r="BZ51" s="23">
        <f>'QTR Raw'!AT23</f>
        <v>46.66</v>
      </c>
      <c r="CA51" s="23">
        <f>'QTR Raw'!AU23</f>
        <v>69.97</v>
      </c>
      <c r="CB51" s="23">
        <f>'QTR Raw'!AV23</f>
        <v>70.98</v>
      </c>
      <c r="CC51" s="23">
        <f>'QTR Raw'!AW23</f>
        <v>57.89</v>
      </c>
      <c r="CD51" s="23">
        <f>'QTR Raw'!AX23</f>
        <v>54.42</v>
      </c>
      <c r="CE51" s="23">
        <f>'QTR Raw'!AY23</f>
        <v>80.25</v>
      </c>
      <c r="CF51" s="23">
        <f>'QTR Raw'!AZ23</f>
        <v>105.47</v>
      </c>
      <c r="CG51" s="23">
        <f>'QTR Raw'!BA23</f>
        <v>59.05</v>
      </c>
      <c r="CH51" s="23">
        <f>'QTR Raw'!BB23</f>
        <v>79.69</v>
      </c>
      <c r="CI51" s="23">
        <f>'QTR Raw'!BC23</f>
        <v>82.07</v>
      </c>
      <c r="CJ51" s="23">
        <f>'QTR Raw'!BD23</f>
        <v>64.61</v>
      </c>
      <c r="CK51" s="23">
        <f>'QTR Raw'!BE23</f>
        <v>48.84</v>
      </c>
      <c r="CL51" s="23">
        <f>'QTR Raw'!BF23</f>
        <v>42.63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3"/>
      <c r="DF51" s="23">
        <v>238.15</v>
      </c>
    </row>
    <row r="52" spans="1:110" s="23" customFormat="1" x14ac:dyDescent="0.2">
      <c r="A52" s="23" t="s">
        <v>18</v>
      </c>
      <c r="B52" s="23">
        <f>'Annual Raw'!C25</f>
        <v>14.5763</v>
      </c>
      <c r="C52" s="23">
        <f>'Annual Raw'!D25</f>
        <v>12.21</v>
      </c>
      <c r="D52" s="23">
        <f>'Annual Raw'!E25</f>
        <v>9.7594999999999992</v>
      </c>
      <c r="E52" s="23">
        <f>'Annual Raw'!F25</f>
        <v>8.2192000000000007</v>
      </c>
      <c r="F52" s="23">
        <f>'Annual Raw'!G25</f>
        <v>8.7385999999999999</v>
      </c>
      <c r="G52" s="23">
        <f>'Annual Raw'!H25</f>
        <v>6.4469000000000003</v>
      </c>
      <c r="H52" s="23">
        <f>'Annual Raw'!I25</f>
        <v>9.8649000000000004</v>
      </c>
      <c r="I52" s="23">
        <f>'Annual Raw'!J25</f>
        <v>8.9749999999999996</v>
      </c>
      <c r="J52" s="23">
        <f>'Annual Raw'!K25</f>
        <v>12.751899999999999</v>
      </c>
      <c r="K52" s="23">
        <f>'Annual Raw'!L25</f>
        <v>9.8439999999999994</v>
      </c>
      <c r="L52" s="23">
        <f>'Annual Raw'!M25</f>
        <v>16.5351</v>
      </c>
      <c r="M52" s="23">
        <f>'Annual Raw'!N25</f>
        <v>31.4194</v>
      </c>
      <c r="N52" s="23">
        <f>'Annual Raw'!O25</f>
        <v>32.5473</v>
      </c>
      <c r="O52" s="23">
        <f>'Annual Raw'!P25</f>
        <v>22.5457</v>
      </c>
      <c r="P52" s="23">
        <f>'Annual Raw'!Q25</f>
        <v>23.2575</v>
      </c>
      <c r="Q52" s="23">
        <f>'Annual Raw'!R25</f>
        <v>15.799200000000001</v>
      </c>
      <c r="R52" s="23">
        <f>'Annual Raw'!S25</f>
        <v>16.04</v>
      </c>
      <c r="S52" s="23">
        <f>'Annual Raw'!T25</f>
        <v>11.92</v>
      </c>
      <c r="T52" s="23">
        <f>'Annual Raw'!U25</f>
        <v>32.979999999999997</v>
      </c>
      <c r="U52" s="23">
        <f>'Annual Raw'!V25</f>
        <v>21.1</v>
      </c>
      <c r="V52" s="23">
        <f>'Annual Raw'!W25</f>
        <v>26.15</v>
      </c>
      <c r="W52" s="23">
        <f>'Annual Raw'!X25</f>
        <v>25.87</v>
      </c>
      <c r="X52" s="23">
        <f>'Annual Raw'!Y25</f>
        <v>29.59</v>
      </c>
      <c r="Y52" s="23">
        <f>'Annual Raw'!Z25</f>
        <v>55.88</v>
      </c>
      <c r="Z52" s="23">
        <f>'Annual Raw'!AA25</f>
        <v>62.11</v>
      </c>
      <c r="AA52" s="23">
        <f>'Annual Raw'!AB25</f>
        <v>86.78</v>
      </c>
      <c r="AB52" s="76">
        <f t="shared" si="549"/>
        <v>61.4990416904037</v>
      </c>
      <c r="AC52" s="76">
        <f t="shared" si="550"/>
        <v>108.73145545001071</v>
      </c>
      <c r="AD52" s="76">
        <f t="shared" si="551"/>
        <v>151.12110345571273</v>
      </c>
      <c r="AE52" s="76">
        <f t="shared" si="552"/>
        <v>199.42741099679469</v>
      </c>
      <c r="AI52" s="23">
        <f>'QTR Raw'!C25</f>
        <v>12.09</v>
      </c>
      <c r="AJ52" s="23">
        <f>'QTR Raw'!D25</f>
        <v>8.5299999999999994</v>
      </c>
      <c r="AK52" s="23">
        <f>'QTR Raw'!E25</f>
        <v>7.15</v>
      </c>
      <c r="AL52" s="23">
        <f>'QTR Raw'!F25</f>
        <v>10.71</v>
      </c>
      <c r="AM52" s="23">
        <f>'QTR Raw'!G25</f>
        <v>6.97</v>
      </c>
      <c r="AN52" s="23">
        <f>'QTR Raw'!H25</f>
        <v>4.5599999999999996</v>
      </c>
      <c r="AO52" s="23">
        <f>'QTR Raw'!I25</f>
        <v>4.5599999999999996</v>
      </c>
      <c r="AP52" s="23">
        <f>'QTR Raw'!J25</f>
        <v>6.46</v>
      </c>
      <c r="AQ52" s="23">
        <f>'QTR Raw'!K25</f>
        <v>8.6999999999999993</v>
      </c>
      <c r="AR52" s="23">
        <f>'QTR Raw'!L25</f>
        <v>4.3899999999999997</v>
      </c>
      <c r="AS52" s="23">
        <f>'QTR Raw'!M25</f>
        <v>4.3499999999999996</v>
      </c>
      <c r="AT52" s="23">
        <f>'QTR Raw'!N25</f>
        <v>5.82</v>
      </c>
      <c r="AU52" s="23">
        <f>'QTR Raw'!O25</f>
        <v>3.36</v>
      </c>
      <c r="AV52" s="23">
        <f>'QTR Raw'!P25</f>
        <v>3.34</v>
      </c>
      <c r="AW52" s="23">
        <f>'QTR Raw'!Q25</f>
        <v>3.67</v>
      </c>
      <c r="AX52" s="23">
        <f>'QTR Raw'!R25</f>
        <v>5.43</v>
      </c>
      <c r="AY52" s="23">
        <f>'QTR Raw'!S25</f>
        <v>4.84</v>
      </c>
      <c r="AZ52" s="23">
        <f>'QTR Raw'!T25</f>
        <v>3.26</v>
      </c>
      <c r="BA52" s="23">
        <f>'QTR Raw'!U25</f>
        <v>2.17</v>
      </c>
      <c r="BB52" s="23">
        <f>'QTR Raw'!V25</f>
        <v>5.77</v>
      </c>
      <c r="BC52" s="23">
        <f>'QTR Raw'!W25</f>
        <v>3.54</v>
      </c>
      <c r="BD52" s="23">
        <f>'QTR Raw'!X25</f>
        <v>2.15</v>
      </c>
      <c r="BE52" s="23">
        <f>'QTR Raw'!Y25</f>
        <v>1.89</v>
      </c>
      <c r="BF52" s="23">
        <f>'QTR Raw'!Z25</f>
        <v>4.34</v>
      </c>
      <c r="BG52" s="23">
        <f>'QTR Raw'!AA25</f>
        <v>2.73</v>
      </c>
      <c r="BH52" s="23">
        <f>'QTR Raw'!AB25</f>
        <v>6.39</v>
      </c>
      <c r="BI52" s="23">
        <f>'QTR Raw'!AC25</f>
        <v>13.23</v>
      </c>
      <c r="BJ52" s="23">
        <f>'QTR Raw'!AD25</f>
        <v>10.63</v>
      </c>
      <c r="BK52" s="23">
        <f>'QTR Raw'!AE25</f>
        <v>4.38</v>
      </c>
      <c r="BL52" s="23">
        <f>'QTR Raw'!AF25</f>
        <v>4.9400000000000004</v>
      </c>
      <c r="BM52" s="23">
        <f>'QTR Raw'!AG25</f>
        <v>5.73</v>
      </c>
      <c r="BN52" s="23">
        <f>'QTR Raw'!AH25</f>
        <v>6.05</v>
      </c>
      <c r="BO52" s="23">
        <f>'QTR Raw'!AI25</f>
        <v>6.72</v>
      </c>
      <c r="BP52" s="23">
        <f>'QTR Raw'!AJ25</f>
        <v>5.81</v>
      </c>
      <c r="BQ52" s="23">
        <f>'QTR Raw'!AK25</f>
        <v>3.2</v>
      </c>
      <c r="BR52" s="23">
        <f>'QTR Raw'!AL25</f>
        <v>10.42</v>
      </c>
      <c r="BS52" s="23">
        <f>'QTR Raw'!AM25</f>
        <v>3.5</v>
      </c>
      <c r="BT52" s="23">
        <f>'QTR Raw'!AN25</f>
        <v>6.24</v>
      </c>
      <c r="BU52" s="23">
        <f>'QTR Raw'!AO25</f>
        <v>3.62</v>
      </c>
      <c r="BV52" s="23">
        <f>'QTR Raw'!AP25</f>
        <v>12.51</v>
      </c>
      <c r="BW52" s="23">
        <f>'QTR Raw'!AQ25</f>
        <v>3.98</v>
      </c>
      <c r="BX52" s="23">
        <f>'QTR Raw'!AR25</f>
        <v>6.74</v>
      </c>
      <c r="BY52" s="23">
        <f>'QTR Raw'!AS25</f>
        <v>6.43</v>
      </c>
      <c r="BZ52" s="23">
        <f>'QTR Raw'!AT25</f>
        <v>12.44</v>
      </c>
      <c r="CA52" s="23">
        <f>'QTR Raw'!AU25</f>
        <v>10.11</v>
      </c>
      <c r="CB52" s="23">
        <f>'QTR Raw'!AV25</f>
        <v>11.45</v>
      </c>
      <c r="CC52" s="23">
        <f>'QTR Raw'!AW25</f>
        <v>13.53</v>
      </c>
      <c r="CD52" s="23">
        <f>'QTR Raw'!AX25</f>
        <v>20.79</v>
      </c>
      <c r="CE52" s="23">
        <f>'QTR Raw'!AY25</f>
        <v>9.75</v>
      </c>
      <c r="CF52" s="23">
        <f>'QTR Raw'!AZ25</f>
        <v>13.56</v>
      </c>
      <c r="CG52" s="23">
        <f>'QTR Raw'!BA25</f>
        <v>15.52</v>
      </c>
      <c r="CH52" s="23">
        <f>'QTR Raw'!BB25</f>
        <v>23.28</v>
      </c>
      <c r="CI52" s="23">
        <f>'QTR Raw'!BC25</f>
        <v>13.53</v>
      </c>
      <c r="CJ52" s="23">
        <f>'QTR Raw'!BD25</f>
        <v>19.96</v>
      </c>
      <c r="CK52" s="23">
        <f>'QTR Raw'!BE25</f>
        <v>31.09</v>
      </c>
      <c r="CL52" s="23">
        <f>'QTR Raw'!BF25</f>
        <v>22.2</v>
      </c>
      <c r="CM52" s="24">
        <f t="shared" ref="CM52:DB52" si="553">CM53*CL184</f>
        <v>1.8321999999999981</v>
      </c>
      <c r="CN52" s="24">
        <f t="shared" si="553"/>
        <v>6.9241343845344909</v>
      </c>
      <c r="CO52" s="24">
        <f t="shared" si="553"/>
        <v>29.914364742663576</v>
      </c>
      <c r="CP52" s="24">
        <f t="shared" si="553"/>
        <v>22.828342563205634</v>
      </c>
      <c r="CQ52" s="24">
        <f t="shared" si="553"/>
        <v>4.2536399533824918</v>
      </c>
      <c r="CR52" s="24">
        <f t="shared" si="553"/>
        <v>15.96260793079141</v>
      </c>
      <c r="CS52" s="24">
        <f t="shared" si="553"/>
        <v>49.3722936497877</v>
      </c>
      <c r="CT52" s="24">
        <f t="shared" si="553"/>
        <v>39.142913916049103</v>
      </c>
      <c r="CU52" s="24">
        <f t="shared" si="553"/>
        <v>11.302612628872993</v>
      </c>
      <c r="CV52" s="24">
        <f t="shared" si="553"/>
        <v>24.895800197957193</v>
      </c>
      <c r="CW52" s="24">
        <f t="shared" si="553"/>
        <v>63.368897553050886</v>
      </c>
      <c r="CX52" s="24">
        <f t="shared" si="553"/>
        <v>51.553793075831678</v>
      </c>
      <c r="CY52" s="24">
        <f t="shared" si="553"/>
        <v>19.403154598929873</v>
      </c>
      <c r="CZ52" s="24">
        <f t="shared" si="553"/>
        <v>35.061566753265552</v>
      </c>
      <c r="DA52" s="24">
        <f t="shared" si="553"/>
        <v>79.292695553378138</v>
      </c>
      <c r="DB52" s="24">
        <f t="shared" si="553"/>
        <v>65.669994091221128</v>
      </c>
      <c r="DE52" s="123"/>
      <c r="DF52" s="23">
        <v>-58.086787325545721</v>
      </c>
    </row>
    <row r="53" spans="1:110" s="46" customFormat="1" x14ac:dyDescent="0.2">
      <c r="A53" s="46" t="s">
        <v>482</v>
      </c>
      <c r="B53" s="46">
        <f t="shared" ref="B53:D53" si="554">+B52/B144</f>
        <v>0.10839888122996287</v>
      </c>
      <c r="C53" s="46">
        <f t="shared" si="554"/>
        <v>0.12392806285517671</v>
      </c>
      <c r="D53" s="46">
        <f t="shared" si="554"/>
        <v>8.9582063577150997E-2</v>
      </c>
      <c r="E53" s="46">
        <f t="shared" ref="E53:AE53" si="555">+E52/E144</f>
        <v>7.9869941199506758E-2</v>
      </c>
      <c r="F53" s="46">
        <f t="shared" si="555"/>
        <v>6.9090437584894443E-2</v>
      </c>
      <c r="G53" s="46">
        <f t="shared" si="555"/>
        <v>7.1573849771408654E-2</v>
      </c>
      <c r="H53" s="46">
        <f t="shared" si="555"/>
        <v>8.8409975506648517E-2</v>
      </c>
      <c r="I53" s="46">
        <f t="shared" si="555"/>
        <v>0.12170976797168467</v>
      </c>
      <c r="J53" s="46">
        <f t="shared" si="555"/>
        <v>7.0282255575445984E-2</v>
      </c>
      <c r="K53" s="46">
        <f t="shared" si="555"/>
        <v>0.27989445670222685</v>
      </c>
      <c r="L53" s="46">
        <f t="shared" si="555"/>
        <v>0.11975257319818189</v>
      </c>
      <c r="M53" s="46">
        <f t="shared" si="555"/>
        <v>0.13954099816798979</v>
      </c>
      <c r="N53" s="46">
        <f t="shared" si="555"/>
        <v>0.12400908332349052</v>
      </c>
      <c r="O53" s="46">
        <f t="shared" si="555"/>
        <v>8.5378678373792122E-2</v>
      </c>
      <c r="P53" s="46">
        <f t="shared" si="555"/>
        <v>0.1905384149039013</v>
      </c>
      <c r="Q53" s="46">
        <f t="shared" si="555"/>
        <v>5.8355617936027185E-2</v>
      </c>
      <c r="R53" s="46">
        <f t="shared" si="555"/>
        <v>9.3834093834093829E-2</v>
      </c>
      <c r="S53" s="46">
        <f t="shared" si="555"/>
        <v>8.3772577131210918E-2</v>
      </c>
      <c r="T53" s="46">
        <f t="shared" si="555"/>
        <v>0.10481487366915621</v>
      </c>
      <c r="U53" s="46">
        <f t="shared" si="555"/>
        <v>9.6855634610970867E-2</v>
      </c>
      <c r="V53" s="46">
        <f t="shared" si="555"/>
        <v>0.10034150646559993</v>
      </c>
      <c r="W53" s="46">
        <f t="shared" si="555"/>
        <v>7.1695812432447423E-2</v>
      </c>
      <c r="X53" s="46">
        <f t="shared" si="555"/>
        <v>4.8038053801321492E-2</v>
      </c>
      <c r="Y53" s="46">
        <f t="shared" si="555"/>
        <v>7.8339011089147786E-2</v>
      </c>
      <c r="Z53" s="46">
        <f t="shared" si="555"/>
        <v>7.1944862736012971E-2</v>
      </c>
      <c r="AA53" s="46">
        <f t="shared" ref="AA53" si="556">+AA52/AA144</f>
        <v>8.9797185430463569E-2</v>
      </c>
      <c r="AB53" s="110">
        <f t="shared" si="555"/>
        <v>6.3637253404805152E-2</v>
      </c>
      <c r="AC53" s="110">
        <f t="shared" si="555"/>
        <v>0.11251185373552432</v>
      </c>
      <c r="AD53" s="110">
        <f t="shared" si="555"/>
        <v>0.15637531400632523</v>
      </c>
      <c r="AE53" s="110">
        <f t="shared" si="555"/>
        <v>0.20636114548509382</v>
      </c>
      <c r="AI53" s="46" t="e">
        <f t="shared" ref="AI53:BN53" si="557">(AI52-AI51)/AH184</f>
        <v>#DIV/0!</v>
      </c>
      <c r="AJ53" s="46" t="e">
        <f t="shared" si="557"/>
        <v>#DIV/0!</v>
      </c>
      <c r="AK53" s="46">
        <f t="shared" si="557"/>
        <v>0.10398350815497483</v>
      </c>
      <c r="AL53" s="46">
        <f t="shared" si="557"/>
        <v>7.3178951563845039E-3</v>
      </c>
      <c r="AM53" s="46">
        <f t="shared" si="557"/>
        <v>4.2452962454084066E-2</v>
      </c>
      <c r="AN53" s="46">
        <f t="shared" si="557"/>
        <v>6.5042445514650438E-2</v>
      </c>
      <c r="AO53" s="46">
        <f t="shared" si="557"/>
        <v>2.2762092361567083E-2</v>
      </c>
      <c r="AP53" s="46">
        <f t="shared" si="557"/>
        <v>4.1237559742492109E-2</v>
      </c>
      <c r="AQ53" s="46">
        <f t="shared" si="557"/>
        <v>3.3533893594061677E-2</v>
      </c>
      <c r="AR53" s="46">
        <f t="shared" si="557"/>
        <v>2.415086759230967E-2</v>
      </c>
      <c r="AS53" s="46">
        <f t="shared" si="557"/>
        <v>4.0529813693598343E-2</v>
      </c>
      <c r="AT53" s="46">
        <f t="shared" si="557"/>
        <v>3.1739372475054532E-2</v>
      </c>
      <c r="AU53" s="46">
        <f t="shared" si="557"/>
        <v>3.591710920878495E-2</v>
      </c>
      <c r="AV53" s="46">
        <f t="shared" si="557"/>
        <v>6.6388811904932787E-2</v>
      </c>
      <c r="AW53" s="46">
        <f t="shared" si="557"/>
        <v>4.1989715189873413E-2</v>
      </c>
      <c r="AX53" s="46">
        <f t="shared" si="557"/>
        <v>8.0513521895563808E-2</v>
      </c>
      <c r="AY53" s="46">
        <f t="shared" si="557"/>
        <v>5.3022888442452648E-2</v>
      </c>
      <c r="AZ53" s="46">
        <f t="shared" si="557"/>
        <v>8.4287056693813645E-2</v>
      </c>
      <c r="BA53" s="46">
        <f t="shared" si="557"/>
        <v>0.22489535657004261</v>
      </c>
      <c r="BB53" s="46">
        <f t="shared" si="557"/>
        <v>0.11121205675526054</v>
      </c>
      <c r="BC53" s="46">
        <f t="shared" si="557"/>
        <v>0.15390384134655447</v>
      </c>
      <c r="BD53" s="46">
        <f t="shared" si="557"/>
        <v>8.4430543577085612E-2</v>
      </c>
      <c r="BE53" s="46">
        <f t="shared" si="557"/>
        <v>0.21011380717199912</v>
      </c>
      <c r="BF53" s="46">
        <f t="shared" si="557"/>
        <v>1.2812330117589625</v>
      </c>
      <c r="BG53" s="46">
        <f t="shared" si="557"/>
        <v>4.0506168129212775E-2</v>
      </c>
      <c r="BH53" s="46">
        <f t="shared" si="557"/>
        <v>4.9433884616077568E-2</v>
      </c>
      <c r="BI53" s="46">
        <f t="shared" si="557"/>
        <v>-0.16428119563498336</v>
      </c>
      <c r="BJ53" s="46">
        <f t="shared" si="557"/>
        <v>-0.22408499068859805</v>
      </c>
      <c r="BK53" s="46">
        <f t="shared" si="557"/>
        <v>3.1308618121804931E-2</v>
      </c>
      <c r="BL53" s="46">
        <f t="shared" si="557"/>
        <v>5.3778319051430816E-2</v>
      </c>
      <c r="BM53" s="46">
        <f t="shared" si="557"/>
        <v>3.6470782783866257E-2</v>
      </c>
      <c r="BN53" s="46">
        <f t="shared" si="557"/>
        <v>3.9084498298367083E-2</v>
      </c>
      <c r="BO53" s="46">
        <f t="shared" ref="BO53:CL53" si="558">(BO52-BO51)/BN184</f>
        <v>9.9320730010639194E-2</v>
      </c>
      <c r="BP53" s="46">
        <f t="shared" si="558"/>
        <v>3.5177066278094929E-2</v>
      </c>
      <c r="BQ53" s="46">
        <f t="shared" si="558"/>
        <v>0.74400737553779905</v>
      </c>
      <c r="BR53" s="46">
        <f t="shared" si="558"/>
        <v>-0.44420372063893282</v>
      </c>
      <c r="BS53" s="46">
        <f t="shared" si="558"/>
        <v>0.15648880033281512</v>
      </c>
      <c r="BT53" s="46">
        <f t="shared" si="558"/>
        <v>5.3898781692035151E-2</v>
      </c>
      <c r="BU53" s="46">
        <f t="shared" si="558"/>
        <v>0.13307561957212458</v>
      </c>
      <c r="BV53" s="46">
        <f t="shared" si="558"/>
        <v>0.11739525823844399</v>
      </c>
      <c r="BW53" s="46">
        <f t="shared" si="558"/>
        <v>3.4356846473029043E-2</v>
      </c>
      <c r="BX53" s="46">
        <f t="shared" si="558"/>
        <v>7.7881403956980996E-2</v>
      </c>
      <c r="BY53" s="46">
        <f t="shared" si="558"/>
        <v>2.8172780652287652E-2</v>
      </c>
      <c r="BZ53" s="46">
        <f t="shared" si="558"/>
        <v>5.668066027403687E-2</v>
      </c>
      <c r="CA53" s="46">
        <f t="shared" si="558"/>
        <v>0.14981104687539107</v>
      </c>
      <c r="CB53" s="46">
        <f t="shared" si="558"/>
        <v>0.14048900019488655</v>
      </c>
      <c r="CC53" s="46">
        <f t="shared" si="558"/>
        <v>0.12080610021786491</v>
      </c>
      <c r="CD53" s="46">
        <f t="shared" si="558"/>
        <v>0.13397174173970139</v>
      </c>
      <c r="CE53" s="46">
        <f t="shared" si="558"/>
        <v>0.11007541336830765</v>
      </c>
      <c r="CF53" s="46">
        <f t="shared" si="558"/>
        <v>0.10879512328570519</v>
      </c>
      <c r="CG53" s="46">
        <f t="shared" si="558"/>
        <v>0.3243666169895677</v>
      </c>
      <c r="CH53" s="46">
        <f t="shared" si="558"/>
        <v>0.53203304719723743</v>
      </c>
      <c r="CI53" s="46">
        <f t="shared" si="558"/>
        <v>0.32088014981273383</v>
      </c>
      <c r="CJ53" s="46">
        <f t="shared" si="558"/>
        <v>5.6033661942215089E-2</v>
      </c>
      <c r="CK53" s="46">
        <f t="shared" si="558"/>
        <v>-1.9508281402837772E-2</v>
      </c>
      <c r="CL53" s="46">
        <f t="shared" si="558"/>
        <v>-1.0551452890052599E-2</v>
      </c>
      <c r="CM53" s="47">
        <v>-0.02</v>
      </c>
      <c r="CN53" s="47">
        <f t="shared" ref="CN53" si="559">+CM53</f>
        <v>-0.02</v>
      </c>
      <c r="CO53" s="47">
        <f t="shared" ref="CO53" si="560">+CN53</f>
        <v>-0.02</v>
      </c>
      <c r="CP53" s="47">
        <f t="shared" ref="CP53" si="561">+CO53</f>
        <v>-0.02</v>
      </c>
      <c r="CQ53" s="47">
        <v>-2.5000000000000001E-2</v>
      </c>
      <c r="CR53" s="47">
        <f t="shared" ref="CR53" si="562">+CQ53</f>
        <v>-2.5000000000000001E-2</v>
      </c>
      <c r="CS53" s="47">
        <f t="shared" ref="CS53" si="563">+CR53</f>
        <v>-2.5000000000000001E-2</v>
      </c>
      <c r="CT53" s="47">
        <f t="shared" ref="CT53" si="564">+CS53</f>
        <v>-2.5000000000000001E-2</v>
      </c>
      <c r="CU53" s="47">
        <f t="shared" ref="CU53" si="565">+CT53</f>
        <v>-2.5000000000000001E-2</v>
      </c>
      <c r="CV53" s="47">
        <f t="shared" ref="CV53" si="566">+CU53</f>
        <v>-2.5000000000000001E-2</v>
      </c>
      <c r="CW53" s="47">
        <f t="shared" ref="CW53" si="567">+CV53</f>
        <v>-2.5000000000000001E-2</v>
      </c>
      <c r="CX53" s="47">
        <f t="shared" ref="CX53" si="568">+CW53</f>
        <v>-2.5000000000000001E-2</v>
      </c>
      <c r="CY53" s="47">
        <f t="shared" ref="CY53" si="569">+CX53</f>
        <v>-2.5000000000000001E-2</v>
      </c>
      <c r="CZ53" s="47">
        <f t="shared" ref="CZ53" si="570">+CY53</f>
        <v>-2.5000000000000001E-2</v>
      </c>
      <c r="DA53" s="47">
        <f t="shared" ref="DA53" si="571">+CZ53</f>
        <v>-2.5000000000000001E-2</v>
      </c>
      <c r="DB53" s="47">
        <f t="shared" ref="DB53" si="572">+DA53</f>
        <v>-2.5000000000000001E-2</v>
      </c>
      <c r="DE53" s="130"/>
      <c r="DF53" s="46">
        <v>-0.03</v>
      </c>
    </row>
    <row r="54" spans="1:110" s="26" customFormat="1" x14ac:dyDescent="0.2">
      <c r="A54" s="26" t="s">
        <v>20</v>
      </c>
      <c r="B54" s="26">
        <f>B50+B51-B52</f>
        <v>17.18979999999998</v>
      </c>
      <c r="C54" s="26">
        <f t="shared" ref="C54:T54" si="573">C50+C51-C52</f>
        <v>21.498199999999891</v>
      </c>
      <c r="D54" s="26">
        <f>D50+D51-D52</f>
        <v>28.624300000000094</v>
      </c>
      <c r="E54" s="26">
        <f t="shared" si="573"/>
        <v>40.126399999999933</v>
      </c>
      <c r="F54" s="26">
        <f t="shared" si="573"/>
        <v>55.123899999999999</v>
      </c>
      <c r="G54" s="26">
        <f t="shared" si="573"/>
        <v>122.23479999999986</v>
      </c>
      <c r="H54" s="26">
        <f t="shared" si="573"/>
        <v>172.81640000000016</v>
      </c>
      <c r="I54" s="26">
        <f t="shared" si="573"/>
        <v>275.67150000000009</v>
      </c>
      <c r="J54" s="26">
        <f t="shared" si="573"/>
        <v>345.59119999999973</v>
      </c>
      <c r="K54" s="26">
        <f t="shared" si="573"/>
        <v>506.77400000000097</v>
      </c>
      <c r="L54" s="26">
        <f t="shared" si="573"/>
        <v>483.86089999999945</v>
      </c>
      <c r="M54" s="26">
        <f t="shared" si="573"/>
        <v>369.58859999999999</v>
      </c>
      <c r="N54" s="26">
        <f t="shared" si="573"/>
        <v>267.74949999999973</v>
      </c>
      <c r="O54" s="26">
        <f t="shared" si="573"/>
        <v>318.40069999999946</v>
      </c>
      <c r="P54" s="26">
        <f t="shared" si="573"/>
        <v>467.4580999999996</v>
      </c>
      <c r="Q54" s="26">
        <f t="shared" si="573"/>
        <v>527.52550000000031</v>
      </c>
      <c r="R54" s="26">
        <f t="shared" si="573"/>
        <v>738.41999999999985</v>
      </c>
      <c r="S54" s="26">
        <f t="shared" si="573"/>
        <v>800.50000000000057</v>
      </c>
      <c r="T54" s="26">
        <f t="shared" si="573"/>
        <v>741.00000000000011</v>
      </c>
      <c r="U54" s="26">
        <f t="shared" ref="U54:Z54" si="574">U50+U51-U52</f>
        <v>864.20000000000039</v>
      </c>
      <c r="V54" s="26">
        <f t="shared" si="574"/>
        <v>770.17999999999972</v>
      </c>
      <c r="W54" s="26">
        <f t="shared" si="574"/>
        <v>807.60999999999979</v>
      </c>
      <c r="X54" s="26">
        <f t="shared" si="574"/>
        <v>671.61000000000092</v>
      </c>
      <c r="Y54" s="26">
        <f t="shared" si="574"/>
        <v>624.40999999999826</v>
      </c>
      <c r="Z54" s="26">
        <f t="shared" si="574"/>
        <v>1316.7500000000018</v>
      </c>
      <c r="AA54" s="26">
        <f t="shared" ref="AA54" si="575">AA50+AA51-AA52</f>
        <v>714.16999999999939</v>
      </c>
      <c r="AB54" s="27">
        <f t="shared" ref="AB54:AD54" si="576">AB50+AB51-AB52</f>
        <v>896.98108567174268</v>
      </c>
      <c r="AC54" s="27">
        <f t="shared" si="576"/>
        <v>1109.4013043543032</v>
      </c>
      <c r="AD54" s="27">
        <f t="shared" si="576"/>
        <v>1276.3710720185331</v>
      </c>
      <c r="AE54" s="27">
        <f t="shared" ref="AE54" si="577">AE50+AE51-AE52</f>
        <v>1462.7052994446376</v>
      </c>
      <c r="AI54" s="26">
        <f>AI50+AI51-AI52</f>
        <v>109.46000000000008</v>
      </c>
      <c r="AJ54" s="26">
        <f t="shared" ref="AJ54" si="578">AJ50+AJ51-AJ52</f>
        <v>46.119999999999962</v>
      </c>
      <c r="AK54" s="26">
        <f t="shared" ref="AK54:AM54" si="579">AK50+AK51-AK52</f>
        <v>34.459999999999937</v>
      </c>
      <c r="AL54" s="26">
        <f t="shared" si="579"/>
        <v>77.710000000000122</v>
      </c>
      <c r="AM54" s="26">
        <f t="shared" si="579"/>
        <v>59.559999999999974</v>
      </c>
      <c r="AN54" s="26">
        <f t="shared" ref="AN54:AO54" si="580">AN50+AN51-AN52</f>
        <v>62.01000000000009</v>
      </c>
      <c r="AO54" s="26">
        <f t="shared" si="580"/>
        <v>74.019999999999939</v>
      </c>
      <c r="AP54" s="26">
        <f t="shared" ref="AP54:CD54" si="581">AP50+AP51-AP52</f>
        <v>122.80999999999985</v>
      </c>
      <c r="AQ54" s="26">
        <f t="shared" si="581"/>
        <v>146.33999999999995</v>
      </c>
      <c r="AR54" s="26">
        <f t="shared" si="581"/>
        <v>85.279999999999944</v>
      </c>
      <c r="AS54" s="26">
        <f t="shared" si="581"/>
        <v>76.469999999999928</v>
      </c>
      <c r="AT54" s="26">
        <f t="shared" si="581"/>
        <v>159.37000000000003</v>
      </c>
      <c r="AU54" s="26">
        <f t="shared" si="581"/>
        <v>146.83999999999989</v>
      </c>
      <c r="AV54" s="26">
        <f t="shared" si="581"/>
        <v>102.52000000000015</v>
      </c>
      <c r="AW54" s="26">
        <f t="shared" si="581"/>
        <v>71.009999999999721</v>
      </c>
      <c r="AX54" s="26">
        <f t="shared" si="581"/>
        <v>207.15000000000012</v>
      </c>
      <c r="AY54" s="26">
        <f t="shared" si="581"/>
        <v>223.86999999999978</v>
      </c>
      <c r="AZ54" s="26">
        <f t="shared" si="581"/>
        <v>124.92999999999991</v>
      </c>
      <c r="BA54" s="26">
        <f t="shared" si="581"/>
        <v>140.48999999999992</v>
      </c>
      <c r="BB54" s="26">
        <f t="shared" si="581"/>
        <v>249.13000000000028</v>
      </c>
      <c r="BC54" s="26">
        <f t="shared" si="581"/>
        <v>257.61999999999978</v>
      </c>
      <c r="BD54" s="26">
        <f t="shared" si="581"/>
        <v>128.65</v>
      </c>
      <c r="BE54" s="26">
        <f t="shared" si="581"/>
        <v>127.69000000000007</v>
      </c>
      <c r="BF54" s="26">
        <f t="shared" si="581"/>
        <v>286.5400000000003</v>
      </c>
      <c r="BG54" s="26">
        <f t="shared" si="581"/>
        <v>262.72999999999968</v>
      </c>
      <c r="BH54" s="26">
        <f t="shared" si="581"/>
        <v>142.28000000000009</v>
      </c>
      <c r="BI54" s="26">
        <f t="shared" si="581"/>
        <v>151.06000000000003</v>
      </c>
      <c r="BJ54" s="26">
        <f t="shared" si="581"/>
        <v>184.92999999999995</v>
      </c>
      <c r="BK54" s="26">
        <f t="shared" si="581"/>
        <v>322.37999999999977</v>
      </c>
      <c r="BL54" s="26">
        <f t="shared" si="581"/>
        <v>165.54000000000025</v>
      </c>
      <c r="BM54" s="26">
        <f t="shared" si="581"/>
        <v>138.04999999999998</v>
      </c>
      <c r="BN54" s="26">
        <f t="shared" si="581"/>
        <v>238.22999999999942</v>
      </c>
      <c r="BO54" s="26">
        <f t="shared" si="581"/>
        <v>119.21000000000001</v>
      </c>
      <c r="BP54" s="26">
        <f t="shared" si="581"/>
        <v>122.05000000000001</v>
      </c>
      <c r="BQ54" s="26">
        <f t="shared" si="581"/>
        <v>185.89999999999989</v>
      </c>
      <c r="BR54" s="26">
        <f t="shared" si="581"/>
        <v>343.02000000000038</v>
      </c>
      <c r="BS54" s="26">
        <f t="shared" si="581"/>
        <v>198.63999999999982</v>
      </c>
      <c r="BT54" s="26">
        <f t="shared" si="581"/>
        <v>161.65000000000018</v>
      </c>
      <c r="BU54" s="26">
        <f t="shared" si="581"/>
        <v>171.06999999999965</v>
      </c>
      <c r="BV54" s="26">
        <f t="shared" si="581"/>
        <v>276.24999999999994</v>
      </c>
      <c r="BW54" s="26">
        <f t="shared" si="581"/>
        <v>191.27000000000012</v>
      </c>
      <c r="BX54" s="26">
        <f t="shared" si="581"/>
        <v>148.77999999999997</v>
      </c>
      <c r="BY54" s="26">
        <f t="shared" si="581"/>
        <v>89.549999999999784</v>
      </c>
      <c r="BZ54" s="26">
        <f t="shared" si="581"/>
        <v>242.01000000000025</v>
      </c>
      <c r="CA54" s="26">
        <f t="shared" si="581"/>
        <v>233.95000000000005</v>
      </c>
      <c r="CB54" s="26">
        <f t="shared" si="581"/>
        <v>118.11999999999988</v>
      </c>
      <c r="CC54" s="26">
        <f t="shared" si="581"/>
        <v>59.939999999999955</v>
      </c>
      <c r="CD54" s="26">
        <f t="shared" si="581"/>
        <v>212.40000000000029</v>
      </c>
      <c r="CE54" s="26">
        <f t="shared" ref="CE54:CF54" si="582">CE50+CE51-CE52</f>
        <v>480.86999999999904</v>
      </c>
      <c r="CF54" s="26">
        <f t="shared" si="582"/>
        <v>237.69000000000003</v>
      </c>
      <c r="CG54" s="26">
        <f t="shared" ref="CG54:CH54" si="583">CG50+CG51-CG52</f>
        <v>223.05000000000021</v>
      </c>
      <c r="CH54" s="26">
        <f t="shared" si="583"/>
        <v>375.14</v>
      </c>
      <c r="CI54" s="26">
        <f t="shared" ref="CI54:CJ54" si="584">CI50+CI51-CI52</f>
        <v>228.59999999999974</v>
      </c>
      <c r="CJ54" s="26">
        <f t="shared" si="584"/>
        <v>90.63999999999939</v>
      </c>
      <c r="CK54" s="26">
        <f t="shared" ref="CK54:CL54" si="585">CK50+CK51-CK52</f>
        <v>174.42000000000007</v>
      </c>
      <c r="CL54" s="26">
        <f t="shared" si="585"/>
        <v>220.50999999999985</v>
      </c>
      <c r="CM54" s="27">
        <f t="shared" ref="CM54:DB54" si="586">CM50+CM51-CM52</f>
        <v>234.50350229630342</v>
      </c>
      <c r="CN54" s="27">
        <f t="shared" si="586"/>
        <v>132.47670322365084</v>
      </c>
      <c r="CO54" s="27">
        <f t="shared" si="586"/>
        <v>185.55360436835863</v>
      </c>
      <c r="CP54" s="27">
        <f t="shared" si="586"/>
        <v>344.44727578342821</v>
      </c>
      <c r="CQ54" s="27">
        <f t="shared" si="586"/>
        <v>325.1223809367587</v>
      </c>
      <c r="CR54" s="27">
        <f t="shared" si="586"/>
        <v>174.0464628368363</v>
      </c>
      <c r="CS54" s="27">
        <f t="shared" si="586"/>
        <v>213.89731189414846</v>
      </c>
      <c r="CT54" s="27">
        <f t="shared" si="586"/>
        <v>396.33514868655823</v>
      </c>
      <c r="CU54" s="27">
        <f t="shared" si="586"/>
        <v>381.96643332189353</v>
      </c>
      <c r="CV54" s="27">
        <f t="shared" si="586"/>
        <v>203.56366043388897</v>
      </c>
      <c r="CW54" s="27">
        <f t="shared" si="586"/>
        <v>243.33587874117899</v>
      </c>
      <c r="CX54" s="27">
        <f t="shared" si="586"/>
        <v>447.50509952157455</v>
      </c>
      <c r="CY54" s="27">
        <f t="shared" si="586"/>
        <v>440.66313827209473</v>
      </c>
      <c r="CZ54" s="27">
        <f t="shared" si="586"/>
        <v>232.99501436958087</v>
      </c>
      <c r="DA54" s="27">
        <f t="shared" si="586"/>
        <v>277.25839525474555</v>
      </c>
      <c r="DB54" s="27">
        <f t="shared" si="586"/>
        <v>511.78875154821526</v>
      </c>
      <c r="DE54" s="121"/>
      <c r="DF54" s="26">
        <v>403.20630934033881</v>
      </c>
    </row>
    <row r="55" spans="1:110" s="23" customFormat="1" x14ac:dyDescent="0.2">
      <c r="A55" s="23" t="s">
        <v>21</v>
      </c>
      <c r="B55" s="23">
        <f>'Annual Raw'!C30</f>
        <v>0.14369999999999999</v>
      </c>
      <c r="C55" s="23">
        <f>'Annual Raw'!D30</f>
        <v>1.1987000000000001</v>
      </c>
      <c r="D55" s="23">
        <f>'Annual Raw'!E30</f>
        <v>4.1550000000000002</v>
      </c>
      <c r="E55" s="23">
        <f>'Annual Raw'!F30</f>
        <v>8.1564999999999994</v>
      </c>
      <c r="F55" s="23">
        <f>'Annual Raw'!G30</f>
        <v>8.0123999999999995</v>
      </c>
      <c r="G55" s="23">
        <f>'Annual Raw'!H30</f>
        <v>22.357700000000001</v>
      </c>
      <c r="H55" s="23">
        <f>'Annual Raw'!I30</f>
        <v>40.743899999999996</v>
      </c>
      <c r="I55" s="23">
        <f>'Annual Raw'!J30</f>
        <v>99.663899999999998</v>
      </c>
      <c r="J55" s="23">
        <f>'Annual Raw'!K30</f>
        <v>117.1849</v>
      </c>
      <c r="K55" s="23">
        <f>'Annual Raw'!L30</f>
        <v>147.2338</v>
      </c>
      <c r="L55" s="23">
        <f>'Annual Raw'!M30</f>
        <v>172.4624</v>
      </c>
      <c r="M55" s="23">
        <f>'Annual Raw'!N30</f>
        <v>57.118000000000002</v>
      </c>
      <c r="N55" s="23">
        <f>'Annual Raw'!O30</f>
        <v>72.761799999999994</v>
      </c>
      <c r="O55" s="23">
        <f>'Annual Raw'!P30</f>
        <v>94.133399999999995</v>
      </c>
      <c r="P55" s="23">
        <f>'Annual Raw'!Q30</f>
        <v>127.6163</v>
      </c>
      <c r="Q55" s="23">
        <f>'Annual Raw'!R30</f>
        <v>169.57419999999999</v>
      </c>
      <c r="R55" s="23">
        <f>'Annual Raw'!S30</f>
        <v>200.41</v>
      </c>
      <c r="S55" s="23">
        <f>'Annual Raw'!T30</f>
        <v>227.01</v>
      </c>
      <c r="T55" s="23">
        <f>'Annual Raw'!U30</f>
        <v>163.53</v>
      </c>
      <c r="U55" s="23">
        <f>'Annual Raw'!V30</f>
        <v>223.26</v>
      </c>
      <c r="V55" s="23">
        <f>'Annual Raw'!W30</f>
        <v>180.42</v>
      </c>
      <c r="W55" s="23">
        <f>'Annual Raw'!X30</f>
        <v>191.3</v>
      </c>
      <c r="X55" s="23">
        <f>'Annual Raw'!Y30</f>
        <v>170.92</v>
      </c>
      <c r="Y55" s="23">
        <f>'Annual Raw'!Z30</f>
        <v>237.69</v>
      </c>
      <c r="Z55" s="23">
        <f>'Annual Raw'!AA30</f>
        <v>356.47</v>
      </c>
      <c r="AA55" s="23">
        <f>'Annual Raw'!AB30</f>
        <v>187.11</v>
      </c>
      <c r="AB55" s="24">
        <f>+SUM(CM55:CP55)</f>
        <v>233.3448451079621</v>
      </c>
      <c r="AC55" s="24">
        <f>+SUM(CQ55:CT55)</f>
        <v>287.83520387053557</v>
      </c>
      <c r="AD55" s="24">
        <f>+SUM(CU55:CX55)</f>
        <v>331.48617365511228</v>
      </c>
      <c r="AE55" s="24">
        <f>+SUM(CY55:DB55)</f>
        <v>380.03916428047216</v>
      </c>
      <c r="AI55" s="23">
        <f>'QTR Raw'!C29</f>
        <v>31.6</v>
      </c>
      <c r="AJ55" s="23">
        <f>'QTR Raw'!D29</f>
        <v>17.690000000000001</v>
      </c>
      <c r="AK55" s="23">
        <f>'QTR Raw'!E29</f>
        <v>18.07</v>
      </c>
      <c r="AL55" s="23">
        <f>'QTR Raw'!F29</f>
        <v>5.4</v>
      </c>
      <c r="AM55" s="23">
        <f>'QTR Raw'!G29</f>
        <v>18.95</v>
      </c>
      <c r="AN55" s="23">
        <f>'QTR Raw'!H29</f>
        <v>19.63</v>
      </c>
      <c r="AO55" s="23">
        <f>'QTR Raw'!I29</f>
        <v>16.350000000000001</v>
      </c>
      <c r="AP55" s="23">
        <f>'QTR Raw'!J29</f>
        <v>39.200000000000003</v>
      </c>
      <c r="AQ55" s="23">
        <f>'QTR Raw'!K29</f>
        <v>36.53</v>
      </c>
      <c r="AR55" s="23">
        <f>'QTR Raw'!L29</f>
        <v>35.130000000000003</v>
      </c>
      <c r="AS55" s="23">
        <f>'QTR Raw'!M29</f>
        <v>14.69</v>
      </c>
      <c r="AT55" s="23">
        <f>'QTR Raw'!N29</f>
        <v>41.27</v>
      </c>
      <c r="AU55" s="23">
        <f>'QTR Raw'!O29</f>
        <v>45.17</v>
      </c>
      <c r="AV55" s="23">
        <f>'QTR Raw'!P29</f>
        <v>37.82</v>
      </c>
      <c r="AW55" s="23">
        <f>'QTR Raw'!Q29</f>
        <v>19.52</v>
      </c>
      <c r="AX55" s="23">
        <f>'QTR Raw'!R29</f>
        <v>67.06</v>
      </c>
      <c r="AY55" s="23">
        <f>'QTR Raw'!S29</f>
        <v>65.05</v>
      </c>
      <c r="AZ55" s="23">
        <f>'QTR Raw'!T29</f>
        <v>42.09</v>
      </c>
      <c r="BA55" s="23">
        <f>'QTR Raw'!U29</f>
        <v>43.71</v>
      </c>
      <c r="BB55" s="23">
        <f>'QTR Raw'!V29</f>
        <v>49.56</v>
      </c>
      <c r="BC55" s="23">
        <f>'QTR Raw'!W29</f>
        <v>72.66</v>
      </c>
      <c r="BD55" s="23">
        <f>'QTR Raw'!X29</f>
        <v>34.26</v>
      </c>
      <c r="BE55" s="23">
        <f>'QTR Raw'!Y29</f>
        <v>30.12</v>
      </c>
      <c r="BF55" s="23">
        <f>'QTR Raw'!Z29</f>
        <v>89.97</v>
      </c>
      <c r="BG55" s="23">
        <f>'QTR Raw'!AA29</f>
        <v>76.17</v>
      </c>
      <c r="BH55" s="23">
        <f>'QTR Raw'!AB29</f>
        <v>33.07</v>
      </c>
      <c r="BI55" s="23">
        <f>'QTR Raw'!AC29</f>
        <v>30.43</v>
      </c>
      <c r="BJ55" s="23">
        <f>'QTR Raw'!AD29</f>
        <v>23.86</v>
      </c>
      <c r="BK55" s="23">
        <f>'QTR Raw'!AE29</f>
        <v>91.68</v>
      </c>
      <c r="BL55" s="23">
        <f>'QTR Raw'!AF29</f>
        <v>42.97</v>
      </c>
      <c r="BM55" s="23">
        <f>'QTR Raw'!AG29</f>
        <v>31.37</v>
      </c>
      <c r="BN55" s="23">
        <f>'QTR Raw'!AH29</f>
        <v>57.24</v>
      </c>
      <c r="BO55" s="23">
        <f>'QTR Raw'!AI29</f>
        <v>25.76</v>
      </c>
      <c r="BP55" s="23">
        <f>'QTR Raw'!AJ29</f>
        <v>35.33</v>
      </c>
      <c r="BQ55" s="23">
        <f>'QTR Raw'!AK29</f>
        <v>37.200000000000003</v>
      </c>
      <c r="BR55" s="23">
        <f>'QTR Raw'!AL29</f>
        <v>82.13</v>
      </c>
      <c r="BS55" s="23">
        <f>'QTR Raw'!AM29</f>
        <v>45.63</v>
      </c>
      <c r="BT55" s="23">
        <f>'QTR Raw'!AN29</f>
        <v>38.47</v>
      </c>
      <c r="BU55" s="23">
        <f>'QTR Raw'!AO29</f>
        <v>42.51</v>
      </c>
      <c r="BV55" s="23">
        <f>'QTR Raw'!AP29</f>
        <v>64.69</v>
      </c>
      <c r="BW55" s="23">
        <f>'QTR Raw'!AQ29</f>
        <v>50.8</v>
      </c>
      <c r="BX55" s="23">
        <f>'QTR Raw'!AR29</f>
        <v>19.48</v>
      </c>
      <c r="BY55" s="23">
        <f>'QTR Raw'!AS29</f>
        <v>30.03</v>
      </c>
      <c r="BZ55" s="23">
        <f>'QTR Raw'!AT29</f>
        <v>70.61</v>
      </c>
      <c r="CA55" s="23">
        <f>'QTR Raw'!AU29</f>
        <v>73.489999999999995</v>
      </c>
      <c r="CB55" s="23">
        <f>'QTR Raw'!AV29</f>
        <v>49.31</v>
      </c>
      <c r="CC55" s="23">
        <f>'QTR Raw'!AW29</f>
        <v>51.45</v>
      </c>
      <c r="CD55" s="23">
        <f>'QTR Raw'!AX29</f>
        <v>63.44</v>
      </c>
      <c r="CE55" s="23">
        <f>'QTR Raw'!AY29</f>
        <v>116.52</v>
      </c>
      <c r="CF55" s="23">
        <f>'QTR Raw'!AZ29</f>
        <v>72.599999999999994</v>
      </c>
      <c r="CG55" s="23">
        <f>'QTR Raw'!BA29</f>
        <v>59.87</v>
      </c>
      <c r="CH55" s="23">
        <f>'QTR Raw'!BB29</f>
        <v>107.48</v>
      </c>
      <c r="CI55" s="23">
        <f>'QTR Raw'!BC29</f>
        <v>62.11</v>
      </c>
      <c r="CJ55" s="23">
        <f>'QTR Raw'!BD29</f>
        <v>22.62</v>
      </c>
      <c r="CK55" s="23">
        <f>'QTR Raw'!BE29</f>
        <v>31.31</v>
      </c>
      <c r="CL55" s="23">
        <f>'QTR Raw'!BF29</f>
        <v>71.069999999999993</v>
      </c>
      <c r="CM55" s="24">
        <f t="shared" ref="CM55:DB55" si="587">+CM54*CM56</f>
        <v>59.977994664949456</v>
      </c>
      <c r="CN55" s="24">
        <f t="shared" si="587"/>
        <v>33.355385508605124</v>
      </c>
      <c r="CO55" s="24">
        <f t="shared" si="587"/>
        <v>46.822431729444141</v>
      </c>
      <c r="CP55" s="24">
        <f t="shared" si="587"/>
        <v>93.18903320496338</v>
      </c>
      <c r="CQ55" s="24">
        <f t="shared" si="587"/>
        <v>83.754337836324282</v>
      </c>
      <c r="CR55" s="24">
        <f t="shared" si="587"/>
        <v>44.916056354652177</v>
      </c>
      <c r="CS55" s="24">
        <f t="shared" si="587"/>
        <v>55.536495267051698</v>
      </c>
      <c r="CT55" s="24">
        <f t="shared" si="587"/>
        <v>103.62831441250744</v>
      </c>
      <c r="CU55" s="24">
        <f t="shared" si="587"/>
        <v>99.004294864093097</v>
      </c>
      <c r="CV55" s="24">
        <f t="shared" si="587"/>
        <v>52.843750273525593</v>
      </c>
      <c r="CW55" s="24">
        <f t="shared" si="587"/>
        <v>63.261054033166417</v>
      </c>
      <c r="CX55" s="24">
        <f t="shared" si="587"/>
        <v>116.3770744843272</v>
      </c>
      <c r="CY55" s="24">
        <f t="shared" si="587"/>
        <v>114.44256532268135</v>
      </c>
      <c r="CZ55" s="24">
        <f t="shared" si="587"/>
        <v>60.53969586496715</v>
      </c>
      <c r="DA55" s="24">
        <f t="shared" si="587"/>
        <v>72.057354111883882</v>
      </c>
      <c r="DB55" s="24">
        <f t="shared" si="587"/>
        <v>132.99954898093975</v>
      </c>
      <c r="DE55" s="123"/>
      <c r="DF55" s="23">
        <v>99.518532836616146</v>
      </c>
    </row>
    <row r="56" spans="1:110" s="90" customFormat="1" x14ac:dyDescent="0.2">
      <c r="A56" s="90" t="s">
        <v>106</v>
      </c>
      <c r="B56" s="90">
        <f t="shared" ref="B56:E56" si="588">B55/B54</f>
        <v>8.3596086051030347E-3</v>
      </c>
      <c r="C56" s="90">
        <f t="shared" si="588"/>
        <v>5.575815649682328E-2</v>
      </c>
      <c r="D56" s="90">
        <f t="shared" si="588"/>
        <v>0.14515638810381343</v>
      </c>
      <c r="E56" s="90">
        <f t="shared" si="588"/>
        <v>0.20327016627457267</v>
      </c>
      <c r="F56" s="90">
        <f t="shared" ref="F56:T56" si="589">F55/F54</f>
        <v>0.14535256032319918</v>
      </c>
      <c r="G56" s="90">
        <f t="shared" si="589"/>
        <v>0.18290781348683047</v>
      </c>
      <c r="H56" s="90">
        <f t="shared" si="589"/>
        <v>0.23576408257549608</v>
      </c>
      <c r="I56" s="90">
        <f t="shared" si="589"/>
        <v>0.36153138790190487</v>
      </c>
      <c r="J56" s="90">
        <f t="shared" si="589"/>
        <v>0.33908531235749084</v>
      </c>
      <c r="K56" s="90">
        <f t="shared" si="589"/>
        <v>0.29053147951552316</v>
      </c>
      <c r="L56" s="90">
        <f t="shared" si="589"/>
        <v>0.35642970944748831</v>
      </c>
      <c r="M56" s="90">
        <f t="shared" si="589"/>
        <v>0.15454481009425075</v>
      </c>
      <c r="N56" s="90">
        <f t="shared" si="589"/>
        <v>0.27175326191085347</v>
      </c>
      <c r="O56" s="90">
        <f t="shared" si="589"/>
        <v>0.29564445053041705</v>
      </c>
      <c r="P56" s="90">
        <f t="shared" si="589"/>
        <v>0.27300051063400144</v>
      </c>
      <c r="Q56" s="90">
        <f t="shared" si="589"/>
        <v>0.32145213833264913</v>
      </c>
      <c r="R56" s="90">
        <f t="shared" si="589"/>
        <v>0.27140380813087406</v>
      </c>
      <c r="S56" s="90">
        <f t="shared" si="589"/>
        <v>0.28358525921299166</v>
      </c>
      <c r="T56" s="90">
        <f t="shared" si="589"/>
        <v>0.2206882591093117</v>
      </c>
      <c r="U56" s="90">
        <f t="shared" ref="U56:Z56" si="590">U55/U54</f>
        <v>0.25834297616292512</v>
      </c>
      <c r="V56" s="90">
        <f t="shared" si="590"/>
        <v>0.23425692695214112</v>
      </c>
      <c r="W56" s="90">
        <f t="shared" si="590"/>
        <v>0.23687175740765973</v>
      </c>
      <c r="X56" s="90">
        <f t="shared" si="590"/>
        <v>0.25449293488780655</v>
      </c>
      <c r="Y56" s="90">
        <f t="shared" si="590"/>
        <v>0.38066334619881276</v>
      </c>
      <c r="Z56" s="90">
        <f t="shared" si="590"/>
        <v>0.27071957471046099</v>
      </c>
      <c r="AA56" s="90">
        <f t="shared" ref="AA56" si="591">AA55/AA54</f>
        <v>0.26199644342383488</v>
      </c>
      <c r="AB56" s="91">
        <f t="shared" ref="AA56:AD56" si="592">AB55/AB54</f>
        <v>0.26014466618681464</v>
      </c>
      <c r="AC56" s="91">
        <f t="shared" si="592"/>
        <v>0.25945093334648839</v>
      </c>
      <c r="AD56" s="91">
        <f t="shared" si="592"/>
        <v>0.25970987663554557</v>
      </c>
      <c r="AE56" s="91">
        <f t="shared" ref="AE56" si="593">AE55/AE54</f>
        <v>0.25981936650175952</v>
      </c>
      <c r="AI56" s="90">
        <f t="shared" ref="AI56" si="594">AI55/AI54</f>
        <v>0.28868993239539537</v>
      </c>
      <c r="AJ56" s="90">
        <f t="shared" ref="AJ56" si="595">AJ55/AJ54</f>
        <v>0.3835646140503039</v>
      </c>
      <c r="AK56" s="90">
        <f t="shared" ref="AK56:AM56" si="596">AK55/AK54</f>
        <v>0.52437608821822501</v>
      </c>
      <c r="AL56" s="90">
        <f t="shared" si="596"/>
        <v>6.9489126238579224E-2</v>
      </c>
      <c r="AM56" s="90">
        <f t="shared" si="596"/>
        <v>0.31816655473472144</v>
      </c>
      <c r="AN56" s="90">
        <f t="shared" ref="AN56:AO56" si="597">AN55/AN54</f>
        <v>0.31656184486373118</v>
      </c>
      <c r="AO56" s="90">
        <f t="shared" si="597"/>
        <v>0.2208862469602812</v>
      </c>
      <c r="AP56" s="90">
        <f t="shared" ref="AP56:CD56" si="598">AP55/AP54</f>
        <v>0.3191922481882587</v>
      </c>
      <c r="AQ56" s="90">
        <f t="shared" si="598"/>
        <v>0.24962416290829584</v>
      </c>
      <c r="AR56" s="90">
        <f t="shared" si="598"/>
        <v>0.41193714821763633</v>
      </c>
      <c r="AS56" s="90">
        <f t="shared" si="598"/>
        <v>0.19210147770367481</v>
      </c>
      <c r="AT56" s="90">
        <f t="shared" si="598"/>
        <v>0.25895714375352946</v>
      </c>
      <c r="AU56" s="90">
        <f t="shared" si="598"/>
        <v>0.30761372922909314</v>
      </c>
      <c r="AV56" s="90">
        <f t="shared" si="598"/>
        <v>0.36890362856028036</v>
      </c>
      <c r="AW56" s="90">
        <f t="shared" si="598"/>
        <v>0.2748908604421923</v>
      </c>
      <c r="AX56" s="90">
        <f t="shared" si="598"/>
        <v>0.32372676804248113</v>
      </c>
      <c r="AY56" s="90">
        <f t="shared" si="598"/>
        <v>0.29057042033322938</v>
      </c>
      <c r="AZ56" s="90">
        <f t="shared" si="598"/>
        <v>0.33690866885455883</v>
      </c>
      <c r="BA56" s="90">
        <f t="shared" si="598"/>
        <v>0.31112534699978661</v>
      </c>
      <c r="BB56" s="90">
        <f t="shared" si="598"/>
        <v>0.19893228434953616</v>
      </c>
      <c r="BC56" s="90">
        <f t="shared" si="598"/>
        <v>0.2820433196180423</v>
      </c>
      <c r="BD56" s="90">
        <f t="shared" si="598"/>
        <v>0.26630392537893505</v>
      </c>
      <c r="BE56" s="90">
        <f t="shared" si="598"/>
        <v>0.23588378103218721</v>
      </c>
      <c r="BF56" s="90">
        <f t="shared" si="598"/>
        <v>0.31398757590563237</v>
      </c>
      <c r="BG56" s="90">
        <f t="shared" si="598"/>
        <v>0.28991740570167129</v>
      </c>
      <c r="BH56" s="90">
        <f t="shared" si="598"/>
        <v>0.23242901321338191</v>
      </c>
      <c r="BI56" s="90">
        <f t="shared" si="598"/>
        <v>0.20144313517807488</v>
      </c>
      <c r="BJ56" s="90">
        <f t="shared" si="598"/>
        <v>0.12902179202941658</v>
      </c>
      <c r="BK56" s="90">
        <f t="shared" si="598"/>
        <v>0.28438488739996298</v>
      </c>
      <c r="BL56" s="90">
        <f t="shared" si="598"/>
        <v>0.25957472514195923</v>
      </c>
      <c r="BM56" s="90">
        <f t="shared" si="598"/>
        <v>0.22723650851140895</v>
      </c>
      <c r="BN56" s="90">
        <f t="shared" si="598"/>
        <v>0.24027200604457935</v>
      </c>
      <c r="BO56" s="90">
        <f t="shared" si="598"/>
        <v>0.21608925425719319</v>
      </c>
      <c r="BP56" s="90">
        <f t="shared" si="598"/>
        <v>0.2894715280622695</v>
      </c>
      <c r="BQ56" s="90">
        <f t="shared" si="598"/>
        <v>0.20010758472296947</v>
      </c>
      <c r="BR56" s="90">
        <f t="shared" si="598"/>
        <v>0.23943210308436799</v>
      </c>
      <c r="BS56" s="90">
        <f t="shared" si="598"/>
        <v>0.22971204188481698</v>
      </c>
      <c r="BT56" s="90">
        <f t="shared" si="598"/>
        <v>0.23798329724713863</v>
      </c>
      <c r="BU56" s="90">
        <f t="shared" si="598"/>
        <v>0.24849476822353472</v>
      </c>
      <c r="BV56" s="90">
        <f t="shared" si="598"/>
        <v>0.23417194570135749</v>
      </c>
      <c r="BW56" s="90">
        <f t="shared" si="598"/>
        <v>0.26559314058660516</v>
      </c>
      <c r="BX56" s="90">
        <f t="shared" si="598"/>
        <v>0.13093157682484208</v>
      </c>
      <c r="BY56" s="90">
        <f t="shared" si="598"/>
        <v>0.33534338358459043</v>
      </c>
      <c r="BZ56" s="90">
        <f t="shared" si="598"/>
        <v>0.29176480310730929</v>
      </c>
      <c r="CA56" s="90">
        <f t="shared" si="598"/>
        <v>0.31412695020303477</v>
      </c>
      <c r="CB56" s="90">
        <f t="shared" si="598"/>
        <v>0.41745682356925207</v>
      </c>
      <c r="CC56" s="90">
        <f t="shared" si="598"/>
        <v>0.85835835835835905</v>
      </c>
      <c r="CD56" s="90">
        <f t="shared" si="598"/>
        <v>0.29868173258003727</v>
      </c>
      <c r="CE56" s="90">
        <f t="shared" ref="CE56:CF56" si="599">CE55/CE54</f>
        <v>0.24231081165387783</v>
      </c>
      <c r="CF56" s="90">
        <f t="shared" si="599"/>
        <v>0.3054398586394042</v>
      </c>
      <c r="CG56" s="90">
        <f t="shared" ref="CG56:CH56" si="600">CG55/CG54</f>
        <v>0.26841515355301476</v>
      </c>
      <c r="CH56" s="90">
        <f t="shared" si="600"/>
        <v>0.28650637095484355</v>
      </c>
      <c r="CI56" s="90">
        <f t="shared" ref="CI56:CJ56" si="601">CI55/CI54</f>
        <v>0.27169728783902042</v>
      </c>
      <c r="CJ56" s="90">
        <f t="shared" si="601"/>
        <v>0.24955869373345271</v>
      </c>
      <c r="CK56" s="90">
        <f t="shared" ref="CK56:CL56" si="602">CK55/CK54</f>
        <v>0.17950923059282184</v>
      </c>
      <c r="CL56" s="90">
        <f t="shared" si="602"/>
        <v>0.32229830846673641</v>
      </c>
      <c r="CM56" s="91">
        <f t="shared" ref="CM56:DB56" si="603">AVERAGE(CI56:CL56)</f>
        <v>0.25576588015800783</v>
      </c>
      <c r="CN56" s="91">
        <f t="shared" si="603"/>
        <v>0.25178302823775467</v>
      </c>
      <c r="CO56" s="91">
        <f t="shared" si="603"/>
        <v>0.25233911186383018</v>
      </c>
      <c r="CP56" s="91">
        <f t="shared" si="603"/>
        <v>0.27054658218158223</v>
      </c>
      <c r="CQ56" s="91">
        <f t="shared" si="603"/>
        <v>0.2576086506102937</v>
      </c>
      <c r="CR56" s="91">
        <f t="shared" si="603"/>
        <v>0.25806934322336517</v>
      </c>
      <c r="CS56" s="91">
        <f t="shared" si="603"/>
        <v>0.25964092196976785</v>
      </c>
      <c r="CT56" s="91">
        <f t="shared" si="603"/>
        <v>0.26146637449625221</v>
      </c>
      <c r="CU56" s="91">
        <f t="shared" si="603"/>
        <v>0.25919632257491976</v>
      </c>
      <c r="CV56" s="91">
        <f t="shared" si="603"/>
        <v>0.25959324056607624</v>
      </c>
      <c r="CW56" s="91">
        <f t="shared" si="603"/>
        <v>0.25997421490175399</v>
      </c>
      <c r="CX56" s="91">
        <f t="shared" si="603"/>
        <v>0.26005753813475052</v>
      </c>
      <c r="CY56" s="91">
        <f t="shared" si="603"/>
        <v>0.25970532904437515</v>
      </c>
      <c r="CZ56" s="91">
        <f t="shared" si="603"/>
        <v>0.25983258066173898</v>
      </c>
      <c r="DA56" s="91">
        <f t="shared" si="603"/>
        <v>0.25989241568565469</v>
      </c>
      <c r="DB56" s="91">
        <f t="shared" si="603"/>
        <v>0.25987196588162986</v>
      </c>
      <c r="DE56" s="127"/>
      <c r="DF56" s="90">
        <v>0.24681789578003463</v>
      </c>
    </row>
    <row r="57" spans="1:110" s="26" customFormat="1" x14ac:dyDescent="0.2">
      <c r="A57" s="26" t="s">
        <v>22</v>
      </c>
      <c r="B57" s="26">
        <f t="shared" ref="B57:E57" si="604">B54-B55</f>
        <v>17.046099999999981</v>
      </c>
      <c r="C57" s="26">
        <f t="shared" si="604"/>
        <v>20.299499999999892</v>
      </c>
      <c r="D57" s="26">
        <f t="shared" si="604"/>
        <v>24.469300000000093</v>
      </c>
      <c r="E57" s="26">
        <f t="shared" si="604"/>
        <v>31.969899999999932</v>
      </c>
      <c r="F57" s="26">
        <f t="shared" ref="F57:T57" si="605">F54-F55</f>
        <v>47.111499999999999</v>
      </c>
      <c r="G57" s="26">
        <f t="shared" si="605"/>
        <v>99.877099999999871</v>
      </c>
      <c r="H57" s="26">
        <f t="shared" si="605"/>
        <v>132.07250000000016</v>
      </c>
      <c r="I57" s="26">
        <f t="shared" si="605"/>
        <v>176.00760000000008</v>
      </c>
      <c r="J57" s="26">
        <f t="shared" si="605"/>
        <v>228.40629999999973</v>
      </c>
      <c r="K57" s="26">
        <f t="shared" si="605"/>
        <v>359.54020000000094</v>
      </c>
      <c r="L57" s="26">
        <f t="shared" si="605"/>
        <v>311.39849999999944</v>
      </c>
      <c r="M57" s="26">
        <f t="shared" si="605"/>
        <v>312.47059999999999</v>
      </c>
      <c r="N57" s="26">
        <f t="shared" si="605"/>
        <v>194.98769999999973</v>
      </c>
      <c r="O57" s="26">
        <f t="shared" si="605"/>
        <v>224.26729999999947</v>
      </c>
      <c r="P57" s="26">
        <f t="shared" si="605"/>
        <v>339.84179999999958</v>
      </c>
      <c r="Q57" s="26">
        <f t="shared" si="605"/>
        <v>357.95130000000029</v>
      </c>
      <c r="R57" s="26">
        <f t="shared" si="605"/>
        <v>538.00999999999988</v>
      </c>
      <c r="S57" s="26">
        <f t="shared" si="605"/>
        <v>573.49000000000058</v>
      </c>
      <c r="T57" s="26">
        <f t="shared" si="605"/>
        <v>577.47000000000014</v>
      </c>
      <c r="U57" s="26">
        <f t="shared" ref="U57:Z57" si="606">U54-U55</f>
        <v>640.9400000000004</v>
      </c>
      <c r="V57" s="26">
        <f t="shared" si="606"/>
        <v>589.75999999999976</v>
      </c>
      <c r="W57" s="26">
        <f t="shared" si="606"/>
        <v>616.30999999999972</v>
      </c>
      <c r="X57" s="26">
        <f t="shared" si="606"/>
        <v>500.69000000000096</v>
      </c>
      <c r="Y57" s="26">
        <f t="shared" si="606"/>
        <v>386.71999999999827</v>
      </c>
      <c r="Z57" s="26">
        <f t="shared" si="606"/>
        <v>960.28000000000179</v>
      </c>
      <c r="AA57" s="26">
        <f t="shared" ref="AA57" si="607">AA54-AA55</f>
        <v>527.05999999999938</v>
      </c>
      <c r="AB57" s="27">
        <f t="shared" ref="AA57:AD57" si="608">AB54-AB55</f>
        <v>663.63624056378058</v>
      </c>
      <c r="AC57" s="27">
        <f t="shared" si="608"/>
        <v>821.56610048376763</v>
      </c>
      <c r="AD57" s="27">
        <f t="shared" si="608"/>
        <v>944.88489836342092</v>
      </c>
      <c r="AE57" s="27">
        <f t="shared" ref="AE57" si="609">AE54-AE55</f>
        <v>1082.6661351641656</v>
      </c>
      <c r="AI57" s="26">
        <f>AI54-AI55</f>
        <v>77.86000000000007</v>
      </c>
      <c r="AJ57" s="26">
        <f t="shared" ref="AJ57" si="610">AJ54-AJ55</f>
        <v>28.429999999999961</v>
      </c>
      <c r="AK57" s="26">
        <f t="shared" ref="AK57:AM57" si="611">AK54-AK55</f>
        <v>16.389999999999937</v>
      </c>
      <c r="AL57" s="26">
        <f t="shared" si="611"/>
        <v>72.310000000000116</v>
      </c>
      <c r="AM57" s="26">
        <f t="shared" si="611"/>
        <v>40.609999999999971</v>
      </c>
      <c r="AN57" s="26">
        <f t="shared" ref="AN57:AO57" si="612">AN54-AN55</f>
        <v>42.380000000000095</v>
      </c>
      <c r="AO57" s="26">
        <f t="shared" si="612"/>
        <v>57.669999999999938</v>
      </c>
      <c r="AP57" s="26">
        <f t="shared" ref="AP57:CD57" si="613">AP54-AP55</f>
        <v>83.609999999999843</v>
      </c>
      <c r="AQ57" s="26">
        <f t="shared" si="613"/>
        <v>109.80999999999995</v>
      </c>
      <c r="AR57" s="26">
        <f t="shared" si="613"/>
        <v>50.149999999999942</v>
      </c>
      <c r="AS57" s="26">
        <f t="shared" si="613"/>
        <v>61.77999999999993</v>
      </c>
      <c r="AT57" s="26">
        <f t="shared" si="613"/>
        <v>118.10000000000002</v>
      </c>
      <c r="AU57" s="26">
        <f t="shared" si="613"/>
        <v>101.66999999999989</v>
      </c>
      <c r="AV57" s="26">
        <f t="shared" si="613"/>
        <v>64.700000000000159</v>
      </c>
      <c r="AW57" s="26">
        <f t="shared" si="613"/>
        <v>51.489999999999725</v>
      </c>
      <c r="AX57" s="26">
        <f t="shared" si="613"/>
        <v>140.09000000000012</v>
      </c>
      <c r="AY57" s="26">
        <f t="shared" si="613"/>
        <v>158.81999999999977</v>
      </c>
      <c r="AZ57" s="26">
        <f t="shared" si="613"/>
        <v>82.839999999999904</v>
      </c>
      <c r="BA57" s="26">
        <f t="shared" si="613"/>
        <v>96.779999999999916</v>
      </c>
      <c r="BB57" s="26">
        <f t="shared" si="613"/>
        <v>199.57000000000028</v>
      </c>
      <c r="BC57" s="26">
        <f t="shared" si="613"/>
        <v>184.95999999999978</v>
      </c>
      <c r="BD57" s="26">
        <f t="shared" si="613"/>
        <v>94.390000000000015</v>
      </c>
      <c r="BE57" s="26">
        <f t="shared" si="613"/>
        <v>97.570000000000064</v>
      </c>
      <c r="BF57" s="26">
        <f t="shared" si="613"/>
        <v>196.57000000000031</v>
      </c>
      <c r="BG57" s="26">
        <f t="shared" si="613"/>
        <v>186.55999999999966</v>
      </c>
      <c r="BH57" s="26">
        <f t="shared" si="613"/>
        <v>109.21000000000009</v>
      </c>
      <c r="BI57" s="26">
        <f t="shared" si="613"/>
        <v>120.63000000000002</v>
      </c>
      <c r="BJ57" s="26">
        <f t="shared" si="613"/>
        <v>161.06999999999994</v>
      </c>
      <c r="BK57" s="26">
        <f t="shared" si="613"/>
        <v>230.69999999999976</v>
      </c>
      <c r="BL57" s="26">
        <f t="shared" si="613"/>
        <v>122.57000000000025</v>
      </c>
      <c r="BM57" s="26">
        <f t="shared" si="613"/>
        <v>106.67999999999998</v>
      </c>
      <c r="BN57" s="26">
        <f t="shared" si="613"/>
        <v>180.98999999999941</v>
      </c>
      <c r="BO57" s="26">
        <f t="shared" si="613"/>
        <v>93.45</v>
      </c>
      <c r="BP57" s="26">
        <f t="shared" si="613"/>
        <v>86.720000000000013</v>
      </c>
      <c r="BQ57" s="26">
        <f t="shared" si="613"/>
        <v>148.69999999999987</v>
      </c>
      <c r="BR57" s="26">
        <f t="shared" si="613"/>
        <v>260.89000000000038</v>
      </c>
      <c r="BS57" s="26">
        <f t="shared" si="613"/>
        <v>153.00999999999982</v>
      </c>
      <c r="BT57" s="26">
        <f t="shared" si="613"/>
        <v>123.18000000000018</v>
      </c>
      <c r="BU57" s="26">
        <f t="shared" si="613"/>
        <v>128.55999999999966</v>
      </c>
      <c r="BV57" s="26">
        <f t="shared" si="613"/>
        <v>211.55999999999995</v>
      </c>
      <c r="BW57" s="26">
        <f t="shared" si="613"/>
        <v>140.47000000000014</v>
      </c>
      <c r="BX57" s="26">
        <f t="shared" si="613"/>
        <v>129.29999999999998</v>
      </c>
      <c r="BY57" s="26">
        <f t="shared" si="613"/>
        <v>59.519999999999783</v>
      </c>
      <c r="BZ57" s="26">
        <f t="shared" si="613"/>
        <v>171.40000000000026</v>
      </c>
      <c r="CA57" s="26">
        <f t="shared" si="613"/>
        <v>160.46000000000004</v>
      </c>
      <c r="CB57" s="26">
        <f t="shared" si="613"/>
        <v>68.809999999999874</v>
      </c>
      <c r="CC57" s="26">
        <f t="shared" si="613"/>
        <v>8.4899999999999523</v>
      </c>
      <c r="CD57" s="26">
        <f t="shared" si="613"/>
        <v>148.96000000000029</v>
      </c>
      <c r="CE57" s="26">
        <f t="shared" ref="CE57:CF57" si="614">CE54-CE55</f>
        <v>364.34999999999906</v>
      </c>
      <c r="CF57" s="26">
        <f t="shared" si="614"/>
        <v>165.09000000000003</v>
      </c>
      <c r="CG57" s="26">
        <f t="shared" ref="CG57:CH57" si="615">CG54-CG55</f>
        <v>163.18000000000021</v>
      </c>
      <c r="CH57" s="26">
        <f t="shared" si="615"/>
        <v>267.65999999999997</v>
      </c>
      <c r="CI57" s="26">
        <f t="shared" ref="CI57:CJ57" si="616">CI54-CI55</f>
        <v>166.48999999999972</v>
      </c>
      <c r="CJ57" s="26">
        <f t="shared" si="616"/>
        <v>68.019999999999385</v>
      </c>
      <c r="CK57" s="26">
        <f t="shared" ref="CK57:CL57" si="617">CK54-CK55</f>
        <v>143.11000000000007</v>
      </c>
      <c r="CL57" s="26">
        <f t="shared" si="617"/>
        <v>149.43999999999986</v>
      </c>
      <c r="CM57" s="27">
        <f t="shared" ref="CM57:DB57" si="618">CM54-CM55</f>
        <v>174.52550763135397</v>
      </c>
      <c r="CN57" s="27">
        <f t="shared" si="618"/>
        <v>99.12131771504572</v>
      </c>
      <c r="CO57" s="27">
        <f t="shared" si="618"/>
        <v>138.7311726389145</v>
      </c>
      <c r="CP57" s="27">
        <f t="shared" si="618"/>
        <v>251.25824257846483</v>
      </c>
      <c r="CQ57" s="27">
        <f t="shared" si="618"/>
        <v>241.36804310043442</v>
      </c>
      <c r="CR57" s="27">
        <f t="shared" si="618"/>
        <v>129.13040648218413</v>
      </c>
      <c r="CS57" s="27">
        <f t="shared" si="618"/>
        <v>158.36081662709677</v>
      </c>
      <c r="CT57" s="27">
        <f t="shared" si="618"/>
        <v>292.70683427405078</v>
      </c>
      <c r="CU57" s="27">
        <f t="shared" si="618"/>
        <v>282.96213845780045</v>
      </c>
      <c r="CV57" s="27">
        <f t="shared" si="618"/>
        <v>150.71991016036338</v>
      </c>
      <c r="CW57" s="27">
        <f t="shared" si="618"/>
        <v>180.07482470801256</v>
      </c>
      <c r="CX57" s="27">
        <f t="shared" si="618"/>
        <v>331.12802503724737</v>
      </c>
      <c r="CY57" s="27">
        <f t="shared" si="618"/>
        <v>326.22057294941339</v>
      </c>
      <c r="CZ57" s="27">
        <f t="shared" si="618"/>
        <v>172.45531850461373</v>
      </c>
      <c r="DA57" s="27">
        <f t="shared" si="618"/>
        <v>205.20104114286167</v>
      </c>
      <c r="DB57" s="27">
        <f t="shared" si="618"/>
        <v>378.78920256727554</v>
      </c>
      <c r="DE57" s="121"/>
      <c r="DF57" s="26">
        <v>303.68777650372266</v>
      </c>
    </row>
    <row r="58" spans="1:110" s="45" customFormat="1" x14ac:dyDescent="0.2">
      <c r="A58" s="45" t="s">
        <v>107</v>
      </c>
      <c r="B58" s="45">
        <f t="shared" ref="B58:E58" si="619">+B57/B26</f>
        <v>2.2295511233361168E-2</v>
      </c>
      <c r="C58" s="45">
        <f t="shared" si="619"/>
        <v>2.303723589938891E-2</v>
      </c>
      <c r="D58" s="45">
        <f t="shared" si="619"/>
        <v>1.9489025660222647E-2</v>
      </c>
      <c r="E58" s="45">
        <f t="shared" si="619"/>
        <v>2.350808145219067E-2</v>
      </c>
      <c r="F58" s="45">
        <f t="shared" ref="F58:AE58" si="620">+F57/F26</f>
        <v>3.1895290371273456E-2</v>
      </c>
      <c r="G58" s="45">
        <f t="shared" si="620"/>
        <v>5.1102742006752563E-2</v>
      </c>
      <c r="H58" s="45">
        <f t="shared" si="620"/>
        <v>5.2269982985961798E-2</v>
      </c>
      <c r="I58" s="45">
        <f t="shared" si="620"/>
        <v>5.4952116138030908E-2</v>
      </c>
      <c r="J58" s="45">
        <f t="shared" si="620"/>
        <v>5.2799744829847749E-2</v>
      </c>
      <c r="K58" s="45">
        <f t="shared" si="620"/>
        <v>7.5573863615463671E-2</v>
      </c>
      <c r="L58" s="45">
        <f t="shared" si="620"/>
        <v>5.9983784652167395E-2</v>
      </c>
      <c r="M58" s="45">
        <f t="shared" si="620"/>
        <v>6.0255782770905653E-2</v>
      </c>
      <c r="N58" s="45">
        <f t="shared" si="620"/>
        <v>3.5253861260000727E-2</v>
      </c>
      <c r="O58" s="45">
        <f t="shared" si="620"/>
        <v>4.2587426476367395E-2</v>
      </c>
      <c r="P58" s="45">
        <f t="shared" si="620"/>
        <v>6.5567455500357572E-2</v>
      </c>
      <c r="Q58" s="45">
        <f t="shared" si="620"/>
        <v>6.2581030951561659E-2</v>
      </c>
      <c r="R58" s="45">
        <f t="shared" si="620"/>
        <v>8.9180811563453102E-2</v>
      </c>
      <c r="S58" s="45">
        <f t="shared" si="620"/>
        <v>8.9546529094151284E-2</v>
      </c>
      <c r="T58" s="45">
        <f t="shared" si="620"/>
        <v>8.1059001385444016E-2</v>
      </c>
      <c r="U58" s="45">
        <f t="shared" si="620"/>
        <v>8.369460752564617E-2</v>
      </c>
      <c r="V58" s="45">
        <f t="shared" si="620"/>
        <v>7.8054151920781148E-2</v>
      </c>
      <c r="W58" s="45">
        <f t="shared" si="620"/>
        <v>7.7675201179665851E-2</v>
      </c>
      <c r="X58" s="45">
        <f t="shared" si="620"/>
        <v>5.2711035218244148E-2</v>
      </c>
      <c r="Y58" s="45">
        <f t="shared" si="620"/>
        <v>3.0984175412479904E-2</v>
      </c>
      <c r="Z58" s="45">
        <f t="shared" ref="Z58:AA58" si="621">+Z57/Z26</f>
        <v>6.2304099387586659E-2</v>
      </c>
      <c r="AA58" s="45">
        <f t="shared" si="621"/>
        <v>3.7000947734213162E-2</v>
      </c>
      <c r="AB58" s="48">
        <f t="shared" si="620"/>
        <v>3.882412162377178E-2</v>
      </c>
      <c r="AC58" s="48">
        <f t="shared" si="620"/>
        <v>4.1794219100266393E-2</v>
      </c>
      <c r="AD58" s="48">
        <f t="shared" si="620"/>
        <v>4.1797929740242927E-2</v>
      </c>
      <c r="AE58" s="48">
        <f t="shared" si="620"/>
        <v>4.1645931071340035E-2</v>
      </c>
      <c r="AI58" s="45">
        <f t="shared" ref="AI58:BN58" si="622">+AI57/AI26</f>
        <v>4.8156257344664263E-2</v>
      </c>
      <c r="AJ58" s="45">
        <f t="shared" si="622"/>
        <v>2.4414121203273503E-2</v>
      </c>
      <c r="AK58" s="45">
        <f t="shared" si="622"/>
        <v>1.42207645721623E-2</v>
      </c>
      <c r="AL58" s="45">
        <f t="shared" si="622"/>
        <v>4.5275528924119263E-2</v>
      </c>
      <c r="AM58" s="45">
        <f t="shared" si="622"/>
        <v>2.5329008919104331E-2</v>
      </c>
      <c r="AN58" s="45">
        <f t="shared" si="622"/>
        <v>3.9221493156136426E-2</v>
      </c>
      <c r="AO58" s="45">
        <f t="shared" si="622"/>
        <v>5.1518670716455182E-2</v>
      </c>
      <c r="AP58" s="45">
        <f t="shared" si="622"/>
        <v>5.7157115414852133E-2</v>
      </c>
      <c r="AQ58" s="45">
        <f t="shared" si="622"/>
        <v>6.2486485256125705E-2</v>
      </c>
      <c r="AR58" s="45">
        <f t="shared" si="622"/>
        <v>5.0931803178794435E-2</v>
      </c>
      <c r="AS58" s="45">
        <f t="shared" si="622"/>
        <v>6.4954317496030964E-2</v>
      </c>
      <c r="AT58" s="45">
        <f t="shared" si="622"/>
        <v>7.9263340872635035E-2</v>
      </c>
      <c r="AU58" s="45">
        <f t="shared" si="622"/>
        <v>6.5237478023176657E-2</v>
      </c>
      <c r="AV58" s="45">
        <f t="shared" si="622"/>
        <v>6.2207351428269393E-2</v>
      </c>
      <c r="AW58" s="45">
        <f t="shared" si="622"/>
        <v>4.0673976238624662E-2</v>
      </c>
      <c r="AX58" s="45">
        <f t="shared" si="622"/>
        <v>7.550556226284931E-2</v>
      </c>
      <c r="AY58" s="45">
        <f t="shared" si="622"/>
        <v>8.5846792501783634E-2</v>
      </c>
      <c r="AZ58" s="45">
        <f t="shared" si="622"/>
        <v>8.5647525898968083E-2</v>
      </c>
      <c r="BA58" s="45">
        <f t="shared" si="622"/>
        <v>8.1983599891569461E-2</v>
      </c>
      <c r="BB58" s="45">
        <f t="shared" si="622"/>
        <v>9.8065904690770922E-2</v>
      </c>
      <c r="BC58" s="45">
        <f t="shared" si="622"/>
        <v>9.5113698306095687E-2</v>
      </c>
      <c r="BD58" s="45">
        <f t="shared" si="622"/>
        <v>9.1047641095388307E-2</v>
      </c>
      <c r="BE58" s="45">
        <f t="shared" si="622"/>
        <v>7.0977034488277232E-2</v>
      </c>
      <c r="BF58" s="45">
        <f t="shared" si="622"/>
        <v>9.5963639559066338E-2</v>
      </c>
      <c r="BG58" s="45">
        <f t="shared" si="622"/>
        <v>8.6849247471008986E-2</v>
      </c>
      <c r="BH58" s="45">
        <f t="shared" si="622"/>
        <v>7.6834862385321154E-2</v>
      </c>
      <c r="BI58" s="45">
        <f t="shared" si="622"/>
        <v>8.0863129952137736E-2</v>
      </c>
      <c r="BJ58" s="45">
        <f t="shared" si="622"/>
        <v>7.8081673808923585E-2</v>
      </c>
      <c r="BK58" s="45">
        <f t="shared" si="622"/>
        <v>8.6925395629238789E-2</v>
      </c>
      <c r="BL58" s="45">
        <f t="shared" si="622"/>
        <v>8.6199136391127792E-2</v>
      </c>
      <c r="BM58" s="45">
        <f t="shared" si="622"/>
        <v>7.1476908027416894E-2</v>
      </c>
      <c r="BN58" s="45">
        <f t="shared" si="622"/>
        <v>8.6613419600598887E-2</v>
      </c>
      <c r="BO58" s="45">
        <f t="shared" ref="BO58:CT58" si="623">+BO57/BO26</f>
        <v>7.2054219933073232E-2</v>
      </c>
      <c r="BP58" s="45">
        <f t="shared" si="623"/>
        <v>5.3778510920659342E-2</v>
      </c>
      <c r="BQ58" s="45">
        <f t="shared" si="623"/>
        <v>7.4549793446436377E-2</v>
      </c>
      <c r="BR58" s="45">
        <f t="shared" si="623"/>
        <v>9.8387425235512985E-2</v>
      </c>
      <c r="BS58" s="45">
        <f t="shared" si="623"/>
        <v>8.5710284561953745E-2</v>
      </c>
      <c r="BT58" s="45">
        <f t="shared" si="623"/>
        <v>7.2927274018992683E-2</v>
      </c>
      <c r="BU58" s="45">
        <f t="shared" si="623"/>
        <v>7.16774736701251E-2</v>
      </c>
      <c r="BV58" s="45">
        <f t="shared" si="623"/>
        <v>7.9337578471300296E-2</v>
      </c>
      <c r="BW58" s="45">
        <f t="shared" si="623"/>
        <v>5.074783236994225E-2</v>
      </c>
      <c r="BX58" s="45">
        <f t="shared" si="623"/>
        <v>7.3118595761044125E-2</v>
      </c>
      <c r="BY58" s="45">
        <f t="shared" si="623"/>
        <v>2.9676756697463509E-2</v>
      </c>
      <c r="BZ58" s="45">
        <f t="shared" si="623"/>
        <v>5.7968073593073675E-2</v>
      </c>
      <c r="CA58" s="45">
        <f t="shared" si="623"/>
        <v>4.7757942295214691E-2</v>
      </c>
      <c r="CB58" s="45">
        <f t="shared" si="623"/>
        <v>3.0011994329953058E-2</v>
      </c>
      <c r="CC58" s="45">
        <f t="shared" si="623"/>
        <v>3.2333988391755226E-3</v>
      </c>
      <c r="CD58" s="45">
        <f t="shared" si="623"/>
        <v>3.5442363331810639E-2</v>
      </c>
      <c r="CE58" s="45">
        <f t="shared" si="623"/>
        <v>7.4039528390455453E-2</v>
      </c>
      <c r="CF58" s="45">
        <f t="shared" si="623"/>
        <v>6.3032862308188664E-2</v>
      </c>
      <c r="CG58" s="45">
        <f t="shared" si="623"/>
        <v>5.2552083501067659E-2</v>
      </c>
      <c r="CH58" s="45">
        <f t="shared" si="623"/>
        <v>5.6141925848861879E-2</v>
      </c>
      <c r="CI58" s="45">
        <f t="shared" ref="CI58:CJ58" si="624">+CI57/CI26</f>
        <v>4.2271580112629353E-2</v>
      </c>
      <c r="CJ58" s="45">
        <f t="shared" si="624"/>
        <v>2.8977727791694101E-2</v>
      </c>
      <c r="CK58" s="45">
        <f t="shared" ref="CK58:CL58" si="625">+CK57/CK26</f>
        <v>4.6603946241496455E-2</v>
      </c>
      <c r="CL58" s="45">
        <f t="shared" si="625"/>
        <v>3.0573894754932118E-2</v>
      </c>
      <c r="CM58" s="48">
        <f t="shared" si="623"/>
        <v>3.6926486963862179E-2</v>
      </c>
      <c r="CN58" s="48">
        <f t="shared" si="623"/>
        <v>3.5189534488638721E-2</v>
      </c>
      <c r="CO58" s="48">
        <f t="shared" si="623"/>
        <v>3.7648313137235531E-2</v>
      </c>
      <c r="CP58" s="48">
        <f t="shared" si="623"/>
        <v>4.2837387719169319E-2</v>
      </c>
      <c r="CQ58" s="48">
        <f t="shared" si="623"/>
        <v>4.4407979286515901E-2</v>
      </c>
      <c r="CR58" s="48">
        <f t="shared" si="623"/>
        <v>3.9863656561705811E-2</v>
      </c>
      <c r="CS58" s="48">
        <f t="shared" si="623"/>
        <v>3.7369850215799812E-2</v>
      </c>
      <c r="CT58" s="48">
        <f t="shared" si="623"/>
        <v>4.3394799256083555E-2</v>
      </c>
      <c r="CU58" s="48">
        <f t="shared" ref="CU58:DB58" si="626">+CU57/CU26</f>
        <v>4.5270128887319419E-2</v>
      </c>
      <c r="CV58" s="48">
        <f t="shared" si="626"/>
        <v>4.0459582844584237E-2</v>
      </c>
      <c r="CW58" s="48">
        <f t="shared" si="626"/>
        <v>3.6951220253807836E-2</v>
      </c>
      <c r="CX58" s="48">
        <f t="shared" si="626"/>
        <v>4.2687716088803951E-2</v>
      </c>
      <c r="CY58" s="48">
        <f t="shared" si="626"/>
        <v>4.5383387343387468E-2</v>
      </c>
      <c r="CZ58" s="48">
        <f t="shared" si="626"/>
        <v>4.0255898672390981E-2</v>
      </c>
      <c r="DA58" s="48">
        <f t="shared" si="626"/>
        <v>3.6614870608830966E-2</v>
      </c>
      <c r="DB58" s="48">
        <f t="shared" si="626"/>
        <v>4.2462614520477761E-2</v>
      </c>
      <c r="DE58" s="129"/>
      <c r="DF58" s="45">
        <v>5.7645958723475887E-2</v>
      </c>
    </row>
    <row r="59" spans="1:110" s="39" customFormat="1" x14ac:dyDescent="0.2">
      <c r="A59" s="39" t="s">
        <v>451</v>
      </c>
      <c r="C59" s="39">
        <f t="shared" ref="C59:E59" si="627">+IF(B57&lt;0,1-C57/B57,C57/B57-1)</f>
        <v>0.19085890614274903</v>
      </c>
      <c r="D59" s="39">
        <f t="shared" si="627"/>
        <v>0.20541392645140144</v>
      </c>
      <c r="E59" s="39">
        <f t="shared" si="627"/>
        <v>0.30653104093700301</v>
      </c>
      <c r="F59" s="39">
        <f t="shared" ref="F59:AE59" si="628">+IF(E57&lt;0,1-F57/E57,F57/E57-1)</f>
        <v>0.47362049928214045</v>
      </c>
      <c r="G59" s="39">
        <f t="shared" si="628"/>
        <v>1.1200152828927092</v>
      </c>
      <c r="H59" s="39">
        <f t="shared" si="628"/>
        <v>0.32235016835691388</v>
      </c>
      <c r="I59" s="39">
        <f t="shared" si="628"/>
        <v>0.33265895625508612</v>
      </c>
      <c r="J59" s="39">
        <f t="shared" si="628"/>
        <v>0.2977070308327574</v>
      </c>
      <c r="K59" s="39">
        <f t="shared" si="628"/>
        <v>0.57412558235040523</v>
      </c>
      <c r="L59" s="39">
        <f t="shared" si="628"/>
        <v>-0.13389796189689318</v>
      </c>
      <c r="M59" s="39">
        <f t="shared" si="628"/>
        <v>3.442855376633247E-3</v>
      </c>
      <c r="N59" s="39">
        <f t="shared" si="628"/>
        <v>-0.3759806522597654</v>
      </c>
      <c r="O59" s="39">
        <f t="shared" si="628"/>
        <v>0.15016126658245499</v>
      </c>
      <c r="P59" s="39">
        <f t="shared" si="628"/>
        <v>0.51534262908591844</v>
      </c>
      <c r="Q59" s="39">
        <f t="shared" si="628"/>
        <v>5.3288029900973699E-2</v>
      </c>
      <c r="R59" s="39">
        <f t="shared" si="628"/>
        <v>0.50302569092499305</v>
      </c>
      <c r="S59" s="39">
        <f t="shared" si="628"/>
        <v>6.5946729614692501E-2</v>
      </c>
      <c r="T59" s="39">
        <f t="shared" si="628"/>
        <v>6.9399640795821949E-3</v>
      </c>
      <c r="U59" s="39">
        <f t="shared" si="628"/>
        <v>0.1099104715396475</v>
      </c>
      <c r="V59" s="39">
        <f t="shared" si="628"/>
        <v>-7.9851468156146632E-2</v>
      </c>
      <c r="W59" s="39">
        <f t="shared" si="628"/>
        <v>4.5018312533912086E-2</v>
      </c>
      <c r="X59" s="39">
        <f t="shared" si="628"/>
        <v>-0.18760039590465638</v>
      </c>
      <c r="Y59" s="39">
        <f t="shared" si="628"/>
        <v>-0.22762587629072373</v>
      </c>
      <c r="Z59" s="39">
        <f t="shared" ref="Z59:AA59" si="629">+IF(Y57&lt;0,1-Z57/Y57,Z57/Y57-1)</f>
        <v>1.4831402565163585</v>
      </c>
      <c r="AA59" s="39">
        <f t="shared" si="629"/>
        <v>-0.45113925105177821</v>
      </c>
      <c r="AB59" s="40">
        <f t="shared" si="628"/>
        <v>0.25912844944367119</v>
      </c>
      <c r="AC59" s="40">
        <f t="shared" si="628"/>
        <v>0.23797654538248314</v>
      </c>
      <c r="AD59" s="40">
        <f t="shared" si="628"/>
        <v>0.15010210110548461</v>
      </c>
      <c r="AE59" s="40">
        <f t="shared" si="628"/>
        <v>0.14581801131480399</v>
      </c>
      <c r="AM59" s="39">
        <f>+IF(AI57&lt;0,1-AM57/AI57,AM57/AI57-1)</f>
        <v>-0.47842281017210464</v>
      </c>
      <c r="AN59" s="39">
        <f t="shared" ref="AN59" si="630">+IF(AJ57&lt;0,1-AN57/AJ57,AN57/AJ57-1)</f>
        <v>0.49067886035878128</v>
      </c>
      <c r="AO59" s="39">
        <f t="shared" ref="AO59" si="631">+IF(AK57&lt;0,1-AO57/AK57,AO57/AK57-1)</f>
        <v>2.5186089078706626</v>
      </c>
      <c r="AP59" s="39">
        <f t="shared" ref="AP59" si="632">+IF(AL57&lt;0,1-AP57/AL57,AP57/AL57-1)</f>
        <v>0.15627160835292098</v>
      </c>
      <c r="AQ59" s="39">
        <f t="shared" ref="AQ59" si="633">+IF(AM57&lt;0,1-AQ57/AM57,AQ57/AM57-1)</f>
        <v>1.7040137897069694</v>
      </c>
      <c r="AR59" s="39">
        <f t="shared" ref="AR59" si="634">+IF(AN57&lt;0,1-AR57/AN57,AR57/AN57-1)</f>
        <v>0.18334119867861798</v>
      </c>
      <c r="AS59" s="39">
        <f t="shared" ref="AS59" si="635">+IF(AO57&lt;0,1-AS57/AO57,AS57/AO57-1)</f>
        <v>7.1267556788624953E-2</v>
      </c>
      <c r="AT59" s="39">
        <f t="shared" ref="AT59" si="636">+IF(AP57&lt;0,1-AT57/AP57,AT57/AP57-1)</f>
        <v>0.41251046525535506</v>
      </c>
      <c r="AU59" s="39">
        <f t="shared" ref="AU59" si="637">+IF(AQ57&lt;0,1-AU57/AQ57,AU57/AQ57-1)</f>
        <v>-7.4128039340679908E-2</v>
      </c>
      <c r="AV59" s="39">
        <f t="shared" ref="AV59" si="638">+IF(AR57&lt;0,1-AV57/AR57,AV57/AR57-1)</f>
        <v>0.29012961116650526</v>
      </c>
      <c r="AW59" s="39">
        <f t="shared" ref="AW59" si="639">+IF(AS57&lt;0,1-AW57/AS57,AW57/AS57-1)</f>
        <v>-0.16655875687925248</v>
      </c>
      <c r="AX59" s="39">
        <f t="shared" ref="AX59" si="640">+IF(AT57&lt;0,1-AX57/AT57,AX57/AT57-1)</f>
        <v>0.18619813717188904</v>
      </c>
      <c r="AY59" s="39">
        <f t="shared" ref="AY59" si="641">+IF(AU57&lt;0,1-AY57/AU57,AY57/AU57-1)</f>
        <v>0.56211271761581538</v>
      </c>
      <c r="AZ59" s="39">
        <f t="shared" ref="AZ59" si="642">+IF(AV57&lt;0,1-AZ57/AV57,AZ57/AV57-1)</f>
        <v>0.28037094281297836</v>
      </c>
      <c r="BA59" s="39">
        <f t="shared" ref="BA59" si="643">+IF(AW57&lt;0,1-BA57/AW57,BA57/AW57-1)</f>
        <v>0.8795882695669146</v>
      </c>
      <c r="BB59" s="39">
        <f t="shared" ref="BB59" si="644">+IF(AX57&lt;0,1-BB57/AX57,BB57/AX57-1)</f>
        <v>0.42458419587408169</v>
      </c>
      <c r="BC59" s="39">
        <f t="shared" ref="BC59" si="645">+IF(AY57&lt;0,1-BC57/AY57,BC57/AY57-1)</f>
        <v>0.16458884271502372</v>
      </c>
      <c r="BD59" s="39">
        <f t="shared" ref="BD59" si="646">+IF(AZ57&lt;0,1-BD57/AZ57,BD57/AZ57-1)</f>
        <v>0.13942539835828249</v>
      </c>
      <c r="BE59" s="39">
        <f t="shared" ref="BE59" si="647">+IF(BA57&lt;0,1-BE57/BA57,BE57/BA57-1)</f>
        <v>8.1628435627210116E-3</v>
      </c>
      <c r="BF59" s="39">
        <f t="shared" ref="BF59" si="648">+IF(BB57&lt;0,1-BF57/BB57,BF57/BB57-1)</f>
        <v>-1.503231948689665E-2</v>
      </c>
      <c r="BG59" s="39">
        <f t="shared" ref="BG59" si="649">+IF(BC57&lt;0,1-BG57/BC57,BG57/BC57-1)</f>
        <v>8.6505190311412239E-3</v>
      </c>
      <c r="BH59" s="39">
        <f t="shared" ref="BH59" si="650">+IF(BD57&lt;0,1-BH57/BD57,BH57/BD57-1)</f>
        <v>0.15700815764381892</v>
      </c>
      <c r="BI59" s="39">
        <f t="shared" ref="BI59" si="651">+IF(BE57&lt;0,1-BI57/BE57,BI57/BE57-1)</f>
        <v>0.23634313825971032</v>
      </c>
      <c r="BJ59" s="39">
        <f t="shared" ref="BJ59" si="652">+IF(BF57&lt;0,1-BJ57/BF57,BJ57/BF57-1)</f>
        <v>-0.18059724271252131</v>
      </c>
      <c r="BK59" s="39">
        <f t="shared" ref="BK59" si="653">+IF(BG57&lt;0,1-BK57/BG57,BK57/BG57-1)</f>
        <v>0.23659948542024112</v>
      </c>
      <c r="BL59" s="39">
        <f t="shared" ref="BL59" si="654">+IF(BH57&lt;0,1-BL57/BH57,BL57/BH57-1)</f>
        <v>0.12233311967768645</v>
      </c>
      <c r="BM59" s="39">
        <f t="shared" ref="BM59" si="655">+IF(BI57&lt;0,1-BM57/BI57,BM57/BI57-1)</f>
        <v>-0.11564287490673997</v>
      </c>
      <c r="BN59" s="39">
        <f t="shared" ref="BN59" si="656">+IF(BJ57&lt;0,1-BN57/BJ57,BN57/BJ57-1)</f>
        <v>0.12367293723225603</v>
      </c>
      <c r="BO59" s="39">
        <f t="shared" ref="BO59" si="657">+IF(BK57&lt;0,1-BO57/BK57,BO57/BK57-1)</f>
        <v>-0.59492847854356268</v>
      </c>
      <c r="BP59" s="39">
        <f t="shared" ref="BP59" si="658">+IF(BL57&lt;0,1-BP57/BL57,BP57/BL57-1)</f>
        <v>-0.29248592640940008</v>
      </c>
      <c r="BQ59" s="39">
        <f t="shared" ref="BQ59" si="659">+IF(BM57&lt;0,1-BQ57/BM57,BQ57/BM57-1)</f>
        <v>0.39388826396700316</v>
      </c>
      <c r="BR59" s="39">
        <f t="shared" ref="BR59" si="660">+IF(BN57&lt;0,1-BR57/BN57,BR57/BN57-1)</f>
        <v>0.44146085419084602</v>
      </c>
      <c r="BS59" s="39">
        <f t="shared" ref="BS59" si="661">+IF(BO57&lt;0,1-BS57/BO57,BS57/BO57-1)</f>
        <v>0.63734617442482411</v>
      </c>
      <c r="BT59" s="39">
        <f t="shared" ref="BT59" si="662">+IF(BP57&lt;0,1-BT57/BP57,BT57/BP57-1)</f>
        <v>0.42043357933579517</v>
      </c>
      <c r="BU59" s="39">
        <f t="shared" ref="BU59" si="663">+IF(BQ57&lt;0,1-BU57/BQ57,BU57/BQ57-1)</f>
        <v>-0.13544048419637011</v>
      </c>
      <c r="BV59" s="39">
        <f t="shared" ref="BV59" si="664">+IF(BR57&lt;0,1-BV57/BR57,BV57/BR57-1)</f>
        <v>-0.18908352179079446</v>
      </c>
      <c r="BW59" s="39">
        <f t="shared" ref="BW59" si="665">+IF(BS57&lt;0,1-BW57/BS57,BW57/BS57-1)</f>
        <v>-8.1955427749818233E-2</v>
      </c>
      <c r="BX59" s="39">
        <f t="shared" ref="BX59" si="666">+IF(BT57&lt;0,1-BX57/BT57,BX57/BT57-1)</f>
        <v>4.968339016073875E-2</v>
      </c>
      <c r="BY59" s="39">
        <f t="shared" ref="BY59" si="667">+IF(BU57&lt;0,1-BY57/BU57,BY57/BU57-1)</f>
        <v>-0.53702551337896742</v>
      </c>
      <c r="BZ59" s="39">
        <f t="shared" ref="BZ59" si="668">+IF(BV57&lt;0,1-BZ57/BV57,BZ57/BV57-1)</f>
        <v>-0.18982794479107434</v>
      </c>
      <c r="CA59" s="39">
        <f t="shared" ref="CA59" si="669">+IF(BW57&lt;0,1-CA57/BW57,CA57/BW57-1)</f>
        <v>0.14230796611376006</v>
      </c>
      <c r="CB59" s="39">
        <f t="shared" ref="CB59" si="670">+IF(BX57&lt;0,1-CB57/BX57,CB57/BX57-1)</f>
        <v>-0.46782675947409214</v>
      </c>
      <c r="CC59" s="39">
        <f t="shared" ref="CC59" si="671">+IF(BY57&lt;0,1-CC57/BY57,CC57/BY57-1)</f>
        <v>-0.85735887096774221</v>
      </c>
      <c r="CD59" s="39">
        <f t="shared" ref="CD59" si="672">+IF(BZ57&lt;0,1-CD57/BZ57,CD57/BZ57-1)</f>
        <v>-0.13092182030338351</v>
      </c>
      <c r="CE59" s="39">
        <f t="shared" ref="CE59" si="673">+IF(CA57&lt;0,1-CE57/CA57,CE57/CA57-1)</f>
        <v>1.2706593543562192</v>
      </c>
      <c r="CF59" s="39">
        <f t="shared" ref="CF59" si="674">+IF(CB57&lt;0,1-CF57/CB57,CF57/CB57-1)</f>
        <v>1.3992152303444314</v>
      </c>
      <c r="CG59" s="39">
        <f t="shared" ref="CG59" si="675">+IF(CC57&lt;0,1-CG57/CC57,CG57/CC57-1)</f>
        <v>18.22025912838647</v>
      </c>
      <c r="CH59" s="39">
        <f t="shared" ref="CH59:CL59" si="676">+IF(CD57&lt;0,1-CH57/CD57,CH57/CD57-1)</f>
        <v>0.79685821697099524</v>
      </c>
      <c r="CI59" s="39">
        <f t="shared" si="676"/>
        <v>-0.54304926581583601</v>
      </c>
      <c r="CJ59" s="39">
        <f t="shared" si="676"/>
        <v>-0.5879823126779371</v>
      </c>
      <c r="CK59" s="39">
        <f t="shared" si="676"/>
        <v>-0.12299301384973715</v>
      </c>
      <c r="CL59" s="39">
        <f t="shared" si="676"/>
        <v>-0.4416797429574838</v>
      </c>
      <c r="CM59" s="40">
        <f t="shared" ref="CM59" si="677">+CM57/CI57-1</f>
        <v>4.8264205846322739E-2</v>
      </c>
      <c r="CN59" s="40">
        <f t="shared" ref="CN59" si="678">+CN57/CJ57-1</f>
        <v>0.45723783762197323</v>
      </c>
      <c r="CO59" s="40">
        <f t="shared" ref="CO59" si="679">+CO57/CK57-1</f>
        <v>-3.0597633715921835E-2</v>
      </c>
      <c r="CP59" s="40">
        <f t="shared" ref="CP59" si="680">+CP57/CL57-1</f>
        <v>0.68133192303576728</v>
      </c>
      <c r="CQ59" s="40">
        <f t="shared" ref="CQ59" si="681">+CQ57/CM57-1</f>
        <v>0.3829957945761735</v>
      </c>
      <c r="CR59" s="40">
        <f t="shared" ref="CR59" si="682">+CR57/CN57-1</f>
        <v>0.30275110802510352</v>
      </c>
      <c r="CS59" s="40">
        <f t="shared" ref="CS59" si="683">+CS57/CO57-1</f>
        <v>0.14149411134348111</v>
      </c>
      <c r="CT59" s="40">
        <f t="shared" ref="CT59" si="684">+CT57/CP57-1</f>
        <v>0.16496410732731315</v>
      </c>
      <c r="CU59" s="40">
        <f t="shared" ref="CU59" si="685">+CU57/CQ57-1</f>
        <v>0.17232643900608879</v>
      </c>
      <c r="CV59" s="40">
        <f t="shared" ref="CV59" si="686">+CV57/CR57-1</f>
        <v>0.16719147926757216</v>
      </c>
      <c r="CW59" s="40">
        <f t="shared" ref="CW59" si="687">+CW57/CS57-1</f>
        <v>0.13711730302608416</v>
      </c>
      <c r="CX59" s="40">
        <f t="shared" ref="CX59" si="688">+CX57/CT57-1</f>
        <v>0.13126167982543313</v>
      </c>
      <c r="CY59" s="40">
        <f t="shared" ref="CY59" si="689">+CY57/CU57-1</f>
        <v>0.15287711185453978</v>
      </c>
      <c r="CZ59" s="40">
        <f t="shared" ref="CZ59" si="690">+CZ57/CV57-1</f>
        <v>0.14421059779775769</v>
      </c>
      <c r="DA59" s="40">
        <f t="shared" ref="DA59" si="691">+DA57/CW57-1</f>
        <v>0.1395320888169167</v>
      </c>
      <c r="DB59" s="40">
        <f t="shared" ref="DB59" si="692">+DB57/CX57-1</f>
        <v>0.14393580103848636</v>
      </c>
      <c r="DE59" s="122"/>
      <c r="DF59" s="39">
        <v>0.13460276658343684</v>
      </c>
    </row>
    <row r="60" spans="1:110" s="39" customFormat="1" x14ac:dyDescent="0.2">
      <c r="A60" s="39" t="s">
        <v>452</v>
      </c>
      <c r="AB60" s="40"/>
      <c r="AC60" s="40"/>
      <c r="AD60" s="40"/>
      <c r="AE60" s="40"/>
      <c r="AJ60" s="39">
        <f>+IF(AI57&lt;0,1-AJ57/AI57,AJ57/AI57-1)</f>
        <v>-0.63485743642435222</v>
      </c>
      <c r="AK60" s="39">
        <f t="shared" ref="AK60:AM60" si="693">+IF(AJ57&lt;0,1-AK57/AJ57,AK57/AJ57-1)</f>
        <v>-0.42349630671825678</v>
      </c>
      <c r="AL60" s="39">
        <f t="shared" si="693"/>
        <v>3.4118364856620129</v>
      </c>
      <c r="AM60" s="39">
        <f t="shared" si="693"/>
        <v>-0.43839026414050741</v>
      </c>
      <c r="AN60" s="39">
        <f t="shared" ref="AN60" si="694">+IF(AM57&lt;0,1-AN57/AM57,AN57/AM57-1)</f>
        <v>4.358532381187219E-2</v>
      </c>
      <c r="AO60" s="39">
        <f t="shared" ref="AO60" si="695">+IF(AN57&lt;0,1-AO57/AN57,AO57/AN57-1)</f>
        <v>0.36078338839074586</v>
      </c>
      <c r="AP60" s="39">
        <f t="shared" ref="AP60" si="696">+IF(AO57&lt;0,1-AP57/AO57,AP57/AO57-1)</f>
        <v>0.44980058956129598</v>
      </c>
      <c r="AQ60" s="39">
        <f t="shared" ref="AQ60" si="697">+IF(AP57&lt;0,1-AQ57/AP57,AQ57/AP57-1)</f>
        <v>0.31335964597536359</v>
      </c>
      <c r="AR60" s="39">
        <f t="shared" ref="AR60" si="698">+IF(AQ57&lt;0,1-AR57/AQ57,AR57/AQ57-1)</f>
        <v>-0.54330206720699414</v>
      </c>
      <c r="AS60" s="39">
        <f t="shared" ref="AS60" si="699">+IF(AR57&lt;0,1-AS57/AR57,AS57/AR57-1)</f>
        <v>0.23190428713858435</v>
      </c>
      <c r="AT60" s="39">
        <f t="shared" ref="AT60" si="700">+IF(AS57&lt;0,1-AT57/AS57,AT57/AS57-1)</f>
        <v>0.91162188410489087</v>
      </c>
      <c r="AU60" s="39">
        <f t="shared" ref="AU60" si="701">+IF(AT57&lt;0,1-AU57/AT57,AU57/AT57-1)</f>
        <v>-0.13911939034716458</v>
      </c>
      <c r="AV60" s="39">
        <f t="shared" ref="AV60" si="702">+IF(AU57&lt;0,1-AV57/AU57,AV57/AU57-1)</f>
        <v>-0.36362742205173371</v>
      </c>
      <c r="AW60" s="39">
        <f t="shared" ref="AW60" si="703">+IF(AV57&lt;0,1-AW57/AV57,AW57/AV57-1)</f>
        <v>-0.20417310664606492</v>
      </c>
      <c r="AX60" s="39">
        <f t="shared" ref="AX60" si="704">+IF(AW57&lt;0,1-AX57/AW57,AX57/AW57-1)</f>
        <v>1.7207224703826154</v>
      </c>
      <c r="AY60" s="39">
        <f t="shared" ref="AY60" si="705">+IF(AX57&lt;0,1-AY57/AX57,AY57/AX57-1)</f>
        <v>0.13369976443714493</v>
      </c>
      <c r="AZ60" s="39">
        <f t="shared" ref="AZ60" si="706">+IF(AY57&lt;0,1-AZ57/AY57,AZ57/AY57-1)</f>
        <v>-0.47840322377534295</v>
      </c>
      <c r="BA60" s="39">
        <f t="shared" ref="BA60" si="707">+IF(AZ57&lt;0,1-BA57/AZ57,BA57/AZ57-1)</f>
        <v>0.16827619507484348</v>
      </c>
      <c r="BB60" s="39">
        <f t="shared" ref="BB60" si="708">+IF(BA57&lt;0,1-BB57/BA57,BB57/BA57-1)</f>
        <v>1.0620996073568967</v>
      </c>
      <c r="BC60" s="39">
        <f t="shared" ref="BC60" si="709">+IF(BB57&lt;0,1-BC57/BB57,BC57/BB57-1)</f>
        <v>-7.3207395901189964E-2</v>
      </c>
      <c r="BD60" s="39">
        <f t="shared" ref="BD60" si="710">+IF(BC57&lt;0,1-BD57/BC57,BD57/BC57-1)</f>
        <v>-0.48967344290657366</v>
      </c>
      <c r="BE60" s="39">
        <f t="shared" ref="BE60" si="711">+IF(BD57&lt;0,1-BE57/BD57,BE57/BD57-1)</f>
        <v>3.369000953490886E-2</v>
      </c>
      <c r="BF60" s="39">
        <f t="shared" ref="BF60" si="712">+IF(BE57&lt;0,1-BF57/BE57,BF57/BE57-1)</f>
        <v>1.0146561443066533</v>
      </c>
      <c r="BG60" s="39">
        <f t="shared" ref="BG60" si="713">+IF(BF57&lt;0,1-BG57/BF57,BG57/BF57-1)</f>
        <v>-5.0923335198660213E-2</v>
      </c>
      <c r="BH60" s="39">
        <f t="shared" ref="BH60" si="714">+IF(BG57&lt;0,1-BH57/BG57,BH57/BG57-1)</f>
        <v>-0.41461192109776857</v>
      </c>
      <c r="BI60" s="39">
        <f t="shared" ref="BI60" si="715">+IF(BH57&lt;0,1-BI57/BH57,BI57/BH57-1)</f>
        <v>0.10456917864664339</v>
      </c>
      <c r="BJ60" s="39">
        <f t="shared" ref="BJ60" si="716">+IF(BI57&lt;0,1-BJ57/BI57,BJ57/BI57-1)</f>
        <v>0.33523999005222493</v>
      </c>
      <c r="BK60" s="39">
        <f t="shared" ref="BK60" si="717">+IF(BJ57&lt;0,1-BK57/BJ57,BK57/BJ57-1)</f>
        <v>0.43229651704227878</v>
      </c>
      <c r="BL60" s="39">
        <f t="shared" ref="BL60" si="718">+IF(BK57&lt;0,1-BL57/BK57,BL57/BK57-1)</f>
        <v>-0.46870394451668673</v>
      </c>
      <c r="BM60" s="39">
        <f t="shared" ref="BM60" si="719">+IF(BL57&lt;0,1-BM57/BL57,BM57/BL57-1)</f>
        <v>-0.12964020559680378</v>
      </c>
      <c r="BN60" s="39">
        <f t="shared" ref="BN60" si="720">+IF(BM57&lt;0,1-BN57/BM57,BN57/BM57-1)</f>
        <v>0.69656917885263825</v>
      </c>
      <c r="BO60" s="39">
        <f t="shared" ref="BO60" si="721">+IF(BN57&lt;0,1-BO57/BN57,BO57/BN57-1)</f>
        <v>-0.48367313111221444</v>
      </c>
      <c r="BP60" s="39">
        <f t="shared" ref="BP60" si="722">+IF(BO57&lt;0,1-BP57/BO57,BP57/BO57-1)</f>
        <v>-7.2017121455323574E-2</v>
      </c>
      <c r="BQ60" s="39">
        <f t="shared" ref="BQ60" si="723">+IF(BP57&lt;0,1-BQ57/BP57,BQ57/BP57-1)</f>
        <v>0.71471402214021973</v>
      </c>
      <c r="BR60" s="39">
        <f t="shared" ref="BR60" si="724">+IF(BQ57&lt;0,1-BR57/BQ57,BR57/BQ57-1)</f>
        <v>0.75447209145931815</v>
      </c>
      <c r="BS60" s="39">
        <f t="shared" ref="BS60" si="725">+IF(BR57&lt;0,1-BS57/BR57,BS57/BR57-1)</f>
        <v>-0.41350760857066349</v>
      </c>
      <c r="BT60" s="39">
        <f t="shared" ref="BT60" si="726">+IF(BS57&lt;0,1-BT57/BS57,BT57/BS57-1)</f>
        <v>-0.19495457813214612</v>
      </c>
      <c r="BU60" s="39">
        <f t="shared" ref="BU60" si="727">+IF(BT57&lt;0,1-BU57/BT57,BU57/BT57-1)</f>
        <v>4.3675921415810004E-2</v>
      </c>
      <c r="BV60" s="39">
        <f t="shared" ref="BV60" si="728">+IF(BU57&lt;0,1-BV57/BU57,BV57/BU57-1)</f>
        <v>0.64561294337274822</v>
      </c>
      <c r="BW60" s="39">
        <f t="shared" ref="BW60" si="729">+IF(BV57&lt;0,1-BW57/BV57,BW57/BV57-1)</f>
        <v>-0.33602760446209035</v>
      </c>
      <c r="BX60" s="39">
        <f t="shared" ref="BX60" si="730">+IF(BW57&lt;0,1-BX57/BW57,BX57/BW57-1)</f>
        <v>-7.9518758453763438E-2</v>
      </c>
      <c r="BY60" s="39">
        <f t="shared" ref="BY60" si="731">+IF(BX57&lt;0,1-BY57/BX57,BY57/BX57-1)</f>
        <v>-0.53967517401392273</v>
      </c>
      <c r="BZ60" s="39">
        <f t="shared" ref="BZ60" si="732">+IF(BY57&lt;0,1-BZ57/BY57,BZ57/BY57-1)</f>
        <v>1.8797043010752836</v>
      </c>
      <c r="CA60" s="39">
        <f t="shared" ref="CA60" si="733">+IF(BZ57&lt;0,1-CA57/BZ57,CA57/BZ57-1)</f>
        <v>-6.3827304550759689E-2</v>
      </c>
      <c r="CB60" s="39">
        <f t="shared" ref="CB60" si="734">+IF(CA57&lt;0,1-CB57/CA57,CB57/CA57-1)</f>
        <v>-0.57117038514271556</v>
      </c>
      <c r="CC60" s="39">
        <f t="shared" ref="CC60" si="735">+IF(CB57&lt;0,1-CC57/CB57,CC57/CB57-1)</f>
        <v>-0.87661677081819556</v>
      </c>
      <c r="CD60" s="39">
        <f t="shared" ref="CD60" si="736">+IF(CC57&lt;0,1-CD57/CC57,CD57/CC57-1)</f>
        <v>16.545347467609083</v>
      </c>
      <c r="CE60" s="39">
        <f t="shared" ref="CE60" si="737">+IF(CD57&lt;0,1-CE57/CD57,CE57/CD57-1)</f>
        <v>1.4459586466165302</v>
      </c>
      <c r="CF60" s="39">
        <f t="shared" ref="CF60" si="738">+IF(CE57&lt;0,1-CF57/CE57,CF57/CE57-1)</f>
        <v>-0.54689172498970651</v>
      </c>
      <c r="CG60" s="39">
        <f t="shared" ref="CG60" si="739">+IF(CF57&lt;0,1-CG57/CF57,CG57/CF57-1)</f>
        <v>-1.1569446968319297E-2</v>
      </c>
      <c r="CH60" s="39">
        <f t="shared" ref="CH60:CL60" si="740">+IF(CG57&lt;0,1-CH57/CG57,CH57/CG57-1)</f>
        <v>0.64027454344894985</v>
      </c>
      <c r="CI60" s="39">
        <f t="shared" si="740"/>
        <v>-0.37797952626466513</v>
      </c>
      <c r="CJ60" s="39">
        <f t="shared" si="740"/>
        <v>-0.59144693374977786</v>
      </c>
      <c r="CK60" s="39">
        <f t="shared" si="740"/>
        <v>1.1039400176418903</v>
      </c>
      <c r="CL60" s="39">
        <f t="shared" si="740"/>
        <v>4.4231709873522318E-2</v>
      </c>
      <c r="CM60" s="40">
        <f t="shared" ref="CM60" si="741">+CM57/CL57-1</f>
        <v>0.16786340759739127</v>
      </c>
      <c r="CN60" s="40">
        <f t="shared" ref="CN60" si="742">+CN57/CM57-1</f>
        <v>-0.43205254601283105</v>
      </c>
      <c r="CO60" s="40">
        <f t="shared" ref="CO60" si="743">+CO57/CN57-1</f>
        <v>0.39960985020133921</v>
      </c>
      <c r="CP60" s="40">
        <f t="shared" ref="CP60" si="744">+CP57/CO57-1</f>
        <v>0.81111597198441143</v>
      </c>
      <c r="CQ60" s="40">
        <f t="shared" ref="CQ60" si="745">+CQ57/CP57-1</f>
        <v>-3.936268667859455E-2</v>
      </c>
      <c r="CR60" s="40">
        <f t="shared" ref="CR60" si="746">+CR57/CQ57-1</f>
        <v>-0.46500620039226848</v>
      </c>
      <c r="CS60" s="40">
        <f t="shared" ref="CS60" si="747">+CS57/CR57-1</f>
        <v>0.22636349517683518</v>
      </c>
      <c r="CT60" s="40">
        <f t="shared" ref="CT60" si="748">+CT57/CS57-1</f>
        <v>0.84835390791970933</v>
      </c>
      <c r="CU60" s="40">
        <f t="shared" ref="CU60" si="749">+CU57/CT57-1</f>
        <v>-3.3291657984065748E-2</v>
      </c>
      <c r="CV60" s="40">
        <f t="shared" ref="CV60" si="750">+CV57/CU57-1</f>
        <v>-0.46734955078507445</v>
      </c>
      <c r="CW60" s="40">
        <f t="shared" ref="CW60" si="751">+CW57/CV57-1</f>
        <v>0.19476467652094565</v>
      </c>
      <c r="CX60" s="40">
        <f t="shared" ref="CX60" si="752">+CX57/CW57-1</f>
        <v>0.83883574827388729</v>
      </c>
      <c r="CY60" s="40">
        <f t="shared" ref="CY60" si="753">+CY57/CX57-1</f>
        <v>-1.4820406962781085E-2</v>
      </c>
      <c r="CZ60" s="40">
        <f t="shared" ref="CZ60" si="754">+CZ57/CY57-1</f>
        <v>-0.47135363982284417</v>
      </c>
      <c r="DA60" s="40">
        <f t="shared" ref="DA60" si="755">+DA57/CZ57-1</f>
        <v>0.18987945934164907</v>
      </c>
      <c r="DB60" s="40">
        <f t="shared" ref="DB60" si="756">+DB57/DA57-1</f>
        <v>0.84594191363561944</v>
      </c>
      <c r="DE60" s="122"/>
      <c r="DF60" s="39">
        <v>1.1220583921719132</v>
      </c>
    </row>
    <row r="61" spans="1:110" s="75" customFormat="1" x14ac:dyDescent="0.2">
      <c r="A61" s="23" t="s">
        <v>23</v>
      </c>
      <c r="B61" s="75">
        <f>'Annual Raw'!C32</f>
        <v>0</v>
      </c>
      <c r="C61" s="75">
        <f>'Annual Raw'!D32</f>
        <v>0</v>
      </c>
      <c r="D61" s="75">
        <f>'Annual Raw'!E32</f>
        <v>0.13239999999999999</v>
      </c>
      <c r="E61" s="75">
        <f>'Annual Raw'!F32</f>
        <v>4.9700000000000001E-2</v>
      </c>
      <c r="F61" s="75">
        <f>'Annual Raw'!G32</f>
        <v>-1.77E-2</v>
      </c>
      <c r="G61" s="75">
        <f>'Annual Raw'!H32</f>
        <v>-3.3500000000000002E-2</v>
      </c>
      <c r="H61" s="75">
        <f>'Annual Raw'!I32</f>
        <v>-0.17530000000000001</v>
      </c>
      <c r="I61" s="75">
        <f>'Annual Raw'!J32</f>
        <v>-0.1174</v>
      </c>
      <c r="J61" s="75">
        <f>'Annual Raw'!K32</f>
        <v>-2.8895</v>
      </c>
      <c r="K61" s="75">
        <f>'Annual Raw'!L32</f>
        <v>-3.5720000000000001</v>
      </c>
      <c r="L61" s="75">
        <f>'Annual Raw'!M32</f>
        <v>5.6597</v>
      </c>
      <c r="M61" s="75">
        <f>'Annual Raw'!N32</f>
        <v>9.3899999999999997E-2</v>
      </c>
      <c r="N61" s="75">
        <f>'Annual Raw'!O32</f>
        <v>0.70720000000000005</v>
      </c>
      <c r="O61" s="75">
        <f>'Annual Raw'!P32</f>
        <v>-0.45119999999999999</v>
      </c>
      <c r="P61" s="75">
        <f>'Annual Raw'!Q32</f>
        <v>-3.3313999999999999</v>
      </c>
      <c r="Q61" s="75">
        <f>'Annual Raw'!R32</f>
        <v>-6.0152999999999999</v>
      </c>
      <c r="R61" s="75">
        <f>'Annual Raw'!S32</f>
        <v>-2.4300000000000002</v>
      </c>
      <c r="S61" s="75">
        <f>'Annual Raw'!T32</f>
        <v>-5.5</v>
      </c>
      <c r="T61" s="75">
        <f>'Annual Raw'!U32</f>
        <v>-5.97</v>
      </c>
      <c r="U61" s="75">
        <f>'Annual Raw'!V32</f>
        <v>-3.87</v>
      </c>
      <c r="V61" s="75">
        <f>'Annual Raw'!W32</f>
        <v>-3.65</v>
      </c>
      <c r="W61" s="75">
        <f>'Annual Raw'!X32</f>
        <v>-1.91</v>
      </c>
      <c r="X61" s="75">
        <f>'Annual Raw'!Y32</f>
        <v>-1.21</v>
      </c>
      <c r="Y61" s="75">
        <f>'Annual Raw'!Z32</f>
        <v>3.89</v>
      </c>
      <c r="Z61" s="75">
        <f>'Annual Raw'!AA32</f>
        <v>7.09</v>
      </c>
      <c r="AA61" s="75">
        <f>'Annual Raw'!AB32</f>
        <v>5.88</v>
      </c>
      <c r="AB61" s="76">
        <f t="shared" ref="AB61:AB62" si="757">+SUM(CM61:CP61)</f>
        <v>11</v>
      </c>
      <c r="AC61" s="76">
        <f t="shared" ref="AC61:AC62" si="758">+SUM(CQ61:CT61)</f>
        <v>11</v>
      </c>
      <c r="AD61" s="76">
        <f t="shared" ref="AD61:AD62" si="759">+SUM(CU61:CX61)</f>
        <v>11</v>
      </c>
      <c r="AE61" s="76">
        <f t="shared" ref="AE61:AE62" si="760">+SUM(CY61:DB61)</f>
        <v>11</v>
      </c>
      <c r="AI61" s="75">
        <f>'QTR Raw'!C34</f>
        <v>0.15</v>
      </c>
      <c r="AJ61" s="75">
        <f>'QTR Raw'!D34</f>
        <v>-0.04</v>
      </c>
      <c r="AK61" s="75">
        <f>'QTR Raw'!E34</f>
        <v>0.67</v>
      </c>
      <c r="AL61" s="75">
        <f>'QTR Raw'!F34</f>
        <v>-7.0000000000000007E-2</v>
      </c>
      <c r="AM61" s="75">
        <f>'QTR Raw'!G34</f>
        <v>0.22</v>
      </c>
      <c r="AN61" s="75">
        <f>'QTR Raw'!H34</f>
        <v>-0.1</v>
      </c>
      <c r="AO61" s="75">
        <f>'QTR Raw'!I34</f>
        <v>0</v>
      </c>
      <c r="AP61" s="75">
        <f>'QTR Raw'!J34</f>
        <v>-0.56999999999999995</v>
      </c>
      <c r="AQ61" s="75">
        <f>'QTR Raw'!K34</f>
        <v>-1.28</v>
      </c>
      <c r="AR61" s="75">
        <f>'QTR Raw'!L34</f>
        <v>-0.66</v>
      </c>
      <c r="AS61" s="75">
        <f>'QTR Raw'!M34</f>
        <v>-0.16</v>
      </c>
      <c r="AT61" s="75">
        <f>'QTR Raw'!N34</f>
        <v>-1.23</v>
      </c>
      <c r="AU61" s="75">
        <f>'QTR Raw'!O34</f>
        <v>-0.78</v>
      </c>
      <c r="AV61" s="75">
        <f>'QTR Raw'!P34</f>
        <v>-0.98</v>
      </c>
      <c r="AW61" s="75">
        <f>'QTR Raw'!Q34</f>
        <v>-0.49</v>
      </c>
      <c r="AX61" s="75">
        <f>'QTR Raw'!R34</f>
        <v>-4.75</v>
      </c>
      <c r="AY61" s="75">
        <f>'QTR Raw'!S34</f>
        <v>-2.0499999999999998</v>
      </c>
      <c r="AZ61" s="75">
        <f>'QTR Raw'!T34</f>
        <v>2.39</v>
      </c>
      <c r="BA61" s="75">
        <f>'QTR Raw'!U34</f>
        <v>-1.37</v>
      </c>
      <c r="BB61" s="75">
        <f>'QTR Raw'!V34</f>
        <v>-1.4</v>
      </c>
      <c r="BC61" s="75">
        <f>'QTR Raw'!W34</f>
        <v>-2.27</v>
      </c>
      <c r="BD61" s="75">
        <f>'QTR Raw'!X34</f>
        <v>-0.73</v>
      </c>
      <c r="BE61" s="75">
        <f>'QTR Raw'!Y34</f>
        <v>-0.96</v>
      </c>
      <c r="BF61" s="75">
        <f>'QTR Raw'!Z34</f>
        <v>-1.54</v>
      </c>
      <c r="BG61" s="75">
        <f>'QTR Raw'!AA34</f>
        <v>-3.14</v>
      </c>
      <c r="BH61" s="75">
        <f>'QTR Raw'!AB34</f>
        <v>-3.54</v>
      </c>
      <c r="BI61" s="75">
        <f>'QTR Raw'!AC34</f>
        <v>2.84</v>
      </c>
      <c r="BJ61" s="75">
        <f>'QTR Raw'!AD34</f>
        <v>-2.13</v>
      </c>
      <c r="BK61" s="75">
        <f>'QTR Raw'!AE34</f>
        <v>-1.1399999999999999</v>
      </c>
      <c r="BL61" s="75">
        <f>'QTR Raw'!AF34</f>
        <v>-0.85</v>
      </c>
      <c r="BM61" s="75">
        <f>'QTR Raw'!AG34</f>
        <v>-1.04</v>
      </c>
      <c r="BN61" s="75">
        <f>'QTR Raw'!AH34</f>
        <v>-0.84</v>
      </c>
      <c r="BO61" s="75">
        <f>'QTR Raw'!AI34</f>
        <v>-0.62</v>
      </c>
      <c r="BP61" s="75">
        <f>'QTR Raw'!AJ34</f>
        <v>-1.31</v>
      </c>
      <c r="BQ61" s="75">
        <f>'QTR Raw'!AK34</f>
        <v>-0.73</v>
      </c>
      <c r="BR61" s="75">
        <f>'QTR Raw'!AL34</f>
        <v>-0.99</v>
      </c>
      <c r="BS61" s="75">
        <f>'QTR Raw'!AM34</f>
        <v>-0.64</v>
      </c>
      <c r="BT61" s="75">
        <f>'QTR Raw'!AN34</f>
        <v>-0.68</v>
      </c>
      <c r="BU61" s="75">
        <f>'QTR Raw'!AO34</f>
        <v>-0.57999999999999996</v>
      </c>
      <c r="BV61" s="75">
        <f>'QTR Raw'!AP34</f>
        <v>-0.01</v>
      </c>
      <c r="BW61" s="75">
        <f>'QTR Raw'!AQ34</f>
        <v>-0.64</v>
      </c>
      <c r="BX61" s="75">
        <f>'QTR Raw'!AR34</f>
        <v>-1.37</v>
      </c>
      <c r="BY61" s="75">
        <f>'QTR Raw'!AS34</f>
        <v>0.11</v>
      </c>
      <c r="BZ61" s="75">
        <f>'QTR Raw'!AT34</f>
        <v>0.69</v>
      </c>
      <c r="CA61" s="75">
        <f>'QTR Raw'!AU34</f>
        <v>-0.13</v>
      </c>
      <c r="CB61" s="75">
        <f>'QTR Raw'!AV34</f>
        <v>1.03</v>
      </c>
      <c r="CC61" s="75">
        <f>'QTR Raw'!AW34</f>
        <v>-2.81</v>
      </c>
      <c r="CD61" s="75">
        <f>'QTR Raw'!AX34</f>
        <v>5.8</v>
      </c>
      <c r="CE61" s="75">
        <f>'QTR Raw'!AY34</f>
        <v>-0.77</v>
      </c>
      <c r="CF61" s="75">
        <f>'QTR Raw'!AZ34</f>
        <v>1.1599999999999999</v>
      </c>
      <c r="CG61" s="75">
        <f>'QTR Raw'!BA34</f>
        <v>1.37</v>
      </c>
      <c r="CH61" s="75">
        <f>'QTR Raw'!BB34</f>
        <v>5.33</v>
      </c>
      <c r="CI61" s="75">
        <f>'QTR Raw'!BC34</f>
        <v>-0.15</v>
      </c>
      <c r="CJ61" s="75">
        <f>'QTR Raw'!BD34</f>
        <v>2.79</v>
      </c>
      <c r="CK61" s="75">
        <f>'QTR Raw'!BE34</f>
        <v>0.49</v>
      </c>
      <c r="CL61" s="75">
        <f>'QTR Raw'!BF34</f>
        <v>2.75</v>
      </c>
      <c r="CM61" s="76">
        <f t="shared" ref="CM61:CM62" si="761">+CL61</f>
        <v>2.75</v>
      </c>
      <c r="CN61" s="76">
        <f t="shared" ref="CN61:CN62" si="762">+CM61</f>
        <v>2.75</v>
      </c>
      <c r="CO61" s="76">
        <f t="shared" ref="CO61:CO62" si="763">+CN61</f>
        <v>2.75</v>
      </c>
      <c r="CP61" s="76">
        <f t="shared" ref="CP61:CP62" si="764">+CO61</f>
        <v>2.75</v>
      </c>
      <c r="CQ61" s="76">
        <f t="shared" ref="CQ61:CQ62" si="765">+CP61</f>
        <v>2.75</v>
      </c>
      <c r="CR61" s="76">
        <f t="shared" ref="CR61:CR62" si="766">+CQ61</f>
        <v>2.75</v>
      </c>
      <c r="CS61" s="76">
        <f t="shared" ref="CS61:CS62" si="767">+CR61</f>
        <v>2.75</v>
      </c>
      <c r="CT61" s="76">
        <f t="shared" ref="CT61:CT62" si="768">+CS61</f>
        <v>2.75</v>
      </c>
      <c r="CU61" s="76">
        <f t="shared" ref="CU61:CU62" si="769">+CT61</f>
        <v>2.75</v>
      </c>
      <c r="CV61" s="76">
        <f t="shared" ref="CV61:CV62" si="770">+CU61</f>
        <v>2.75</v>
      </c>
      <c r="CW61" s="76">
        <f t="shared" ref="CW61:CW62" si="771">+CV61</f>
        <v>2.75</v>
      </c>
      <c r="CX61" s="76">
        <f t="shared" ref="CX61:CX62" si="772">+CW61</f>
        <v>2.75</v>
      </c>
      <c r="CY61" s="76">
        <f t="shared" ref="CY61:CY62" si="773">+CX61</f>
        <v>2.75</v>
      </c>
      <c r="CZ61" s="76">
        <f t="shared" ref="CZ61:CZ62" si="774">+CY61</f>
        <v>2.75</v>
      </c>
      <c r="DA61" s="76">
        <f t="shared" ref="DA61:DA62" si="775">+CZ61</f>
        <v>2.75</v>
      </c>
      <c r="DB61" s="76">
        <f t="shared" ref="DB61:DB62" si="776">+DA61</f>
        <v>2.75</v>
      </c>
      <c r="DE61" s="131"/>
      <c r="DF61" s="75">
        <v>0.49</v>
      </c>
    </row>
    <row r="62" spans="1:110" s="75" customFormat="1" x14ac:dyDescent="0.2">
      <c r="A62" s="23" t="s">
        <v>24</v>
      </c>
      <c r="B62" s="75">
        <f>'Annual Raw'!C33+'Annual Raw'!C28</f>
        <v>0</v>
      </c>
      <c r="C62" s="75">
        <f>'Annual Raw'!D33+'Annual Raw'!D28</f>
        <v>0</v>
      </c>
      <c r="D62" s="75">
        <f>'Annual Raw'!E33+'Annual Raw'!E28</f>
        <v>-0.15959999999999999</v>
      </c>
      <c r="E62" s="75">
        <f>'Annual Raw'!F33+'Annual Raw'!F28</f>
        <v>0</v>
      </c>
      <c r="F62" s="75">
        <f>'Annual Raw'!G33+'Annual Raw'!G28</f>
        <v>0</v>
      </c>
      <c r="G62" s="75">
        <f>'Annual Raw'!H33+'Annual Raw'!H28</f>
        <v>0</v>
      </c>
      <c r="H62" s="75">
        <f>'Annual Raw'!I33+'Annual Raw'!I28</f>
        <v>4.3200000000000002E-2</v>
      </c>
      <c r="I62" s="75">
        <f>'Annual Raw'!J33+'Annual Raw'!J28</f>
        <v>0.20150000000000001</v>
      </c>
      <c r="J62" s="75">
        <f>'Annual Raw'!K33+'Annual Raw'!K28</f>
        <v>-0.2447</v>
      </c>
      <c r="K62" s="75">
        <f>'Annual Raw'!L33+'Annual Raw'!L28</f>
        <v>0</v>
      </c>
      <c r="L62" s="75">
        <f>'Annual Raw'!M33+'Annual Raw'!M28</f>
        <v>0</v>
      </c>
      <c r="M62" s="75">
        <f>'Annual Raw'!N33+'Annual Raw'!N28</f>
        <v>-0.05</v>
      </c>
      <c r="N62" s="75">
        <f>'Annual Raw'!O33+'Annual Raw'!O28</f>
        <v>0</v>
      </c>
      <c r="O62" s="75">
        <f>'Annual Raw'!P33+'Annual Raw'!P28</f>
        <v>0</v>
      </c>
      <c r="P62" s="75">
        <f>'Annual Raw'!Q33+'Annual Raw'!Q28</f>
        <v>1.6332</v>
      </c>
      <c r="Q62" s="75">
        <f>'Annual Raw'!R33+'Annual Raw'!R28</f>
        <v>6.2191999999999998</v>
      </c>
      <c r="R62" s="75">
        <f>'Annual Raw'!S33+'Annual Raw'!S28</f>
        <v>-19.25</v>
      </c>
      <c r="S62" s="75">
        <f>'Annual Raw'!T33+'Annual Raw'!T28</f>
        <v>3.8</v>
      </c>
      <c r="T62" s="75">
        <f>'Annual Raw'!U33+'Annual Raw'!U28</f>
        <v>-51.82</v>
      </c>
      <c r="U62" s="75">
        <f>'Annual Raw'!V33+'Annual Raw'!V28</f>
        <v>-68.7</v>
      </c>
      <c r="V62" s="75">
        <f>'Annual Raw'!W33+'Annual Raw'!W28</f>
        <v>-60.97</v>
      </c>
      <c r="W62" s="75">
        <f>'Annual Raw'!X33+'Annual Raw'!X28</f>
        <v>-110.31</v>
      </c>
      <c r="X62" s="75">
        <f>'Annual Raw'!Y33+'Annual Raw'!Y28</f>
        <v>-120.65</v>
      </c>
      <c r="Y62" s="75">
        <f>'Annual Raw'!Z33+'Annual Raw'!Z28</f>
        <v>-138.61000000000001</v>
      </c>
      <c r="Z62" s="75">
        <f>'Annual Raw'!AA33+'Annual Raw'!AA28</f>
        <v>-126</v>
      </c>
      <c r="AA62" s="75">
        <f>'Annual Raw'!AB33+'Annual Raw'!AB28</f>
        <v>-130.57</v>
      </c>
      <c r="AB62" s="76">
        <f t="shared" si="757"/>
        <v>-144.04</v>
      </c>
      <c r="AC62" s="76">
        <f t="shared" si="758"/>
        <v>-144.04</v>
      </c>
      <c r="AD62" s="76">
        <f t="shared" si="759"/>
        <v>-144.04</v>
      </c>
      <c r="AE62" s="76">
        <f t="shared" si="760"/>
        <v>-144.04</v>
      </c>
      <c r="AI62" s="75">
        <f>'QTR Raw'!C35</f>
        <v>0</v>
      </c>
      <c r="AJ62" s="75">
        <f>'QTR Raw'!D35</f>
        <v>0</v>
      </c>
      <c r="AK62" s="75">
        <f>'QTR Raw'!E35</f>
        <v>0</v>
      </c>
      <c r="AL62" s="75">
        <f>'QTR Raw'!F35</f>
        <v>0</v>
      </c>
      <c r="AM62" s="75">
        <f>'QTR Raw'!G35</f>
        <v>0</v>
      </c>
      <c r="AN62" s="75">
        <f>'QTR Raw'!H35</f>
        <v>0</v>
      </c>
      <c r="AO62" s="75">
        <f>'QTR Raw'!I35</f>
        <v>0</v>
      </c>
      <c r="AP62" s="75">
        <f>'QTR Raw'!J35</f>
        <v>0</v>
      </c>
      <c r="AQ62" s="75">
        <f>'QTR Raw'!K35</f>
        <v>0</v>
      </c>
      <c r="AR62" s="75">
        <f>'QTR Raw'!L35</f>
        <v>0.44</v>
      </c>
      <c r="AS62" s="75">
        <f>'QTR Raw'!M35</f>
        <v>1.25</v>
      </c>
      <c r="AT62" s="75">
        <f>'QTR Raw'!N35</f>
        <v>-0.06</v>
      </c>
      <c r="AU62" s="75">
        <f>'QTR Raw'!O35</f>
        <v>1.65</v>
      </c>
      <c r="AV62" s="75">
        <f>'QTR Raw'!P35</f>
        <v>3.54</v>
      </c>
      <c r="AW62" s="75">
        <f>'QTR Raw'!Q35</f>
        <v>3.65</v>
      </c>
      <c r="AX62" s="75">
        <f>'QTR Raw'!R35</f>
        <v>-2.62</v>
      </c>
      <c r="AY62" s="75">
        <f>'QTR Raw'!S35</f>
        <v>-0.09</v>
      </c>
      <c r="AZ62" s="75">
        <f>'QTR Raw'!T35</f>
        <v>-4.68</v>
      </c>
      <c r="BA62" s="75">
        <f>'QTR Raw'!U35</f>
        <v>-15.22</v>
      </c>
      <c r="BB62" s="75">
        <f>'QTR Raw'!V35</f>
        <v>0.74</v>
      </c>
      <c r="BC62" s="75">
        <f>'QTR Raw'!W35</f>
        <v>0.95</v>
      </c>
      <c r="BD62" s="75">
        <f>'QTR Raw'!X35</f>
        <v>0.97</v>
      </c>
      <c r="BE62" s="75">
        <f>'QTR Raw'!Y35</f>
        <v>2.87</v>
      </c>
      <c r="BF62" s="75">
        <f>'QTR Raw'!Z35</f>
        <v>-0.99</v>
      </c>
      <c r="BG62" s="75">
        <f>'QTR Raw'!AA35</f>
        <v>0.5</v>
      </c>
      <c r="BH62" s="75">
        <f>'QTR Raw'!AB35</f>
        <v>-2.21</v>
      </c>
      <c r="BI62" s="75">
        <f>'QTR Raw'!AC35</f>
        <v>-30.78</v>
      </c>
      <c r="BJ62" s="75">
        <f>'QTR Raw'!AD35</f>
        <v>-19.329999999999998</v>
      </c>
      <c r="BK62" s="75">
        <f>'QTR Raw'!AE35</f>
        <v>-21.35</v>
      </c>
      <c r="BL62" s="75">
        <f>'QTR Raw'!AF35</f>
        <v>-9.15</v>
      </c>
      <c r="BM62" s="75">
        <f>'QTR Raw'!AG35</f>
        <v>-18.73</v>
      </c>
      <c r="BN62" s="75">
        <f>'QTR Raw'!AH35</f>
        <v>-19.47</v>
      </c>
      <c r="BO62" s="75">
        <f>'QTR Raw'!AI35</f>
        <v>-11.68</v>
      </c>
      <c r="BP62" s="75">
        <f>'QTR Raw'!AJ35</f>
        <v>-7.06</v>
      </c>
      <c r="BQ62" s="75">
        <f>'QTR Raw'!AK35</f>
        <v>-20.059999999999999</v>
      </c>
      <c r="BR62" s="75">
        <f>'QTR Raw'!AL35</f>
        <v>-22.17</v>
      </c>
      <c r="BS62" s="75">
        <f>'QTR Raw'!AM35</f>
        <v>-30.57</v>
      </c>
      <c r="BT62" s="75">
        <f>'QTR Raw'!AN35</f>
        <v>-18.89</v>
      </c>
      <c r="BU62" s="75">
        <f>'QTR Raw'!AO35</f>
        <v>-32</v>
      </c>
      <c r="BV62" s="75">
        <f>'QTR Raw'!AP35</f>
        <v>-28.85</v>
      </c>
      <c r="BW62" s="75">
        <f>'QTR Raw'!AQ35</f>
        <v>-30.95</v>
      </c>
      <c r="BX62" s="75">
        <f>'QTR Raw'!AR35</f>
        <v>-28.91</v>
      </c>
      <c r="BY62" s="75">
        <f>'QTR Raw'!AS35</f>
        <v>-32.619999999999997</v>
      </c>
      <c r="BZ62" s="75">
        <f>'QTR Raw'!AT35</f>
        <v>-28.17</v>
      </c>
      <c r="CA62" s="75">
        <f>'QTR Raw'!AU35</f>
        <v>-31.04</v>
      </c>
      <c r="CB62" s="75">
        <f>'QTR Raw'!AV35</f>
        <v>-33.159999999999997</v>
      </c>
      <c r="CC62" s="75">
        <f>'QTR Raw'!AW35</f>
        <v>-36.090000000000003</v>
      </c>
      <c r="CD62" s="75">
        <f>'QTR Raw'!AX35</f>
        <v>-38.32</v>
      </c>
      <c r="CE62" s="75">
        <f>'QTR Raw'!AY35</f>
        <v>-29.35</v>
      </c>
      <c r="CF62" s="75">
        <f>'QTR Raw'!AZ35</f>
        <v>-32.26</v>
      </c>
      <c r="CG62" s="75">
        <f>'QTR Raw'!BA35</f>
        <v>-32.42</v>
      </c>
      <c r="CH62" s="75">
        <f>'QTR Raw'!BB35</f>
        <v>-31.97</v>
      </c>
      <c r="CI62" s="75">
        <f>'QTR Raw'!BC35</f>
        <v>-25.88</v>
      </c>
      <c r="CJ62" s="75">
        <f>'QTR Raw'!BD35</f>
        <v>-36.520000000000003</v>
      </c>
      <c r="CK62" s="75">
        <f>'QTR Raw'!BE35</f>
        <v>-32.159999999999997</v>
      </c>
      <c r="CL62" s="75">
        <f>'QTR Raw'!BF35</f>
        <v>-36.01</v>
      </c>
      <c r="CM62" s="76">
        <f t="shared" si="761"/>
        <v>-36.01</v>
      </c>
      <c r="CN62" s="76">
        <f t="shared" si="762"/>
        <v>-36.01</v>
      </c>
      <c r="CO62" s="76">
        <f t="shared" si="763"/>
        <v>-36.01</v>
      </c>
      <c r="CP62" s="76">
        <f t="shared" si="764"/>
        <v>-36.01</v>
      </c>
      <c r="CQ62" s="76">
        <f t="shared" si="765"/>
        <v>-36.01</v>
      </c>
      <c r="CR62" s="76">
        <f t="shared" si="766"/>
        <v>-36.01</v>
      </c>
      <c r="CS62" s="76">
        <f t="shared" si="767"/>
        <v>-36.01</v>
      </c>
      <c r="CT62" s="76">
        <f t="shared" si="768"/>
        <v>-36.01</v>
      </c>
      <c r="CU62" s="76">
        <f t="shared" si="769"/>
        <v>-36.01</v>
      </c>
      <c r="CV62" s="76">
        <f t="shared" si="770"/>
        <v>-36.01</v>
      </c>
      <c r="CW62" s="76">
        <f t="shared" si="771"/>
        <v>-36.01</v>
      </c>
      <c r="CX62" s="76">
        <f t="shared" si="772"/>
        <v>-36.01</v>
      </c>
      <c r="CY62" s="76">
        <f t="shared" si="773"/>
        <v>-36.01</v>
      </c>
      <c r="CZ62" s="76">
        <f t="shared" si="774"/>
        <v>-36.01</v>
      </c>
      <c r="DA62" s="76">
        <f t="shared" si="775"/>
        <v>-36.01</v>
      </c>
      <c r="DB62" s="76">
        <f t="shared" si="776"/>
        <v>-36.01</v>
      </c>
      <c r="DE62" s="131"/>
      <c r="DF62" s="75">
        <v>-32.159999999999997</v>
      </c>
    </row>
    <row r="63" spans="1:110" s="23" customFormat="1" x14ac:dyDescent="0.2">
      <c r="A63" s="23" t="s">
        <v>19</v>
      </c>
      <c r="B63" s="75">
        <f>'Annual Raw'!C29+'Annual Raw'!C31+'Annual Raw'!C34+'Annual Raw'!C36</f>
        <v>-11.465999999999999</v>
      </c>
      <c r="C63" s="75">
        <f>'Annual Raw'!D29+'Annual Raw'!D31+'Annual Raw'!D34+'Annual Raw'!D36</f>
        <v>5.5109000000000004</v>
      </c>
      <c r="D63" s="75">
        <f>'Annual Raw'!E29+'Annual Raw'!E31+'Annual Raw'!E34+'Annual Raw'!E36</f>
        <v>5.2744</v>
      </c>
      <c r="E63" s="75">
        <f>'Annual Raw'!F29+'Annual Raw'!F31+'Annual Raw'!F34+'Annual Raw'!F36</f>
        <v>8.3425999999999991</v>
      </c>
      <c r="F63" s="75">
        <f>'Annual Raw'!G29+'Annual Raw'!G31+'Annual Raw'!G34+'Annual Raw'!G36</f>
        <v>5.1570999999999998</v>
      </c>
      <c r="G63" s="75">
        <f>'Annual Raw'!H29+'Annual Raw'!H31+'Annual Raw'!H34+'Annual Raw'!H36</f>
        <v>-26.190999999999999</v>
      </c>
      <c r="H63" s="75">
        <f>'Annual Raw'!I29+'Annual Raw'!I31+'Annual Raw'!I34+'Annual Raw'!I36</f>
        <v>69.639300000000006</v>
      </c>
      <c r="I63" s="75">
        <f>'Annual Raw'!J29+'Annual Raw'!J31+'Annual Raw'!J34+'Annual Raw'!J36</f>
        <v>31.5886</v>
      </c>
      <c r="J63" s="75">
        <f>'Annual Raw'!K29+'Annual Raw'!K31+'Annual Raw'!K34+'Annual Raw'!K36</f>
        <v>26.1312</v>
      </c>
      <c r="K63" s="75">
        <f>'Annual Raw'!L29+'Annual Raw'!L31+'Annual Raw'!L34+'Annual Raw'!L36</f>
        <v>25.0228</v>
      </c>
      <c r="L63" s="75">
        <f>'Annual Raw'!M29+'Annual Raw'!M31+'Annual Raw'!M34+'Annual Raw'!M36</f>
        <v>40.185899999999997</v>
      </c>
      <c r="M63" s="75">
        <f>'Annual Raw'!N29+'Annual Raw'!N31+'Annual Raw'!N34+'Annual Raw'!N36</f>
        <v>-150.4588</v>
      </c>
      <c r="N63" s="75">
        <f>'Annual Raw'!O29+'Annual Raw'!O31+'Annual Raw'!O34+'Annual Raw'!O36</f>
        <v>20.002800000000001</v>
      </c>
      <c r="O63" s="75">
        <f>'Annual Raw'!P29+'Annual Raw'!P31+'Annual Raw'!P34+'Annual Raw'!P36</f>
        <v>21.541</v>
      </c>
      <c r="P63" s="75">
        <f>'Annual Raw'!Q29+'Annual Raw'!Q31+'Annual Raw'!Q34+'Annual Raw'!Q36</f>
        <v>46.193300000000001</v>
      </c>
      <c r="Q63" s="75">
        <f>'Annual Raw'!R29+'Annual Raw'!R31+'Annual Raw'!R34+'Annual Raw'!R36</f>
        <v>28.937999999999999</v>
      </c>
      <c r="R63" s="75">
        <f>'Annual Raw'!S29+'Annual Raw'!S31+'Annual Raw'!S34+'Annual Raw'!S36</f>
        <v>1.1000000000000001</v>
      </c>
      <c r="S63" s="75">
        <f>'Annual Raw'!T29+'Annual Raw'!T31+'Annual Raw'!T34+'Annual Raw'!T36</f>
        <v>0.61</v>
      </c>
      <c r="T63" s="75">
        <f>'Annual Raw'!U29+'Annual Raw'!U31+'Annual Raw'!U34+'Annual Raw'!U36</f>
        <v>-11.77</v>
      </c>
      <c r="U63" s="75">
        <f>'Annual Raw'!V29+'Annual Raw'!V31+'Annual Raw'!V34+'Annual Raw'!V36</f>
        <v>-51.19</v>
      </c>
      <c r="V63" s="75">
        <f>'Annual Raw'!W29+'Annual Raw'!W31+'Annual Raw'!W34+'Annual Raw'!W36</f>
        <v>0</v>
      </c>
      <c r="W63" s="75">
        <f>'Annual Raw'!X29+'Annual Raw'!X31+'Annual Raw'!X34+'Annual Raw'!X36</f>
        <v>0</v>
      </c>
      <c r="X63" s="75">
        <f>'Annual Raw'!Y29+'Annual Raw'!Y31+'Annual Raw'!Y34+'Annual Raw'!Y36</f>
        <v>-243.82</v>
      </c>
      <c r="Y63" s="75">
        <f>'Annual Raw'!Z29+'Annual Raw'!Z31+'Annual Raw'!Z34+'Annual Raw'!Z36</f>
        <v>0</v>
      </c>
      <c r="Z63" s="75">
        <f>'Annual Raw'!AA29+'Annual Raw'!AA31+'Annual Raw'!AA34+'Annual Raw'!AA36</f>
        <v>0</v>
      </c>
      <c r="AA63" s="75">
        <f>'Annual Raw'!AB29+'Annual Raw'!AB31+'Annual Raw'!AB34+'Annual Raw'!AB36</f>
        <v>-26.49</v>
      </c>
      <c r="AB63" s="76">
        <f>+SUM(CM63:CP63)</f>
        <v>0</v>
      </c>
      <c r="AC63" s="76">
        <f>+SUM(CQ63:CT63)</f>
        <v>0</v>
      </c>
      <c r="AD63" s="76">
        <f>+SUM(CU63:CX63)</f>
        <v>0</v>
      </c>
      <c r="AE63" s="76">
        <f>+SUM(CY63:DB63)</f>
        <v>0</v>
      </c>
      <c r="AI63" s="75">
        <f>'QTR Raw'!C26+'QTR Raw'!C31+'QTR Raw'!C32+'QTR Raw'!C33+'QTR Raw'!C36+'QTR Raw'!C37+'QTR Raw'!C39</f>
        <v>1.1100000000000001</v>
      </c>
      <c r="AJ63" s="75">
        <f>'QTR Raw'!D26+'QTR Raw'!D31+'QTR Raw'!D32+'QTR Raw'!D33+'QTR Raw'!D36+'QTR Raw'!D37+'QTR Raw'!D39</f>
        <v>14.54</v>
      </c>
      <c r="AK63" s="75">
        <f>'QTR Raw'!E26+'QTR Raw'!E31+'QTR Raw'!E32+'QTR Raw'!E33+'QTR Raw'!E36+'QTR Raw'!E37+'QTR Raw'!E39</f>
        <v>59.75</v>
      </c>
      <c r="AL63" s="75">
        <f>'QTR Raw'!F26+'QTR Raw'!F31+'QTR Raw'!F32+'QTR Raw'!F33+'QTR Raw'!F36+'QTR Raw'!F37+'QTR Raw'!F39</f>
        <v>-63.32</v>
      </c>
      <c r="AM63" s="75">
        <f>'QTR Raw'!G26+'QTR Raw'!G31+'QTR Raw'!G32+'QTR Raw'!G33+'QTR Raw'!G36+'QTR Raw'!G37+'QTR Raw'!G39</f>
        <v>-0.08</v>
      </c>
      <c r="AN63" s="75">
        <f>'QTR Raw'!H26+'QTR Raw'!H31+'QTR Raw'!H32+'QTR Raw'!H33+'QTR Raw'!H36+'QTR Raw'!H37+'QTR Raw'!H39</f>
        <v>0</v>
      </c>
      <c r="AO63" s="75">
        <f>'QTR Raw'!I26+'QTR Raw'!I31+'QTR Raw'!I32+'QTR Raw'!I33+'QTR Raw'!I36+'QTR Raw'!I37+'QTR Raw'!I39</f>
        <v>4.25</v>
      </c>
      <c r="AP63" s="75">
        <f>'QTR Raw'!J26+'QTR Raw'!J31+'QTR Raw'!J32+'QTR Raw'!J33+'QTR Raw'!J36+'QTR Raw'!J37+'QTR Raw'!J39</f>
        <v>17.37</v>
      </c>
      <c r="AQ63" s="75">
        <f>'QTR Raw'!K26+'QTR Raw'!K31+'QTR Raw'!K32+'QTR Raw'!K33+'QTR Raw'!K36+'QTR Raw'!K37+'QTR Raw'!K39</f>
        <v>0.46</v>
      </c>
      <c r="AR63" s="75">
        <f>'QTR Raw'!L26+'QTR Raw'!L31+'QTR Raw'!L32+'QTR Raw'!L33+'QTR Raw'!L36+'QTR Raw'!L37+'QTR Raw'!L39</f>
        <v>0</v>
      </c>
      <c r="AS63" s="75">
        <f>'QTR Raw'!M26+'QTR Raw'!M31+'QTR Raw'!M32+'QTR Raw'!M33+'QTR Raw'!M36+'QTR Raw'!M37+'QTR Raw'!M39</f>
        <v>44.5</v>
      </c>
      <c r="AT63" s="75">
        <f>'QTR Raw'!N26+'QTR Raw'!N31+'QTR Raw'!N32+'QTR Raw'!N33+'QTR Raw'!N36+'QTR Raw'!N37+'QTR Raw'!N39</f>
        <v>1.23</v>
      </c>
      <c r="AU63" s="75">
        <f>'QTR Raw'!O26+'QTR Raw'!O31+'QTR Raw'!O32+'QTR Raw'!O33+'QTR Raw'!O36+'QTR Raw'!O37+'QTR Raw'!O39</f>
        <v>0</v>
      </c>
      <c r="AV63" s="75">
        <f>'QTR Raw'!P26+'QTR Raw'!P31+'QTR Raw'!P32+'QTR Raw'!P33+'QTR Raw'!P36+'QTR Raw'!P37+'QTR Raw'!P39</f>
        <v>0</v>
      </c>
      <c r="AW63" s="75">
        <f>'QTR Raw'!Q26+'QTR Raw'!Q31+'QTR Raw'!Q32+'QTR Raw'!Q33+'QTR Raw'!Q36+'QTR Raw'!Q37+'QTR Raw'!Q39</f>
        <v>2.1800000000000002</v>
      </c>
      <c r="AX63" s="75">
        <f>'QTR Raw'!R26+'QTR Raw'!R31+'QTR Raw'!R32+'QTR Raw'!R33+'QTR Raw'!R36+'QTR Raw'!R37+'QTR Raw'!R39</f>
        <v>26.76</v>
      </c>
      <c r="AY63" s="75">
        <f>'QTR Raw'!S26+'QTR Raw'!S31+'QTR Raw'!S32+'QTR Raw'!S33+'QTR Raw'!S36+'QTR Raw'!S37+'QTR Raw'!S39</f>
        <v>0.94</v>
      </c>
      <c r="AZ63" s="75">
        <f>'QTR Raw'!T26+'QTR Raw'!T31+'QTR Raw'!T32+'QTR Raw'!T33+'QTR Raw'!T36+'QTR Raw'!T37+'QTR Raw'!T39</f>
        <v>0</v>
      </c>
      <c r="BA63" s="75">
        <f>'QTR Raw'!U26+'QTR Raw'!U31+'QTR Raw'!U32+'QTR Raw'!U33+'QTR Raw'!U36+'QTR Raw'!U37+'QTR Raw'!U39</f>
        <v>0</v>
      </c>
      <c r="BB63" s="75">
        <f>'QTR Raw'!V26+'QTR Raw'!V31+'QTR Raw'!V32+'QTR Raw'!V33+'QTR Raw'!V36+'QTR Raw'!V37+'QTR Raw'!V39</f>
        <v>0.16</v>
      </c>
      <c r="BC63" s="75">
        <f>'QTR Raw'!W26+'QTR Raw'!W31+'QTR Raw'!W32+'QTR Raw'!W33+'QTR Raw'!W36+'QTR Raw'!W37+'QTR Raw'!W39</f>
        <v>2</v>
      </c>
      <c r="BD63" s="75">
        <f>'QTR Raw'!X26+'QTR Raw'!X31+'QTR Raw'!X32+'QTR Raw'!X33+'QTR Raw'!X36+'QTR Raw'!X37+'QTR Raw'!X39</f>
        <v>0</v>
      </c>
      <c r="BE63" s="75">
        <f>'QTR Raw'!Y26+'QTR Raw'!Y31+'QTR Raw'!Y32+'QTR Raw'!Y33+'QTR Raw'!Y36+'QTR Raw'!Y37+'QTR Raw'!Y39</f>
        <v>0</v>
      </c>
      <c r="BF63" s="75">
        <f>'QTR Raw'!Z26+'QTR Raw'!Z31+'QTR Raw'!Z32+'QTR Raw'!Z33+'QTR Raw'!Z36+'QTR Raw'!Z37+'QTR Raw'!Z39</f>
        <v>-1.39</v>
      </c>
      <c r="BG63" s="75">
        <f>'QTR Raw'!AA26+'QTR Raw'!AA31+'QTR Raw'!AA32+'QTR Raw'!AA33+'QTR Raw'!AA36+'QTR Raw'!AA37+'QTR Raw'!AA39</f>
        <v>0</v>
      </c>
      <c r="BH63" s="75">
        <f>'QTR Raw'!AB26+'QTR Raw'!AB31+'QTR Raw'!AB32+'QTR Raw'!AB33+'QTR Raw'!AB36+'QTR Raw'!AB37+'QTR Raw'!AB39</f>
        <v>0</v>
      </c>
      <c r="BI63" s="75">
        <f>'QTR Raw'!AC26+'QTR Raw'!AC31+'QTR Raw'!AC32+'QTR Raw'!AC33+'QTR Raw'!AC36+'QTR Raw'!AC37+'QTR Raw'!AC39</f>
        <v>-11.77</v>
      </c>
      <c r="BJ63" s="75">
        <f>'QTR Raw'!AD26+'QTR Raw'!AD31+'QTR Raw'!AD32+'QTR Raw'!AD33+'QTR Raw'!AD36+'QTR Raw'!AD37+'QTR Raw'!AD39</f>
        <v>0</v>
      </c>
      <c r="BK63" s="75">
        <f>'QTR Raw'!AE26+'QTR Raw'!AE31+'QTR Raw'!AE32+'QTR Raw'!AE33+'QTR Raw'!AE36+'QTR Raw'!AE37+'QTR Raw'!AE39</f>
        <v>-43.03</v>
      </c>
      <c r="BL63" s="75">
        <f>'QTR Raw'!AF26+'QTR Raw'!AF31+'QTR Raw'!AF32+'QTR Raw'!AF33+'QTR Raw'!AF36+'QTR Raw'!AF37+'QTR Raw'!AF39</f>
        <v>-6.14</v>
      </c>
      <c r="BM63" s="75">
        <f>'QTR Raw'!AG26+'QTR Raw'!AG31+'QTR Raw'!AG32+'QTR Raw'!AG33+'QTR Raw'!AG36+'QTR Raw'!AG37+'QTR Raw'!AG39</f>
        <v>0</v>
      </c>
      <c r="BN63" s="75">
        <f>'QTR Raw'!AH26+'QTR Raw'!AH31+'QTR Raw'!AH32+'QTR Raw'!AH33+'QTR Raw'!AH36+'QTR Raw'!AH37+'QTR Raw'!AH39</f>
        <v>-2.02</v>
      </c>
      <c r="BO63" s="75">
        <f>'QTR Raw'!AI26+'QTR Raw'!AI31+'QTR Raw'!AI32+'QTR Raw'!AI33+'QTR Raw'!AI36+'QTR Raw'!AI37+'QTR Raw'!AI39</f>
        <v>0</v>
      </c>
      <c r="BP63" s="75">
        <f>'QTR Raw'!AJ26+'QTR Raw'!AJ31+'QTR Raw'!AJ32+'QTR Raw'!AJ33+'QTR Raw'!AJ36+'QTR Raw'!AJ37+'QTR Raw'!AJ39</f>
        <v>0</v>
      </c>
      <c r="BQ63" s="75">
        <f>'QTR Raw'!AK26+'QTR Raw'!AK31+'QTR Raw'!AK32+'QTR Raw'!AK33+'QTR Raw'!AK36+'QTR Raw'!AK37+'QTR Raw'!AK39</f>
        <v>0</v>
      </c>
      <c r="BR63" s="75">
        <f>'QTR Raw'!AL26+'QTR Raw'!AL31+'QTR Raw'!AL32+'QTR Raw'!AL33+'QTR Raw'!AL36+'QTR Raw'!AL37+'QTR Raw'!AL39</f>
        <v>0</v>
      </c>
      <c r="BS63" s="75">
        <f>'QTR Raw'!AM26+'QTR Raw'!AM31+'QTR Raw'!AM32+'QTR Raw'!AM33+'QTR Raw'!AM36+'QTR Raw'!AM37+'QTR Raw'!AM39</f>
        <v>0</v>
      </c>
      <c r="BT63" s="75">
        <f>'QTR Raw'!AN26+'QTR Raw'!AN31+'QTR Raw'!AN32+'QTR Raw'!AN33+'QTR Raw'!AN36+'QTR Raw'!AN37+'QTR Raw'!AN39</f>
        <v>0</v>
      </c>
      <c r="BU63" s="75">
        <f>'QTR Raw'!AO26+'QTR Raw'!AO31+'QTR Raw'!AO32+'QTR Raw'!AO33+'QTR Raw'!AO36+'QTR Raw'!AO37+'QTR Raw'!AO39</f>
        <v>0</v>
      </c>
      <c r="BV63" s="75">
        <f>'QTR Raw'!AP26+'QTR Raw'!AP31+'QTR Raw'!AP32+'QTR Raw'!AP33+'QTR Raw'!AP36+'QTR Raw'!AP37+'QTR Raw'!AP39</f>
        <v>0</v>
      </c>
      <c r="BW63" s="75">
        <f>'QTR Raw'!AQ26+'QTR Raw'!AQ31+'QTR Raw'!AQ32+'QTR Raw'!AQ33+'QTR Raw'!AQ36+'QTR Raw'!AQ37+'QTR Raw'!AQ39</f>
        <v>0</v>
      </c>
      <c r="BX63" s="75">
        <f>'QTR Raw'!AR26+'QTR Raw'!AR31+'QTR Raw'!AR32+'QTR Raw'!AR33+'QTR Raw'!AR36+'QTR Raw'!AR37+'QTR Raw'!AR39</f>
        <v>-106.43</v>
      </c>
      <c r="BY63" s="75">
        <f>'QTR Raw'!AS26+'QTR Raw'!AS31+'QTR Raw'!AS32+'QTR Raw'!AS33+'QTR Raw'!AS36+'QTR Raw'!AS37+'QTR Raw'!AS39</f>
        <v>-137.38999999999999</v>
      </c>
      <c r="BZ63" s="75">
        <f>'QTR Raw'!AT26+'QTR Raw'!AT31+'QTR Raw'!AT32+'QTR Raw'!AT33+'QTR Raw'!AT36+'QTR Raw'!AT37+'QTR Raw'!AT39</f>
        <v>0</v>
      </c>
      <c r="CA63" s="75">
        <f>'QTR Raw'!AU26+'QTR Raw'!AU31+'QTR Raw'!AU32+'QTR Raw'!AU33+'QTR Raw'!AU36+'QTR Raw'!AU37+'QTR Raw'!AU39</f>
        <v>0</v>
      </c>
      <c r="CB63" s="75">
        <f>'QTR Raw'!AV26+'QTR Raw'!AV31+'QTR Raw'!AV32+'QTR Raw'!AV33+'QTR Raw'!AV36+'QTR Raw'!AV37+'QTR Raw'!AV39</f>
        <v>0</v>
      </c>
      <c r="CC63" s="75">
        <f>'QTR Raw'!AW26+'QTR Raw'!AW31+'QTR Raw'!AW32+'QTR Raw'!AW33+'QTR Raw'!AW36+'QTR Raw'!AW37+'QTR Raw'!AW39</f>
        <v>0</v>
      </c>
      <c r="CD63" s="75">
        <f>'QTR Raw'!AX26+'QTR Raw'!AX31+'QTR Raw'!AX32+'QTR Raw'!AX33+'QTR Raw'!AX36+'QTR Raw'!AX37+'QTR Raw'!AX39</f>
        <v>0</v>
      </c>
      <c r="CE63" s="75">
        <f>'QTR Raw'!AY26+'QTR Raw'!AY31+'QTR Raw'!AY32+'QTR Raw'!AY33+'QTR Raw'!AY36+'QTR Raw'!AY37+'QTR Raw'!AY39</f>
        <v>0</v>
      </c>
      <c r="CF63" s="75">
        <f>'QTR Raw'!AZ26+'QTR Raw'!AZ31+'QTR Raw'!AZ32+'QTR Raw'!AZ33+'QTR Raw'!AZ36+'QTR Raw'!AZ37+'QTR Raw'!AZ39</f>
        <v>0</v>
      </c>
      <c r="CG63" s="75">
        <f>'QTR Raw'!BA26+'QTR Raw'!BA31+'QTR Raw'!BA32+'QTR Raw'!BA33+'QTR Raw'!BA36+'QTR Raw'!BA37+'QTR Raw'!BA39</f>
        <v>0</v>
      </c>
      <c r="CH63" s="75">
        <f>'QTR Raw'!BB26+'QTR Raw'!BB31+'QTR Raw'!BB32+'QTR Raw'!BB33+'QTR Raw'!BB36+'QTR Raw'!BB37+'QTR Raw'!BB39</f>
        <v>0</v>
      </c>
      <c r="CI63" s="75">
        <f>'QTR Raw'!BC26+'QTR Raw'!BC31+'QTR Raw'!BC32+'QTR Raw'!BC33+'QTR Raw'!BC36+'QTR Raw'!BC37+'QTR Raw'!BC39</f>
        <v>0</v>
      </c>
      <c r="CJ63" s="75">
        <f>'QTR Raw'!BD26+'QTR Raw'!BD31+'QTR Raw'!BD32+'QTR Raw'!BD33+'QTR Raw'!BD36+'QTR Raw'!BD37+'QTR Raw'!BD39</f>
        <v>0</v>
      </c>
      <c r="CK63" s="75">
        <f>'QTR Raw'!BE26+'QTR Raw'!BE31+'QTR Raw'!BE32+'QTR Raw'!BE33+'QTR Raw'!BE36+'QTR Raw'!BE37+'QTR Raw'!BE39</f>
        <v>-26.49</v>
      </c>
      <c r="CL63" s="75">
        <f>'QTR Raw'!BF26+'QTR Raw'!BF31+'QTR Raw'!BF32+'QTR Raw'!BF33+'QTR Raw'!BF36+'QTR Raw'!BF37+'QTR Raw'!BF39</f>
        <v>0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-26.49</v>
      </c>
    </row>
    <row r="64" spans="1:110" s="26" customFormat="1" x14ac:dyDescent="0.2">
      <c r="A64" s="35" t="s">
        <v>25</v>
      </c>
      <c r="B64" s="26">
        <f>B57+B61+B62+B63</f>
        <v>5.5800999999999821</v>
      </c>
      <c r="C64" s="26">
        <f>C57+C61+C62+C63</f>
        <v>25.810399999999891</v>
      </c>
      <c r="D64" s="26">
        <f>D57+D61+D62+D63</f>
        <v>29.716500000000092</v>
      </c>
      <c r="E64" s="26">
        <f t="shared" ref="E64:U64" si="777">E57+E61+E62+E63</f>
        <v>40.36219999999993</v>
      </c>
      <c r="F64" s="26">
        <f t="shared" si="777"/>
        <v>52.250900000000001</v>
      </c>
      <c r="G64" s="26">
        <f t="shared" si="777"/>
        <v>73.652599999999865</v>
      </c>
      <c r="H64" s="26">
        <f t="shared" si="777"/>
        <v>201.57970000000017</v>
      </c>
      <c r="I64" s="26">
        <f t="shared" si="777"/>
        <v>207.6803000000001</v>
      </c>
      <c r="J64" s="26">
        <f t="shared" si="777"/>
        <v>251.40329999999975</v>
      </c>
      <c r="K64" s="26">
        <f t="shared" si="777"/>
        <v>380.99100000000095</v>
      </c>
      <c r="L64" s="26">
        <f t="shared" si="777"/>
        <v>357.24409999999943</v>
      </c>
      <c r="M64" s="26">
        <f t="shared" si="777"/>
        <v>162.0557</v>
      </c>
      <c r="N64" s="26">
        <f t="shared" si="777"/>
        <v>215.69769999999974</v>
      </c>
      <c r="O64" s="26">
        <f t="shared" si="777"/>
        <v>245.35709999999946</v>
      </c>
      <c r="P64" s="26">
        <f t="shared" si="777"/>
        <v>384.33689999999962</v>
      </c>
      <c r="Q64" s="26">
        <f t="shared" si="777"/>
        <v>387.09320000000025</v>
      </c>
      <c r="R64" s="26">
        <f t="shared" si="777"/>
        <v>517.42999999999995</v>
      </c>
      <c r="S64" s="26">
        <f t="shared" si="777"/>
        <v>572.40000000000055</v>
      </c>
      <c r="T64" s="26">
        <f t="shared" si="777"/>
        <v>507.91000000000008</v>
      </c>
      <c r="U64" s="26">
        <f t="shared" si="777"/>
        <v>517.18000000000029</v>
      </c>
      <c r="V64" s="26">
        <f>V57+V61+V62+V63</f>
        <v>525.13999999999976</v>
      </c>
      <c r="W64" s="26">
        <f>W57+W61+W62+W63</f>
        <v>504.08999999999975</v>
      </c>
      <c r="X64" s="26">
        <f>X57+X61+X62+X63</f>
        <v>135.01000000000096</v>
      </c>
      <c r="Y64" s="26">
        <f>Y57+Y61+Y62+Y63</f>
        <v>251.99999999999824</v>
      </c>
      <c r="Z64" s="26">
        <f>Z57+Z61+Z62+Z63</f>
        <v>841.37000000000182</v>
      </c>
      <c r="AA64" s="26">
        <f>AA57+AA61+AA62+AA63</f>
        <v>375.87999999999937</v>
      </c>
      <c r="AB64" s="27">
        <f t="shared" ref="AA64:AD64" si="778">AB57+AB61+AB62+AB63</f>
        <v>530.59624056378061</v>
      </c>
      <c r="AC64" s="27">
        <f t="shared" si="778"/>
        <v>688.52610048376766</v>
      </c>
      <c r="AD64" s="27">
        <f t="shared" si="778"/>
        <v>811.84489836342095</v>
      </c>
      <c r="AE64" s="27">
        <f t="shared" ref="AE64" si="779">AE57+AE61+AE62+AE63</f>
        <v>949.62613516416559</v>
      </c>
      <c r="AI64" s="26">
        <f t="shared" ref="AI64" si="780">AI57+AI61+AI62+AI63</f>
        <v>79.120000000000076</v>
      </c>
      <c r="AJ64" s="26">
        <f t="shared" ref="AJ64" si="781">AJ57+AJ61+AJ62+AJ63</f>
        <v>42.929999999999964</v>
      </c>
      <c r="AK64" s="26">
        <f t="shared" ref="AK64:AM64" si="782">AK57+AK61+AK62+AK63</f>
        <v>76.809999999999945</v>
      </c>
      <c r="AL64" s="26">
        <f t="shared" si="782"/>
        <v>8.9200000000001225</v>
      </c>
      <c r="AM64" s="26">
        <f t="shared" si="782"/>
        <v>40.749999999999972</v>
      </c>
      <c r="AN64" s="26">
        <f t="shared" ref="AN64:AO64" si="783">AN57+AN61+AN62+AN63</f>
        <v>42.280000000000094</v>
      </c>
      <c r="AO64" s="26">
        <f t="shared" si="783"/>
        <v>61.919999999999938</v>
      </c>
      <c r="AP64" s="26">
        <f t="shared" ref="AP64:CD64" si="784">AP57+AP61+AP62+AP63</f>
        <v>100.40999999999985</v>
      </c>
      <c r="AQ64" s="26">
        <f t="shared" si="784"/>
        <v>108.98999999999994</v>
      </c>
      <c r="AR64" s="26">
        <f t="shared" si="784"/>
        <v>49.929999999999943</v>
      </c>
      <c r="AS64" s="26">
        <f t="shared" si="784"/>
        <v>107.36999999999993</v>
      </c>
      <c r="AT64" s="26">
        <f t="shared" si="784"/>
        <v>118.04000000000002</v>
      </c>
      <c r="AU64" s="26">
        <f t="shared" si="784"/>
        <v>102.53999999999989</v>
      </c>
      <c r="AV64" s="26">
        <f t="shared" si="784"/>
        <v>67.260000000000161</v>
      </c>
      <c r="AW64" s="26">
        <f t="shared" si="784"/>
        <v>56.829999999999721</v>
      </c>
      <c r="AX64" s="26">
        <f t="shared" si="784"/>
        <v>159.4800000000001</v>
      </c>
      <c r="AY64" s="26">
        <f t="shared" si="784"/>
        <v>157.61999999999975</v>
      </c>
      <c r="AZ64" s="26">
        <f t="shared" si="784"/>
        <v>80.549999999999898</v>
      </c>
      <c r="BA64" s="26">
        <f t="shared" si="784"/>
        <v>80.189999999999912</v>
      </c>
      <c r="BB64" s="26">
        <f t="shared" si="784"/>
        <v>199.07000000000028</v>
      </c>
      <c r="BC64" s="26">
        <f t="shared" si="784"/>
        <v>185.63999999999976</v>
      </c>
      <c r="BD64" s="26">
        <f t="shared" si="784"/>
        <v>94.63000000000001</v>
      </c>
      <c r="BE64" s="26">
        <f t="shared" si="784"/>
        <v>99.480000000000075</v>
      </c>
      <c r="BF64" s="26">
        <f t="shared" si="784"/>
        <v>192.65000000000032</v>
      </c>
      <c r="BG64" s="26">
        <f t="shared" si="784"/>
        <v>183.91999999999967</v>
      </c>
      <c r="BH64" s="26">
        <f t="shared" si="784"/>
        <v>103.46000000000009</v>
      </c>
      <c r="BI64" s="26">
        <f t="shared" si="784"/>
        <v>80.92000000000003</v>
      </c>
      <c r="BJ64" s="26">
        <f t="shared" si="784"/>
        <v>139.60999999999996</v>
      </c>
      <c r="BK64" s="26">
        <f t="shared" si="784"/>
        <v>165.17999999999978</v>
      </c>
      <c r="BL64" s="26">
        <f t="shared" si="784"/>
        <v>106.43000000000025</v>
      </c>
      <c r="BM64" s="26">
        <f t="shared" si="784"/>
        <v>86.909999999999968</v>
      </c>
      <c r="BN64" s="26">
        <f t="shared" si="784"/>
        <v>158.6599999999994</v>
      </c>
      <c r="BO64" s="26">
        <f t="shared" si="784"/>
        <v>81.150000000000006</v>
      </c>
      <c r="BP64" s="26">
        <f t="shared" si="784"/>
        <v>78.350000000000009</v>
      </c>
      <c r="BQ64" s="26">
        <f t="shared" si="784"/>
        <v>127.90999999999988</v>
      </c>
      <c r="BR64" s="26">
        <f t="shared" si="784"/>
        <v>237.73000000000036</v>
      </c>
      <c r="BS64" s="26">
        <f t="shared" si="784"/>
        <v>121.79999999999984</v>
      </c>
      <c r="BT64" s="26">
        <f t="shared" si="784"/>
        <v>103.61000000000017</v>
      </c>
      <c r="BU64" s="26">
        <f t="shared" si="784"/>
        <v>95.979999999999663</v>
      </c>
      <c r="BV64" s="26">
        <f t="shared" si="784"/>
        <v>182.69999999999996</v>
      </c>
      <c r="BW64" s="26">
        <f t="shared" si="784"/>
        <v>108.88000000000015</v>
      </c>
      <c r="BX64" s="26">
        <f t="shared" si="784"/>
        <v>-7.410000000000025</v>
      </c>
      <c r="BY64" s="26">
        <f t="shared" si="784"/>
        <v>-110.38000000000019</v>
      </c>
      <c r="BZ64" s="26">
        <f t="shared" si="784"/>
        <v>143.92000000000024</v>
      </c>
      <c r="CA64" s="26">
        <f t="shared" si="784"/>
        <v>129.29000000000005</v>
      </c>
      <c r="CB64" s="26">
        <f t="shared" si="784"/>
        <v>36.679999999999879</v>
      </c>
      <c r="CC64" s="26">
        <f t="shared" si="784"/>
        <v>-30.410000000000053</v>
      </c>
      <c r="CD64" s="26">
        <f t="shared" si="784"/>
        <v>116.44000000000031</v>
      </c>
      <c r="CE64" s="26">
        <f t="shared" ref="CE64:CF64" si="785">CE57+CE61+CE62+CE63</f>
        <v>334.22999999999905</v>
      </c>
      <c r="CF64" s="26">
        <f t="shared" si="785"/>
        <v>133.99000000000004</v>
      </c>
      <c r="CG64" s="26">
        <f t="shared" ref="CG64:CH64" si="786">CG57+CG61+CG62+CG63</f>
        <v>132.13000000000022</v>
      </c>
      <c r="CH64" s="26">
        <f t="shared" si="786"/>
        <v>241.01999999999995</v>
      </c>
      <c r="CI64" s="26">
        <f t="shared" ref="CI64:CJ64" si="787">CI57+CI61+CI62+CI63</f>
        <v>140.45999999999972</v>
      </c>
      <c r="CJ64" s="26">
        <f t="shared" si="787"/>
        <v>34.289999999999388</v>
      </c>
      <c r="CK64" s="26">
        <f t="shared" ref="CK64:CL64" si="788">CK57+CK61+CK62+CK63</f>
        <v>84.950000000000088</v>
      </c>
      <c r="CL64" s="26">
        <f t="shared" si="788"/>
        <v>116.17999999999986</v>
      </c>
      <c r="CM64" s="27">
        <f t="shared" ref="CM64:DB64" si="789">CM57+CM61+CM62+CM63</f>
        <v>141.26550763135398</v>
      </c>
      <c r="CN64" s="27">
        <f t="shared" si="789"/>
        <v>65.861317715045715</v>
      </c>
      <c r="CO64" s="27">
        <f t="shared" si="789"/>
        <v>105.47117263891451</v>
      </c>
      <c r="CP64" s="27">
        <f t="shared" si="789"/>
        <v>217.99824257846484</v>
      </c>
      <c r="CQ64" s="27">
        <f t="shared" si="789"/>
        <v>208.10804310043443</v>
      </c>
      <c r="CR64" s="27">
        <f t="shared" si="789"/>
        <v>95.870406482184137</v>
      </c>
      <c r="CS64" s="27">
        <f t="shared" si="789"/>
        <v>125.10081662709678</v>
      </c>
      <c r="CT64" s="27">
        <f t="shared" si="789"/>
        <v>259.44683427405079</v>
      </c>
      <c r="CU64" s="27">
        <f t="shared" si="789"/>
        <v>249.70213845780046</v>
      </c>
      <c r="CV64" s="27">
        <f t="shared" si="789"/>
        <v>117.45991016036339</v>
      </c>
      <c r="CW64" s="27">
        <f t="shared" si="789"/>
        <v>146.81482470801257</v>
      </c>
      <c r="CX64" s="27">
        <f t="shared" si="789"/>
        <v>297.86802503724738</v>
      </c>
      <c r="CY64" s="27">
        <f t="shared" si="789"/>
        <v>292.9605729494134</v>
      </c>
      <c r="CZ64" s="27">
        <f t="shared" si="789"/>
        <v>139.19531850461374</v>
      </c>
      <c r="DA64" s="27">
        <f t="shared" si="789"/>
        <v>171.94104114286168</v>
      </c>
      <c r="DB64" s="27">
        <f t="shared" si="789"/>
        <v>345.52920256727555</v>
      </c>
      <c r="DE64" s="121"/>
      <c r="DF64" s="26">
        <v>272.01777650372264</v>
      </c>
    </row>
    <row r="65" spans="1:110" s="25" customFormat="1" x14ac:dyDescent="0.2">
      <c r="A65" s="151" t="s">
        <v>486</v>
      </c>
      <c r="AB65" s="17"/>
      <c r="AC65" s="17"/>
      <c r="AD65" s="17"/>
      <c r="AE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1" customFormat="1" x14ac:dyDescent="0.2">
      <c r="AB66" s="20"/>
      <c r="AC66" s="20"/>
      <c r="AD66" s="20"/>
      <c r="AE66" s="20"/>
      <c r="BV66" s="183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22" customFormat="1" x14ac:dyDescent="0.2">
      <c r="A67" s="22" t="s">
        <v>434</v>
      </c>
      <c r="B67" s="22">
        <f>'Annual Raw'!C35</f>
        <v>5.5800999999999998</v>
      </c>
      <c r="C67" s="22">
        <f>'Annual Raw'!D35</f>
        <v>25.810400000000001</v>
      </c>
      <c r="D67" s="22">
        <f>'Annual Raw'!E35</f>
        <v>29.7165</v>
      </c>
      <c r="E67" s="22">
        <f>'Annual Raw'!F35</f>
        <v>40.362200000000001</v>
      </c>
      <c r="F67" s="22">
        <f>'Annual Raw'!G35</f>
        <v>52.250900000000001</v>
      </c>
      <c r="G67" s="22">
        <f>'Annual Raw'!H35</f>
        <v>73.652600000000007</v>
      </c>
      <c r="H67" s="22">
        <f>'Annual Raw'!I35</f>
        <v>201.5797</v>
      </c>
      <c r="I67" s="22">
        <f>'Annual Raw'!J35</f>
        <v>207.68029999999999</v>
      </c>
      <c r="J67" s="22">
        <f>'Annual Raw'!K35</f>
        <v>251.4033</v>
      </c>
      <c r="K67" s="22">
        <f>'Annual Raw'!L35</f>
        <v>380.99099999999999</v>
      </c>
      <c r="L67" s="22">
        <f>'Annual Raw'!M35</f>
        <v>357.2441</v>
      </c>
      <c r="M67" s="22">
        <f>'Annual Raw'!N35</f>
        <v>162.0557</v>
      </c>
      <c r="N67" s="22">
        <f>'Annual Raw'!O35</f>
        <v>215.6977</v>
      </c>
      <c r="O67" s="22">
        <f>'Annual Raw'!P35</f>
        <v>245.3571</v>
      </c>
      <c r="P67" s="22">
        <f>'Annual Raw'!Q35</f>
        <v>384.33690000000001</v>
      </c>
      <c r="Q67" s="22">
        <f>'Annual Raw'!R35</f>
        <v>387.09320000000002</v>
      </c>
      <c r="R67" s="22">
        <f>'Annual Raw'!S35</f>
        <v>517.42999999999995</v>
      </c>
      <c r="S67" s="22">
        <f>'Annual Raw'!T35</f>
        <v>572.4</v>
      </c>
      <c r="T67" s="22">
        <f>'Annual Raw'!U35</f>
        <v>507.91</v>
      </c>
      <c r="U67" s="22">
        <f>'Annual Raw'!V35</f>
        <v>517.17999999999995</v>
      </c>
      <c r="V67" s="22">
        <f>'Annual Raw'!W35</f>
        <v>525.14</v>
      </c>
      <c r="W67" s="22">
        <f>'Annual Raw'!X35</f>
        <v>504.09</v>
      </c>
      <c r="X67" s="22">
        <f>'Annual Raw'!Y35</f>
        <v>135.01</v>
      </c>
      <c r="Y67" s="22">
        <f>'Annual Raw'!Z35</f>
        <v>252</v>
      </c>
      <c r="Z67" s="22">
        <f>'Annual Raw'!AA35</f>
        <v>841.37</v>
      </c>
      <c r="AA67" s="22">
        <f>'Annual Raw'!AB35</f>
        <v>375.88</v>
      </c>
      <c r="AB67" s="21">
        <f t="shared" ref="AA67:AD67" si="790">+AB64</f>
        <v>530.59624056378061</v>
      </c>
      <c r="AC67" s="21">
        <f t="shared" si="790"/>
        <v>688.52610048376766</v>
      </c>
      <c r="AD67" s="21">
        <f t="shared" si="790"/>
        <v>811.84489836342095</v>
      </c>
      <c r="AE67" s="21">
        <f t="shared" ref="AE67" si="791">+AE64</f>
        <v>949.62613516416559</v>
      </c>
      <c r="AI67" s="22">
        <f>'QTR Raw'!C42</f>
        <v>79.12</v>
      </c>
      <c r="AJ67" s="22">
        <f>'QTR Raw'!D42</f>
        <v>42.93</v>
      </c>
      <c r="AK67" s="22">
        <f>'QTR Raw'!E42</f>
        <v>76.81</v>
      </c>
      <c r="AL67" s="22">
        <f>'QTR Raw'!F42</f>
        <v>8.92</v>
      </c>
      <c r="AM67" s="22">
        <f>'QTR Raw'!G42</f>
        <v>40.75</v>
      </c>
      <c r="AN67" s="22">
        <f>'QTR Raw'!H42</f>
        <v>42.28</v>
      </c>
      <c r="AO67" s="22">
        <f>'QTR Raw'!I42</f>
        <v>61.92</v>
      </c>
      <c r="AP67" s="22">
        <f>'QTR Raw'!J42</f>
        <v>100.41</v>
      </c>
      <c r="AQ67" s="22">
        <f>'QTR Raw'!K42</f>
        <v>108.99</v>
      </c>
      <c r="AR67" s="22">
        <f>'QTR Raw'!L42</f>
        <v>49.93</v>
      </c>
      <c r="AS67" s="22">
        <f>'QTR Raw'!M42</f>
        <v>107.37</v>
      </c>
      <c r="AT67" s="22">
        <f>'QTR Raw'!N42</f>
        <v>118.04</v>
      </c>
      <c r="AU67" s="22">
        <f>'QTR Raw'!O42</f>
        <v>102.54</v>
      </c>
      <c r="AV67" s="22">
        <f>'QTR Raw'!P42</f>
        <v>67.260000000000005</v>
      </c>
      <c r="AW67" s="22">
        <f>'QTR Raw'!Q42</f>
        <v>56.83</v>
      </c>
      <c r="AX67" s="22">
        <f>'QTR Raw'!R42</f>
        <v>159.47999999999999</v>
      </c>
      <c r="AY67" s="22">
        <f>'QTR Raw'!S42</f>
        <v>157.62</v>
      </c>
      <c r="AZ67" s="22">
        <f>'QTR Raw'!T42</f>
        <v>80.55</v>
      </c>
      <c r="BA67" s="22">
        <f>'QTR Raw'!U42</f>
        <v>80.19</v>
      </c>
      <c r="BB67" s="22">
        <f>'QTR Raw'!V42</f>
        <v>199.07</v>
      </c>
      <c r="BC67" s="22">
        <f>'QTR Raw'!W42</f>
        <v>185.64</v>
      </c>
      <c r="BD67" s="22">
        <f>'QTR Raw'!X42</f>
        <v>94.63</v>
      </c>
      <c r="BE67" s="22">
        <f>'QTR Raw'!Y42</f>
        <v>99.48</v>
      </c>
      <c r="BF67" s="22">
        <f>'QTR Raw'!Z42</f>
        <v>192.65</v>
      </c>
      <c r="BG67" s="22">
        <f>'QTR Raw'!AA42</f>
        <v>183.92</v>
      </c>
      <c r="BH67" s="22">
        <f>'QTR Raw'!AB42</f>
        <v>103.46</v>
      </c>
      <c r="BI67" s="22">
        <f>'QTR Raw'!AC42</f>
        <v>80.92</v>
      </c>
      <c r="BJ67" s="22">
        <f>'QTR Raw'!AD42</f>
        <v>139.61000000000001</v>
      </c>
      <c r="BK67" s="22">
        <f>'QTR Raw'!AE42</f>
        <v>165.18</v>
      </c>
      <c r="BL67" s="22">
        <f>'QTR Raw'!AF42</f>
        <v>106.43</v>
      </c>
      <c r="BM67" s="22">
        <f>'QTR Raw'!AG42</f>
        <v>86.91</v>
      </c>
      <c r="BN67" s="22">
        <f>'QTR Raw'!AH42</f>
        <v>158.66</v>
      </c>
      <c r="BO67" s="22">
        <f>'QTR Raw'!AI42</f>
        <v>81.150000000000006</v>
      </c>
      <c r="BP67" s="22">
        <f>'QTR Raw'!AJ42</f>
        <v>78.349999999999994</v>
      </c>
      <c r="BQ67" s="22">
        <f>'QTR Raw'!AK42</f>
        <v>127.91</v>
      </c>
      <c r="BR67" s="22">
        <f>'QTR Raw'!AL42</f>
        <v>237.73</v>
      </c>
      <c r="BS67" s="22">
        <f>'QTR Raw'!AM42</f>
        <v>121.8</v>
      </c>
      <c r="BT67" s="22">
        <f>'QTR Raw'!AN42</f>
        <v>103.61</v>
      </c>
      <c r="BU67" s="22">
        <f>'QTR Raw'!AO42</f>
        <v>95.98</v>
      </c>
      <c r="BV67" s="22">
        <f>'QTR Raw'!AP42</f>
        <v>182.7</v>
      </c>
      <c r="BW67" s="22">
        <f>'QTR Raw'!AQ42</f>
        <v>108.88</v>
      </c>
      <c r="BX67" s="22">
        <f>'QTR Raw'!AR42</f>
        <v>-7.41</v>
      </c>
      <c r="BY67" s="22">
        <f>'QTR Raw'!AS42</f>
        <v>-110.38</v>
      </c>
      <c r="BZ67" s="22">
        <f>'QTR Raw'!AT42</f>
        <v>143.91999999999999</v>
      </c>
      <c r="CA67" s="22">
        <f>'QTR Raw'!AU42</f>
        <v>129.29</v>
      </c>
      <c r="CB67" s="22">
        <f>'QTR Raw'!AV42</f>
        <v>36.68</v>
      </c>
      <c r="CC67" s="22">
        <f>'QTR Raw'!AW42</f>
        <v>-30.41</v>
      </c>
      <c r="CD67" s="22">
        <f>'QTR Raw'!AX42</f>
        <v>116.44</v>
      </c>
      <c r="CE67" s="22">
        <f>'QTR Raw'!AY42</f>
        <v>334.23</v>
      </c>
      <c r="CF67" s="22">
        <f>'QTR Raw'!AZ42</f>
        <v>133.99</v>
      </c>
      <c r="CG67" s="22">
        <f>'QTR Raw'!BA42</f>
        <v>132.13</v>
      </c>
      <c r="CH67" s="22">
        <f>'QTR Raw'!BB42</f>
        <v>241.02</v>
      </c>
      <c r="CI67" s="22">
        <f>'QTR Raw'!BC42</f>
        <v>140.46</v>
      </c>
      <c r="CJ67" s="22">
        <f>'QTR Raw'!BD42</f>
        <v>34.29</v>
      </c>
      <c r="CK67" s="22">
        <f>'QTR Raw'!BE42</f>
        <v>84.95</v>
      </c>
      <c r="CL67" s="22">
        <f>'QTR Raw'!BF42</f>
        <v>116.18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2">
        <v>375.8799999999996</v>
      </c>
    </row>
    <row r="68" spans="1:110" s="25" customFormat="1" x14ac:dyDescent="0.2">
      <c r="A68" s="36" t="s">
        <v>435</v>
      </c>
      <c r="B68" s="25">
        <f t="shared" ref="B68:V68" si="792">B67-B64</f>
        <v>1.7763568394002505E-14</v>
      </c>
      <c r="C68" s="25">
        <f>C67-C64</f>
        <v>1.1013412404281553E-13</v>
      </c>
      <c r="D68" s="25">
        <f t="shared" si="792"/>
        <v>-9.2370555648813024E-14</v>
      </c>
      <c r="E68" s="25">
        <f t="shared" si="792"/>
        <v>7.1054273576010019E-14</v>
      </c>
      <c r="F68" s="25">
        <f t="shared" si="792"/>
        <v>0</v>
      </c>
      <c r="G68" s="25">
        <f t="shared" si="792"/>
        <v>1.4210854715202004E-13</v>
      </c>
      <c r="H68" s="25">
        <f t="shared" si="792"/>
        <v>0</v>
      </c>
      <c r="I68" s="25">
        <f t="shared" si="792"/>
        <v>0</v>
      </c>
      <c r="J68" s="25">
        <f t="shared" si="792"/>
        <v>2.5579538487363607E-13</v>
      </c>
      <c r="K68" s="25">
        <f t="shared" si="792"/>
        <v>-9.6633812063373625E-13</v>
      </c>
      <c r="L68" s="25">
        <f t="shared" si="792"/>
        <v>5.6843418860808015E-13</v>
      </c>
      <c r="M68" s="25">
        <f t="shared" si="792"/>
        <v>0</v>
      </c>
      <c r="N68" s="25">
        <f t="shared" si="792"/>
        <v>2.5579538487363607E-13</v>
      </c>
      <c r="O68" s="25">
        <f t="shared" si="792"/>
        <v>5.4001247917767614E-13</v>
      </c>
      <c r="P68" s="25">
        <f t="shared" si="792"/>
        <v>0</v>
      </c>
      <c r="Q68" s="25">
        <f t="shared" si="792"/>
        <v>0</v>
      </c>
      <c r="R68" s="25">
        <f t="shared" si="792"/>
        <v>0</v>
      </c>
      <c r="S68" s="25">
        <f t="shared" si="792"/>
        <v>0</v>
      </c>
      <c r="T68" s="25">
        <f t="shared" si="792"/>
        <v>0</v>
      </c>
      <c r="U68" s="25">
        <f t="shared" si="792"/>
        <v>0</v>
      </c>
      <c r="V68" s="25">
        <f t="shared" si="792"/>
        <v>0</v>
      </c>
      <c r="W68" s="25">
        <f t="shared" ref="W68" si="793">W67-W64</f>
        <v>0</v>
      </c>
      <c r="X68" s="25">
        <f t="shared" ref="X68:Y68" si="794">X67-X64</f>
        <v>-9.6633812063373625E-13</v>
      </c>
      <c r="Y68" s="25">
        <f t="shared" si="794"/>
        <v>1.7621459846850485E-12</v>
      </c>
      <c r="Z68" s="25">
        <f t="shared" ref="Z68:AA68" si="795">Z67-Z64</f>
        <v>-1.8189894035458565E-12</v>
      </c>
      <c r="AA68" s="25">
        <f t="shared" si="795"/>
        <v>6.2527760746888816E-13</v>
      </c>
      <c r="AB68" s="17">
        <f t="shared" ref="AA68:AD68" si="796">AB67-AB64</f>
        <v>0</v>
      </c>
      <c r="AC68" s="17">
        <f t="shared" si="796"/>
        <v>0</v>
      </c>
      <c r="AD68" s="17">
        <f t="shared" si="796"/>
        <v>0</v>
      </c>
      <c r="AE68" s="17">
        <f t="shared" ref="AE68" si="797">AE67-AE64</f>
        <v>0</v>
      </c>
      <c r="AI68" s="25">
        <f t="shared" ref="AI68" si="798">AI67-AI64</f>
        <v>0</v>
      </c>
      <c r="AJ68" s="25">
        <f t="shared" ref="AJ68" si="799">AJ67-AJ64</f>
        <v>0</v>
      </c>
      <c r="AK68" s="25">
        <f t="shared" ref="AK68:AM68" si="800">AK67-AK64</f>
        <v>0</v>
      </c>
      <c r="AL68" s="25">
        <f t="shared" si="800"/>
        <v>-1.2256862191861728E-13</v>
      </c>
      <c r="AM68" s="25">
        <f t="shared" si="800"/>
        <v>0</v>
      </c>
      <c r="AN68" s="25">
        <f t="shared" ref="AN68:AO68" si="801">AN67-AN64</f>
        <v>-9.2370555648813024E-14</v>
      </c>
      <c r="AO68" s="25">
        <f t="shared" si="801"/>
        <v>6.3948846218409017E-14</v>
      </c>
      <c r="AP68" s="25">
        <f t="shared" ref="AP68:CD68" si="802">AP67-AP64</f>
        <v>1.4210854715202004E-13</v>
      </c>
      <c r="AQ68" s="25">
        <f t="shared" si="802"/>
        <v>0</v>
      </c>
      <c r="AR68" s="25">
        <f t="shared" si="802"/>
        <v>5.6843418860808015E-14</v>
      </c>
      <c r="AS68" s="25">
        <f t="shared" si="802"/>
        <v>0</v>
      </c>
      <c r="AT68" s="25">
        <f t="shared" si="802"/>
        <v>0</v>
      </c>
      <c r="AU68" s="25">
        <f t="shared" si="802"/>
        <v>1.1368683772161603E-13</v>
      </c>
      <c r="AV68" s="25">
        <f t="shared" si="802"/>
        <v>-1.5631940186722204E-13</v>
      </c>
      <c r="AW68" s="25">
        <f t="shared" si="802"/>
        <v>2.7711166694643907E-13</v>
      </c>
      <c r="AX68" s="25">
        <f t="shared" si="802"/>
        <v>0</v>
      </c>
      <c r="AY68" s="25">
        <f t="shared" si="802"/>
        <v>2.5579538487363607E-13</v>
      </c>
      <c r="AZ68" s="25">
        <f t="shared" si="802"/>
        <v>0</v>
      </c>
      <c r="BA68" s="25">
        <f t="shared" si="802"/>
        <v>0</v>
      </c>
      <c r="BB68" s="25">
        <f t="shared" si="802"/>
        <v>-2.8421709430404007E-13</v>
      </c>
      <c r="BC68" s="25">
        <f t="shared" si="802"/>
        <v>2.2737367544323206E-13</v>
      </c>
      <c r="BD68" s="25">
        <f t="shared" si="802"/>
        <v>0</v>
      </c>
      <c r="BE68" s="25">
        <f t="shared" si="802"/>
        <v>0</v>
      </c>
      <c r="BF68" s="25">
        <f t="shared" si="802"/>
        <v>-3.1263880373444408E-13</v>
      </c>
      <c r="BG68" s="25">
        <f t="shared" si="802"/>
        <v>3.1263880373444408E-13</v>
      </c>
      <c r="BH68" s="25">
        <f t="shared" si="802"/>
        <v>0</v>
      </c>
      <c r="BI68" s="25">
        <f t="shared" si="802"/>
        <v>0</v>
      </c>
      <c r="BJ68" s="25">
        <f t="shared" si="802"/>
        <v>0</v>
      </c>
      <c r="BK68" s="25">
        <f t="shared" si="802"/>
        <v>2.2737367544323206E-13</v>
      </c>
      <c r="BL68" s="25">
        <f t="shared" si="802"/>
        <v>-2.4158453015843406E-13</v>
      </c>
      <c r="BM68" s="25">
        <f t="shared" si="802"/>
        <v>0</v>
      </c>
      <c r="BN68" s="25">
        <f t="shared" si="802"/>
        <v>5.9685589803848416E-13</v>
      </c>
      <c r="BO68" s="25">
        <f t="shared" si="802"/>
        <v>0</v>
      </c>
      <c r="BP68" s="25">
        <f t="shared" si="802"/>
        <v>0</v>
      </c>
      <c r="BQ68" s="25">
        <f t="shared" si="802"/>
        <v>1.1368683772161603E-13</v>
      </c>
      <c r="BR68" s="25">
        <f t="shared" si="802"/>
        <v>-3.694822225952521E-13</v>
      </c>
      <c r="BS68" s="25">
        <f t="shared" si="802"/>
        <v>1.5631940186722204E-13</v>
      </c>
      <c r="BT68" s="25">
        <f t="shared" si="802"/>
        <v>-1.7053025658242404E-13</v>
      </c>
      <c r="BU68" s="25">
        <f t="shared" si="802"/>
        <v>3.4106051316484809E-13</v>
      </c>
      <c r="BV68" s="25">
        <f t="shared" si="802"/>
        <v>0</v>
      </c>
      <c r="BW68" s="25">
        <f t="shared" si="802"/>
        <v>-1.5631940186722204E-13</v>
      </c>
      <c r="BX68" s="25">
        <f t="shared" si="802"/>
        <v>2.4868995751603507E-14</v>
      </c>
      <c r="BY68" s="25">
        <f t="shared" si="802"/>
        <v>1.9895196601282805E-13</v>
      </c>
      <c r="BZ68" s="25">
        <f t="shared" si="802"/>
        <v>-2.5579538487363607E-13</v>
      </c>
      <c r="CA68" s="25">
        <f t="shared" si="802"/>
        <v>0</v>
      </c>
      <c r="CB68" s="25">
        <f t="shared" si="802"/>
        <v>1.2079226507921703E-13</v>
      </c>
      <c r="CC68" s="25">
        <f t="shared" si="802"/>
        <v>5.3290705182007514E-14</v>
      </c>
      <c r="CD68" s="25">
        <f t="shared" si="802"/>
        <v>-3.1263880373444408E-13</v>
      </c>
      <c r="CE68" s="25">
        <f t="shared" ref="CE68:CF68" si="803">CE67-CE64</f>
        <v>9.6633812063373625E-13</v>
      </c>
      <c r="CF68" s="25">
        <f t="shared" si="803"/>
        <v>0</v>
      </c>
      <c r="CG68" s="25">
        <f t="shared" ref="CG68:CH68" si="804">CG67-CG64</f>
        <v>-2.2737367544323206E-13</v>
      </c>
      <c r="CH68" s="25">
        <f t="shared" si="804"/>
        <v>0</v>
      </c>
      <c r="CI68" s="25">
        <f t="shared" ref="CI68:CJ68" si="805">CI67-CI64</f>
        <v>2.8421709430404007E-13</v>
      </c>
      <c r="CJ68" s="25">
        <f t="shared" si="805"/>
        <v>6.1106675275368616E-13</v>
      </c>
      <c r="CK68" s="25">
        <f t="shared" ref="CK68:CL68" si="806">CK67-CK64</f>
        <v>0</v>
      </c>
      <c r="CL68" s="25">
        <f t="shared" si="806"/>
        <v>1.4210854715202004E-13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25">
        <v>0</v>
      </c>
    </row>
    <row r="69" spans="1:110" s="1" customFormat="1" x14ac:dyDescent="0.2">
      <c r="A69" s="150" t="s">
        <v>487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38" customFormat="1" x14ac:dyDescent="0.2">
      <c r="A70" s="38" t="s">
        <v>350</v>
      </c>
      <c r="B70" s="39">
        <f t="shared" ref="B70:AE70" si="807">(B64-B63)/B136</f>
        <v>0.10992328114490804</v>
      </c>
      <c r="C70" s="39">
        <f t="shared" si="807"/>
        <v>9.7624022834003302E-2</v>
      </c>
      <c r="D70" s="39">
        <f t="shared" si="807"/>
        <v>0.13110724069253482</v>
      </c>
      <c r="E70" s="39">
        <f t="shared" si="807"/>
        <v>0.14906939867763239</v>
      </c>
      <c r="F70" s="39">
        <f t="shared" si="807"/>
        <v>0.21451076225115639</v>
      </c>
      <c r="G70" s="39">
        <f t="shared" si="807"/>
        <v>0.36793155776398201</v>
      </c>
      <c r="H70" s="39">
        <f t="shared" si="807"/>
        <v>0.31137119728399465</v>
      </c>
      <c r="I70" s="39">
        <f t="shared" si="807"/>
        <v>0.30506691345739423</v>
      </c>
      <c r="J70" s="39">
        <f t="shared" si="807"/>
        <v>0.28524496878504241</v>
      </c>
      <c r="K70" s="39">
        <f t="shared" si="807"/>
        <v>0.32803031713228797</v>
      </c>
      <c r="L70" s="39">
        <f t="shared" si="807"/>
        <v>0.2328370213112512</v>
      </c>
      <c r="M70" s="39">
        <f t="shared" si="807"/>
        <v>0.21146661567343544</v>
      </c>
      <c r="N70" s="39">
        <f t="shared" si="807"/>
        <v>0.12038155241501391</v>
      </c>
      <c r="O70" s="39">
        <f t="shared" si="807"/>
        <v>0.12302176894447026</v>
      </c>
      <c r="P70" s="39">
        <f t="shared" si="807"/>
        <v>0.16086193755175229</v>
      </c>
      <c r="Q70" s="39">
        <f t="shared" si="807"/>
        <v>0.12740821236902883</v>
      </c>
      <c r="R70" s="39">
        <f t="shared" si="807"/>
        <v>0.15615038921920268</v>
      </c>
      <c r="S70" s="39">
        <f t="shared" si="807"/>
        <v>0.14641722212121769</v>
      </c>
      <c r="T70" s="39">
        <f t="shared" si="807"/>
        <v>0.12644313003194657</v>
      </c>
      <c r="U70" s="39">
        <f t="shared" si="807"/>
        <v>0.1327902135642878</v>
      </c>
      <c r="V70" s="39">
        <f t="shared" si="807"/>
        <v>0.10516787327145097</v>
      </c>
      <c r="W70" s="39">
        <f t="shared" si="807"/>
        <v>9.166006007753344E-2</v>
      </c>
      <c r="X70" s="39">
        <f t="shared" si="807"/>
        <v>6.9483700686161581E-2</v>
      </c>
      <c r="Y70" s="39">
        <f t="shared" si="807"/>
        <v>4.3295249549007514E-2</v>
      </c>
      <c r="Z70" s="39">
        <f t="shared" si="807"/>
        <v>0.12917821364142354</v>
      </c>
      <c r="AA70" s="39">
        <f t="shared" ref="AA70" si="808">(AA64-AA63)/AA136</f>
        <v>6.3104885190418666E-2</v>
      </c>
      <c r="AB70" s="40">
        <f t="shared" si="807"/>
        <v>7.6822227536597273E-2</v>
      </c>
      <c r="AC70" s="40">
        <f t="shared" si="807"/>
        <v>9.065121439950137E-2</v>
      </c>
      <c r="AD70" s="40">
        <f t="shared" si="807"/>
        <v>9.6565693245727405E-2</v>
      </c>
      <c r="AE70" s="40">
        <f t="shared" si="807"/>
        <v>0.10149044466880075</v>
      </c>
      <c r="AF70" s="39"/>
      <c r="AG70" s="39"/>
      <c r="AH70" s="39"/>
      <c r="AI70" s="39"/>
      <c r="AJ70" s="39"/>
      <c r="AK70" s="39"/>
      <c r="AL70" s="39">
        <f t="shared" ref="AL70:BQ70" si="809">(SUM(AI64:AL64)-SUM(AI63:AL63))/AL136</f>
        <v>0.12038483778496827</v>
      </c>
      <c r="AM70" s="39">
        <f t="shared" si="809"/>
        <v>9.5128932950065123E-2</v>
      </c>
      <c r="AN70" s="39">
        <f t="shared" si="809"/>
        <v>9.9567449569470917E-2</v>
      </c>
      <c r="AO70" s="39">
        <f t="shared" si="809"/>
        <v>0.11877268596216366</v>
      </c>
      <c r="AP70" s="39">
        <f t="shared" si="809"/>
        <v>0.12302398698414785</v>
      </c>
      <c r="AQ70" s="39">
        <f t="shared" si="809"/>
        <v>0.1511790116734342</v>
      </c>
      <c r="AR70" s="39">
        <f t="shared" si="809"/>
        <v>0.15177973496763181</v>
      </c>
      <c r="AS70" s="39">
        <f t="shared" si="809"/>
        <v>0.14644085736967438</v>
      </c>
      <c r="AT70" s="39">
        <f t="shared" si="809"/>
        <v>0.16086048514083726</v>
      </c>
      <c r="AU70" s="39">
        <f t="shared" si="809"/>
        <v>0.15066156825923849</v>
      </c>
      <c r="AV70" s="39">
        <f t="shared" si="809"/>
        <v>0.15408355818916106</v>
      </c>
      <c r="AW70" s="39">
        <f t="shared" si="809"/>
        <v>0.14678165121830566</v>
      </c>
      <c r="AX70" s="39">
        <f t="shared" si="809"/>
        <v>0.12705747592570849</v>
      </c>
      <c r="AY70" s="39">
        <f t="shared" si="809"/>
        <v>0.13854839307308553</v>
      </c>
      <c r="AZ70" s="39">
        <f t="shared" si="809"/>
        <v>0.1402676515574465</v>
      </c>
      <c r="BA70" s="39">
        <f t="shared" si="809"/>
        <v>0.14486718201888471</v>
      </c>
      <c r="BB70" s="39">
        <f t="shared" si="809"/>
        <v>0.15615038921920263</v>
      </c>
      <c r="BC70" s="39">
        <f t="shared" si="809"/>
        <v>0.15556974566613022</v>
      </c>
      <c r="BD70" s="39">
        <f t="shared" si="809"/>
        <v>0.15746561081242955</v>
      </c>
      <c r="BE70" s="39">
        <f t="shared" si="809"/>
        <v>0.15846182170915421</v>
      </c>
      <c r="BF70" s="39">
        <f t="shared" si="809"/>
        <v>0.14641722212121758</v>
      </c>
      <c r="BG70" s="39">
        <f t="shared" si="809"/>
        <v>0.13990017436471819</v>
      </c>
      <c r="BH70" s="39">
        <f t="shared" si="809"/>
        <v>0.14931012502056265</v>
      </c>
      <c r="BI70" s="39">
        <f t="shared" si="809"/>
        <v>0.14455819996575586</v>
      </c>
      <c r="BJ70" s="39">
        <f t="shared" si="809"/>
        <v>0.12644313003194649</v>
      </c>
      <c r="BK70" s="39">
        <f t="shared" si="809"/>
        <v>0.12723938463265785</v>
      </c>
      <c r="BL70" s="39">
        <f t="shared" si="809"/>
        <v>0.13513850303834396</v>
      </c>
      <c r="BM70" s="39">
        <f t="shared" si="809"/>
        <v>0.13094554502823236</v>
      </c>
      <c r="BN70" s="39">
        <f t="shared" si="809"/>
        <v>0.13279021356428761</v>
      </c>
      <c r="BO70" s="39">
        <f t="shared" si="809"/>
        <v>0.10118632720068962</v>
      </c>
      <c r="BP70" s="39">
        <f t="shared" si="809"/>
        <v>9.2847742838961744E-2</v>
      </c>
      <c r="BQ70" s="39">
        <f t="shared" si="809"/>
        <v>9.9301923588334201E-2</v>
      </c>
      <c r="BR70" s="39">
        <f t="shared" ref="BR70:CW70" si="810">(SUM(BO64:BR64)-SUM(BO63:BR63))/BR136</f>
        <v>0.10516787327145107</v>
      </c>
      <c r="BS70" s="39">
        <f t="shared" si="810"/>
        <v>0.11061063702921713</v>
      </c>
      <c r="BT70" s="39">
        <f t="shared" si="810"/>
        <v>0.11528026728716406</v>
      </c>
      <c r="BU70" s="39">
        <f t="shared" si="810"/>
        <v>0.10704856357875189</v>
      </c>
      <c r="BV70" s="39">
        <f t="shared" si="810"/>
        <v>9.1660060077533426E-2</v>
      </c>
      <c r="BW70" s="39">
        <f t="shared" si="810"/>
        <v>8.7576937615451003E-2</v>
      </c>
      <c r="BX70" s="39">
        <f t="shared" si="810"/>
        <v>8.7026974820877262E-2</v>
      </c>
      <c r="BY70" s="39">
        <f t="shared" si="810"/>
        <v>7.6195637101423866E-2</v>
      </c>
      <c r="BZ70" s="39">
        <f t="shared" si="810"/>
        <v>6.9483700686161429E-2</v>
      </c>
      <c r="CA70" s="39">
        <f t="shared" si="810"/>
        <v>7.1530953029369196E-2</v>
      </c>
      <c r="CB70" s="39">
        <f t="shared" si="810"/>
        <v>5.8955805020605656E-2</v>
      </c>
      <c r="CC70" s="39">
        <f t="shared" si="810"/>
        <v>4.9169252855363464E-2</v>
      </c>
      <c r="CD70" s="39">
        <f t="shared" si="810"/>
        <v>4.3295249549007847E-2</v>
      </c>
      <c r="CE70" s="39">
        <f t="shared" si="810"/>
        <v>7.4242086980257346E-2</v>
      </c>
      <c r="CF70" s="39">
        <f t="shared" si="810"/>
        <v>8.8276048800687942E-2</v>
      </c>
      <c r="CG70" s="39">
        <f t="shared" si="810"/>
        <v>0.1118109794048415</v>
      </c>
      <c r="CH70" s="39">
        <f t="shared" si="810"/>
        <v>0.12917821364142315</v>
      </c>
      <c r="CI70" s="39">
        <f t="shared" si="810"/>
        <v>9.7329159220945899E-2</v>
      </c>
      <c r="CJ70" s="39">
        <f t="shared" si="810"/>
        <v>8.6026198816452737E-2</v>
      </c>
      <c r="CK70" s="39">
        <f t="shared" si="810"/>
        <v>8.1688085107701522E-2</v>
      </c>
      <c r="CL70" s="39">
        <f t="shared" si="810"/>
        <v>6.3104885190418611E-2</v>
      </c>
      <c r="CM70" s="40">
        <f t="shared" si="810"/>
        <v>6.1860686267140169E-2</v>
      </c>
      <c r="CN70" s="40">
        <f t="shared" si="810"/>
        <v>6.6037457429276275E-2</v>
      </c>
      <c r="CO70" s="40">
        <f t="shared" si="810"/>
        <v>6.4103798182645264E-2</v>
      </c>
      <c r="CP70" s="40">
        <f t="shared" si="810"/>
        <v>7.6822227536597051E-2</v>
      </c>
      <c r="CQ70" s="40">
        <f t="shared" si="810"/>
        <v>8.3969918991796469E-2</v>
      </c>
      <c r="CR70" s="40">
        <f t="shared" si="810"/>
        <v>8.7015199005652064E-2</v>
      </c>
      <c r="CS70" s="40">
        <f t="shared" si="810"/>
        <v>8.8207143935208593E-2</v>
      </c>
      <c r="CT70" s="40">
        <f t="shared" si="810"/>
        <v>9.0651214399501176E-2</v>
      </c>
      <c r="CU70" s="40">
        <f t="shared" si="810"/>
        <v>9.3067812225494331E-2</v>
      </c>
      <c r="CV70" s="40">
        <f t="shared" si="810"/>
        <v>9.4406308216045162E-2</v>
      </c>
      <c r="CW70" s="40">
        <f t="shared" si="810"/>
        <v>9.5374795454751735E-2</v>
      </c>
      <c r="CX70" s="40">
        <f t="shared" ref="CX70:DB70" si="811">(SUM(CU64:CX64)-SUM(CU63:CX63))/CX136</f>
        <v>9.6565693245727766E-2</v>
      </c>
      <c r="CY70" s="40">
        <f t="shared" si="811"/>
        <v>9.8286182506233624E-2</v>
      </c>
      <c r="CZ70" s="40">
        <f t="shared" si="811"/>
        <v>9.9197386071756946E-2</v>
      </c>
      <c r="DA70" s="40">
        <f t="shared" si="811"/>
        <v>0.1000929436190003</v>
      </c>
      <c r="DB70" s="40">
        <f t="shared" si="811"/>
        <v>0.10149044466880061</v>
      </c>
      <c r="DE70" s="122"/>
      <c r="DF70" s="38">
        <v>8.2993053934080532E-2</v>
      </c>
    </row>
    <row r="71" spans="1:110" s="38" customFormat="1" x14ac:dyDescent="0.2">
      <c r="A71" s="38" t="s">
        <v>351</v>
      </c>
      <c r="B71" s="39">
        <f t="shared" ref="B71:AE71" si="812">+B50/B145</f>
        <v>4.3854117091210953E-2</v>
      </c>
      <c r="C71" s="39">
        <f t="shared" si="812"/>
        <v>2.2800340309415641E-2</v>
      </c>
      <c r="D71" s="39">
        <f t="shared" si="812"/>
        <v>5.8191020053755149E-2</v>
      </c>
      <c r="E71" s="39">
        <f t="shared" si="812"/>
        <v>7.8811224043722525E-2</v>
      </c>
      <c r="F71" s="39">
        <f t="shared" si="812"/>
        <v>0.1140968651555986</v>
      </c>
      <c r="G71" s="39">
        <f t="shared" si="812"/>
        <v>0.26952976180931332</v>
      </c>
      <c r="H71" s="39">
        <f t="shared" si="812"/>
        <v>0.2099836026866585</v>
      </c>
      <c r="I71" s="39">
        <f t="shared" si="812"/>
        <v>0.36270894083027166</v>
      </c>
      <c r="J71" s="39">
        <f t="shared" si="812"/>
        <v>0.2655187092920579</v>
      </c>
      <c r="K71" s="39">
        <f t="shared" si="812"/>
        <v>0.38631649871310536</v>
      </c>
      <c r="L71" s="39">
        <f t="shared" si="812"/>
        <v>0.28561002555328224</v>
      </c>
      <c r="M71" s="39">
        <f t="shared" si="812"/>
        <v>0.17587742872649398</v>
      </c>
      <c r="N71" s="39">
        <f t="shared" si="812"/>
        <v>0.11062253301454977</v>
      </c>
      <c r="O71" s="39">
        <f t="shared" si="812"/>
        <v>0.11480431583735669</v>
      </c>
      <c r="P71" s="39">
        <f t="shared" si="812"/>
        <v>0.17051999911614485</v>
      </c>
      <c r="Q71" s="39">
        <f t="shared" si="812"/>
        <v>0.13080717332700759</v>
      </c>
      <c r="R71" s="39">
        <f t="shared" si="812"/>
        <v>0.15471409665495364</v>
      </c>
      <c r="S71" s="39">
        <f t="shared" si="812"/>
        <v>0.15377864504172359</v>
      </c>
      <c r="T71" s="39">
        <f t="shared" si="812"/>
        <v>0.12929122593000394</v>
      </c>
      <c r="U71" s="39">
        <f t="shared" si="812"/>
        <v>0.1442237928791171</v>
      </c>
      <c r="V71" s="39">
        <f t="shared" si="812"/>
        <v>0.1148323459469268</v>
      </c>
      <c r="W71" s="39">
        <f t="shared" si="812"/>
        <v>0.10923002066637616</v>
      </c>
      <c r="X71" s="39">
        <f t="shared" si="812"/>
        <v>8.719755012120109E-2</v>
      </c>
      <c r="Y71" s="39">
        <f t="shared" si="812"/>
        <v>6.4756559553682105E-2</v>
      </c>
      <c r="Z71" s="39">
        <f t="shared" si="812"/>
        <v>0.14241720244205544</v>
      </c>
      <c r="AA71" s="39">
        <f t="shared" ref="AA71" si="813">+AA50/AA145</f>
        <v>7.032835739839377E-2</v>
      </c>
      <c r="AB71" s="40">
        <f t="shared" si="812"/>
        <v>0.12138734984076166</v>
      </c>
      <c r="AC71" s="40">
        <f t="shared" si="812"/>
        <v>0.14189789676298184</v>
      </c>
      <c r="AD71" s="40">
        <f t="shared" si="812"/>
        <v>0.15191877277298627</v>
      </c>
      <c r="AE71" s="40">
        <f t="shared" si="812"/>
        <v>0.16065394762659099</v>
      </c>
      <c r="AF71" s="39"/>
      <c r="AG71" s="39"/>
      <c r="AH71" s="39"/>
      <c r="AI71" s="39"/>
      <c r="AJ71" s="39"/>
      <c r="AK71" s="39"/>
      <c r="AL71" s="39">
        <f t="shared" ref="AL71:BQ71" si="814">+SUM(AI50:AL50)/AL145</f>
        <v>0.1138165136648286</v>
      </c>
      <c r="AM71" s="39">
        <f t="shared" si="814"/>
        <v>8.9671138794072444E-2</v>
      </c>
      <c r="AN71" s="39">
        <f t="shared" si="814"/>
        <v>8.7511137735402714E-2</v>
      </c>
      <c r="AO71" s="39">
        <f t="shared" si="814"/>
        <v>0.10645817975893505</v>
      </c>
      <c r="AP71" s="39">
        <f t="shared" si="814"/>
        <v>0.11486953908102451</v>
      </c>
      <c r="AQ71" s="39">
        <f t="shared" si="814"/>
        <v>0.14611205340541122</v>
      </c>
      <c r="AR71" s="39">
        <f t="shared" si="814"/>
        <v>0.16304720461121427</v>
      </c>
      <c r="AS71" s="39">
        <f t="shared" si="814"/>
        <v>0.15057862906739622</v>
      </c>
      <c r="AT71" s="39">
        <f t="shared" si="814"/>
        <v>0.17055094204839708</v>
      </c>
      <c r="AU71" s="39">
        <f t="shared" si="814"/>
        <v>0.16290120136273975</v>
      </c>
      <c r="AV71" s="39">
        <f t="shared" si="814"/>
        <v>0.15003559297903063</v>
      </c>
      <c r="AW71" s="39">
        <f t="shared" si="814"/>
        <v>0.14638713730230035</v>
      </c>
      <c r="AX71" s="39">
        <f t="shared" si="814"/>
        <v>0.13080543411473661</v>
      </c>
      <c r="AY71" s="39">
        <f t="shared" si="814"/>
        <v>0.14518711747542193</v>
      </c>
      <c r="AZ71" s="39">
        <f t="shared" si="814"/>
        <v>0.1484916201117317</v>
      </c>
      <c r="BA71" s="39">
        <f t="shared" si="814"/>
        <v>0.15494565727592893</v>
      </c>
      <c r="BB71" s="39">
        <f t="shared" si="814"/>
        <v>0.15797985214256374</v>
      </c>
      <c r="BC71" s="39">
        <f t="shared" si="814"/>
        <v>0.15253323654014928</v>
      </c>
      <c r="BD71" s="39">
        <f t="shared" si="814"/>
        <v>0.15574257743884154</v>
      </c>
      <c r="BE71" s="39">
        <f t="shared" si="814"/>
        <v>0.15825343501893568</v>
      </c>
      <c r="BF71" s="39">
        <f t="shared" si="814"/>
        <v>0.15647277434031834</v>
      </c>
      <c r="BG71" s="39">
        <f t="shared" si="814"/>
        <v>0.15794152694245583</v>
      </c>
      <c r="BH71" s="39">
        <f t="shared" si="814"/>
        <v>0.15644272582402249</v>
      </c>
      <c r="BI71" s="39">
        <f t="shared" si="814"/>
        <v>0.15395158010150847</v>
      </c>
      <c r="BJ71" s="39">
        <f t="shared" si="814"/>
        <v>0.13179605282336818</v>
      </c>
      <c r="BK71" s="39">
        <f t="shared" si="814"/>
        <v>0.13708734001215248</v>
      </c>
      <c r="BL71" s="39">
        <f t="shared" si="814"/>
        <v>0.1411719307377178</v>
      </c>
      <c r="BM71" s="39">
        <f t="shared" si="814"/>
        <v>0.13407508962032669</v>
      </c>
      <c r="BN71" s="39">
        <f t="shared" si="814"/>
        <v>0.14438036850404104</v>
      </c>
      <c r="BO71" s="39">
        <f t="shared" si="814"/>
        <v>9.310397122863262E-2</v>
      </c>
      <c r="BP71" s="39">
        <f t="shared" si="814"/>
        <v>8.6879984498968221E-2</v>
      </c>
      <c r="BQ71" s="39">
        <f t="shared" si="814"/>
        <v>9.4278197300771083E-2</v>
      </c>
      <c r="BR71" s="39">
        <f t="shared" ref="BR71:CW71" si="815">+SUM(BO50:BR50)/BR145</f>
        <v>0.11503261785508019</v>
      </c>
      <c r="BS71" s="39">
        <f t="shared" si="815"/>
        <v>0.12514414222649997</v>
      </c>
      <c r="BT71" s="39">
        <f t="shared" si="815"/>
        <v>0.12657880679312664</v>
      </c>
      <c r="BU71" s="39">
        <f t="shared" si="815"/>
        <v>0.12592870636666104</v>
      </c>
      <c r="BV71" s="39">
        <f t="shared" si="815"/>
        <v>0.10955766447933363</v>
      </c>
      <c r="BW71" s="39">
        <f t="shared" si="815"/>
        <v>0.11446630972117181</v>
      </c>
      <c r="BX71" s="39">
        <f t="shared" si="815"/>
        <v>0.10952442857761906</v>
      </c>
      <c r="BY71" s="39">
        <f t="shared" si="815"/>
        <v>9.7888467050170097E-2</v>
      </c>
      <c r="BZ71" s="39">
        <f t="shared" si="815"/>
        <v>8.7197550121200937E-2</v>
      </c>
      <c r="CA71" s="39">
        <f t="shared" si="815"/>
        <v>8.62865404280828E-2</v>
      </c>
      <c r="CB71" s="39">
        <f t="shared" si="815"/>
        <v>8.0564440083592426E-2</v>
      </c>
      <c r="CC71" s="39">
        <f t="shared" si="815"/>
        <v>7.2995212615262983E-2</v>
      </c>
      <c r="CD71" s="39">
        <f t="shared" si="815"/>
        <v>6.5021499744195702E-2</v>
      </c>
      <c r="CE71" s="39">
        <f t="shared" si="815"/>
        <v>9.6107508965117439E-2</v>
      </c>
      <c r="CF71" s="39">
        <f t="shared" si="815"/>
        <v>0.10508319844972519</v>
      </c>
      <c r="CG71" s="39">
        <f t="shared" si="815"/>
        <v>0.12571194472435721</v>
      </c>
      <c r="CH71" s="39">
        <f t="shared" si="815"/>
        <v>0.14241720244205511</v>
      </c>
      <c r="CI71" s="39">
        <f t="shared" si="815"/>
        <v>0.10658584369689529</v>
      </c>
      <c r="CJ71" s="39">
        <f t="shared" si="815"/>
        <v>8.6730364986694217E-2</v>
      </c>
      <c r="CK71" s="39">
        <f t="shared" si="815"/>
        <v>8.3047753219783665E-2</v>
      </c>
      <c r="CL71" s="39">
        <f t="shared" si="815"/>
        <v>7.6410809930146692E-2</v>
      </c>
      <c r="CM71" s="40">
        <f t="shared" si="815"/>
        <v>8.5133864690438335E-2</v>
      </c>
      <c r="CN71" s="40">
        <f t="shared" si="815"/>
        <v>9.6728835744889496E-2</v>
      </c>
      <c r="CO71" s="40">
        <f t="shared" si="815"/>
        <v>0.10305803105465612</v>
      </c>
      <c r="CP71" s="40">
        <f t="shared" si="815"/>
        <v>0.12138734984076145</v>
      </c>
      <c r="CQ71" s="40">
        <f t="shared" si="815"/>
        <v>0.12975079313032872</v>
      </c>
      <c r="CR71" s="40">
        <f t="shared" si="815"/>
        <v>0.13440553178331324</v>
      </c>
      <c r="CS71" s="40">
        <f t="shared" si="815"/>
        <v>0.138127685235824</v>
      </c>
      <c r="CT71" s="40">
        <f t="shared" si="815"/>
        <v>0.14189789676298167</v>
      </c>
      <c r="CU71" s="40">
        <f t="shared" si="815"/>
        <v>0.14511953277420941</v>
      </c>
      <c r="CV71" s="40">
        <f t="shared" si="815"/>
        <v>0.14751065181888931</v>
      </c>
      <c r="CW71" s="40">
        <f t="shared" si="815"/>
        <v>0.14990426642137275</v>
      </c>
      <c r="CX71" s="40">
        <f t="shared" ref="CX71:DB71" si="816">+SUM(CU50:CX50)/CX145</f>
        <v>0.1519187727729866</v>
      </c>
      <c r="CY71" s="40">
        <f t="shared" si="816"/>
        <v>0.15421933702371443</v>
      </c>
      <c r="CZ71" s="40">
        <f t="shared" si="816"/>
        <v>0.15606401076353515</v>
      </c>
      <c r="DA71" s="40">
        <f t="shared" si="816"/>
        <v>0.15836514304758256</v>
      </c>
      <c r="DB71" s="40">
        <f t="shared" si="816"/>
        <v>0.16065394762659091</v>
      </c>
      <c r="DE71" s="122"/>
      <c r="DF71" s="38">
        <v>8.3495885323759303E-2</v>
      </c>
    </row>
    <row r="72" spans="1:110" s="1" customFormat="1" x14ac:dyDescent="0.2">
      <c r="A72" s="150" t="s">
        <v>488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8" customFormat="1" x14ac:dyDescent="0.2">
      <c r="A73" s="12" t="s">
        <v>26</v>
      </c>
      <c r="AB73" s="58"/>
      <c r="AC73" s="58"/>
      <c r="AD73" s="58"/>
      <c r="AE73" s="58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</row>
    <row r="74" spans="1:110" s="9" customFormat="1" x14ac:dyDescent="0.2">
      <c r="A74" s="9" t="s">
        <v>453</v>
      </c>
      <c r="N74" s="9">
        <f>N26-SUM(AI26:AL26)</f>
        <v>9.999999929277692E-5</v>
      </c>
      <c r="O74" s="9">
        <f>O26-SUM(AM26:AP26)</f>
        <v>4.8999999999068677E-3</v>
      </c>
      <c r="P74" s="9">
        <f>P26-SUM(AQ26:AT26)</f>
        <v>-3.4000000005107722E-3</v>
      </c>
      <c r="Q74" s="9">
        <f>Q26-SUM(AU26:AX26)</f>
        <v>-4.899999998997373E-3</v>
      </c>
      <c r="R74" s="9">
        <f>R26-SUM(AY26:BB26)</f>
        <v>0</v>
      </c>
      <c r="S74" s="9">
        <f>S26-SUM(BC26:BF26)</f>
        <v>0</v>
      </c>
      <c r="T74" s="9">
        <f>T26-SUM(BG26:BJ26)</f>
        <v>0</v>
      </c>
      <c r="U74" s="9">
        <f>U26-SUM(BK26:BN26)</f>
        <v>0</v>
      </c>
      <c r="V74" s="9">
        <f>V26-SUM(BO26:BR26)</f>
        <v>0</v>
      </c>
      <c r="W74" s="9">
        <f>W26-SUM(BS26:BV26)</f>
        <v>0</v>
      </c>
      <c r="X74" s="9">
        <f>X26-SUM(BW26:BZ26)</f>
        <v>0</v>
      </c>
      <c r="Y74" s="9">
        <f>Y26-SUM(CA26:CD26)</f>
        <v>0</v>
      </c>
      <c r="Z74" s="9">
        <f>Z26-SUM(CE26:CH26)</f>
        <v>-9.9999999983992893E-3</v>
      </c>
      <c r="AA74" s="9">
        <f>AA26-SUM(CF26:CI26)</f>
        <v>-185.86000000000058</v>
      </c>
      <c r="AB74" s="15">
        <f>AB26-SUM(CM26:CP26)</f>
        <v>0</v>
      </c>
      <c r="AC74" s="15">
        <f>AC26-SUM(CQ26:CT26)</f>
        <v>0</v>
      </c>
      <c r="AD74" s="15">
        <f>AD26-SUM(CU26:CX26)</f>
        <v>0</v>
      </c>
      <c r="AE74" s="15">
        <f>AE26-SUM(CY26:DB26)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454</v>
      </c>
      <c r="N75" s="9">
        <f>N32-SUM(AI32:AL32)</f>
        <v>5.4999999995288817E-3</v>
      </c>
      <c r="O75" s="9">
        <f>O32-SUM(AM32:AP32)</f>
        <v>-3.2000000003336027E-3</v>
      </c>
      <c r="P75" s="9">
        <f>P32-SUM(AQ32:AT32)</f>
        <v>1.9999999949504854E-4</v>
      </c>
      <c r="Q75" s="9">
        <f>Q32-SUM(AU32:AX32)</f>
        <v>-8.8999999995849066E-3</v>
      </c>
      <c r="R75" s="9">
        <f>R32-SUM(AY32:BB32)</f>
        <v>0</v>
      </c>
      <c r="S75" s="9">
        <f>S32-SUM(BC32:BF32)</f>
        <v>0</v>
      </c>
      <c r="T75" s="9">
        <f>T32-SUM(BG32:BJ32)</f>
        <v>0</v>
      </c>
      <c r="U75" s="9">
        <f>U32-SUM(BK32:BN32)</f>
        <v>0</v>
      </c>
      <c r="V75" s="9">
        <f>V32-SUM(BO32:BR32)</f>
        <v>0</v>
      </c>
      <c r="W75" s="9">
        <f>W32-SUM(BS32:BV32)</f>
        <v>0</v>
      </c>
      <c r="X75" s="9">
        <f>X32-SUM(BW32:BZ32)</f>
        <v>0</v>
      </c>
      <c r="Y75" s="9">
        <f>Y32-SUM(CA32:CD32)</f>
        <v>0</v>
      </c>
      <c r="Z75" s="9">
        <f>Z32-SUM(CE32:CH32)</f>
        <v>-9.999999997944542E-3</v>
      </c>
      <c r="AA75" s="9">
        <f>AA32-SUM(CF32:CI32)</f>
        <v>-107.89000000000078</v>
      </c>
      <c r="AB75" s="15">
        <f>AB32-SUM(CM32:CP32)</f>
        <v>0</v>
      </c>
      <c r="AC75" s="15">
        <f>AC32-SUM(CQ32:CT32)</f>
        <v>0</v>
      </c>
      <c r="AD75" s="15">
        <f>AD32-SUM(CU32:CX32)</f>
        <v>0</v>
      </c>
      <c r="AE75" s="15">
        <f>AE32-SUM(CY32:DB32)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455</v>
      </c>
      <c r="N76" s="9">
        <f>N44-SUM(AI44:AL44)</f>
        <v>-5.9291000000003464</v>
      </c>
      <c r="O76" s="9">
        <f>O44-SUM(AM44:AP44)</f>
        <v>1.5999999996552106E-3</v>
      </c>
      <c r="P76" s="9">
        <f>P44-SUM(AQ44:AT44)</f>
        <v>-2.2000000002435627E-3</v>
      </c>
      <c r="Q76" s="9">
        <f>Q44-SUM(AU44:AX44)</f>
        <v>1.600000000394175E-3</v>
      </c>
      <c r="R76" s="9">
        <f>R44-SUM(AY44:BB44)</f>
        <v>-11.450000000000045</v>
      </c>
      <c r="S76" s="9">
        <f>S44-SUM(BC44:BF44)</f>
        <v>-10.989999999999554</v>
      </c>
      <c r="T76" s="9">
        <f>T44-SUM(BG44:BJ44)</f>
        <v>-11.169999999999618</v>
      </c>
      <c r="U76" s="9">
        <f>U44-SUM(BK44:BN44)</f>
        <v>-0.70999999999889951</v>
      </c>
      <c r="V76" s="9">
        <f>V44-SUM(BO44:BR44)</f>
        <v>0</v>
      </c>
      <c r="W76" s="9">
        <f>W44-SUM(BS44:BV44)</f>
        <v>0</v>
      </c>
      <c r="X76" s="9">
        <f>X44-SUM(BW44:BZ44)</f>
        <v>9.0949470177292824E-13</v>
      </c>
      <c r="Y76" s="9">
        <f>Y44-SUM(CA44:CD44)</f>
        <v>-1.7400000000018281</v>
      </c>
      <c r="Z76" s="9">
        <f>Z44-SUM(CE44:CH44)</f>
        <v>2.2737367544323206E-12</v>
      </c>
      <c r="AA76" s="9">
        <f>AA44-SUM(CF44:CI44)</f>
        <v>-268.81000000000051</v>
      </c>
      <c r="AB76" s="15">
        <f>AB44-SUM(CM44:CP44)</f>
        <v>0</v>
      </c>
      <c r="AC76" s="15">
        <f>AC44-SUM(CQ44:CT44)</f>
        <v>0</v>
      </c>
      <c r="AD76" s="15">
        <f>AD44-SUM(CU44:CX44)</f>
        <v>-2.7284841053187847E-12</v>
      </c>
      <c r="AE76" s="15">
        <f>AE44-SUM(CY44:DB44)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456</v>
      </c>
      <c r="N77" s="9">
        <f>N64-SUM(AI64:AL64)</f>
        <v>7.9176999999996269</v>
      </c>
      <c r="O77" s="9">
        <f>O64-SUM(AM64:AP64)</f>
        <v>-2.9000000003804871E-3</v>
      </c>
      <c r="P77" s="9">
        <f>P64-SUM(AQ64:AT64)</f>
        <v>6.8999999998027306E-3</v>
      </c>
      <c r="Q77" s="9">
        <f>Q64-SUM(AU64:AX64)</f>
        <v>0.98320000000035179</v>
      </c>
      <c r="R77" s="9">
        <f>R64-SUM(AY64:BB64)</f>
        <v>0</v>
      </c>
      <c r="S77" s="9">
        <f>S64-SUM(BC64:BF64)</f>
        <v>0</v>
      </c>
      <c r="T77" s="9">
        <f>T64-SUM(BG64:BJ64)</f>
        <v>0</v>
      </c>
      <c r="U77" s="9">
        <f>U64-SUM(BK64:BN64)</f>
        <v>9.0949470177292824E-13</v>
      </c>
      <c r="V77" s="9">
        <f>V64-SUM(BO64:BR64)</f>
        <v>0</v>
      </c>
      <c r="W77" s="9">
        <f>W57-SUM(BS57:BV57)</f>
        <v>0</v>
      </c>
      <c r="X77" s="9">
        <f>X57-SUM(BW57:BZ57)</f>
        <v>8.5265128291212022E-13</v>
      </c>
      <c r="Y77" s="9">
        <f>Y57-SUM(CA57:CD57)</f>
        <v>-1.8758328224066645E-12</v>
      </c>
      <c r="Z77" s="9">
        <f>Z57-SUM(CE57:CH57)</f>
        <v>2.5011104298755527E-12</v>
      </c>
      <c r="AA77" s="9">
        <f>AA57-SUM(CF57:CI57)</f>
        <v>-235.36000000000047</v>
      </c>
      <c r="AB77" s="15">
        <f>AB57-SUM(CM57:CP57)</f>
        <v>1.5916157281026244E-12</v>
      </c>
      <c r="AC77" s="15">
        <f>AC57-SUM(CQ57:CT57)</f>
        <v>1.4779288903810084E-12</v>
      </c>
      <c r="AD77" s="15">
        <f>AD57-SUM(CU57:CX57)</f>
        <v>-2.9558577807620168E-12</v>
      </c>
      <c r="AE77" s="15">
        <f>AE57-SUM(CY57:DB57)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8" customFormat="1" x14ac:dyDescent="0.2">
      <c r="A78" s="149" t="s">
        <v>489</v>
      </c>
      <c r="AB78" s="58"/>
      <c r="AC78" s="58"/>
      <c r="AD78" s="58"/>
      <c r="AE78" s="58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E78" s="132"/>
    </row>
    <row r="79" spans="1:110" s="3" customFormat="1" x14ac:dyDescent="0.2">
      <c r="A79" s="3" t="s">
        <v>27</v>
      </c>
      <c r="B79" s="3">
        <f>'Annual Raw'!C104</f>
        <v>33.053899999999999</v>
      </c>
      <c r="C79" s="3">
        <f>'Annual Raw'!D104</f>
        <v>33.053899999999999</v>
      </c>
      <c r="D79" s="3">
        <f>'Annual Raw'!E104</f>
        <v>33.053899999999999</v>
      </c>
      <c r="E79" s="3">
        <f t="shared" ref="E79:Y79" ca="1" si="817">+F79</f>
        <v>0</v>
      </c>
      <c r="F79" s="3">
        <f t="shared" ca="1" si="817"/>
        <v>0</v>
      </c>
      <c r="G79" s="3">
        <f t="shared" ca="1" si="817"/>
        <v>0</v>
      </c>
      <c r="H79" s="3">
        <f t="shared" ca="1" si="817"/>
        <v>0</v>
      </c>
      <c r="I79" s="3">
        <f t="shared" ca="1" si="817"/>
        <v>0</v>
      </c>
      <c r="J79" s="3">
        <f t="shared" ca="1" si="817"/>
        <v>0</v>
      </c>
      <c r="K79" s="3">
        <f t="shared" ca="1" si="817"/>
        <v>0</v>
      </c>
      <c r="L79" s="3">
        <f t="shared" ca="1" si="817"/>
        <v>0</v>
      </c>
      <c r="M79" s="3">
        <f t="shared" ca="1" si="817"/>
        <v>0</v>
      </c>
      <c r="N79" s="3">
        <f t="shared" ca="1" si="817"/>
        <v>0</v>
      </c>
      <c r="O79" s="3">
        <f t="shared" ca="1" si="817"/>
        <v>0</v>
      </c>
      <c r="P79" s="3">
        <f t="shared" ca="1" si="817"/>
        <v>0</v>
      </c>
      <c r="Q79" s="3">
        <f t="shared" ca="1" si="817"/>
        <v>0</v>
      </c>
      <c r="R79" s="3">
        <f t="shared" ca="1" si="817"/>
        <v>0</v>
      </c>
      <c r="S79" s="3">
        <f t="shared" ca="1" si="817"/>
        <v>0</v>
      </c>
      <c r="T79" s="3">
        <f t="shared" ca="1" si="817"/>
        <v>0</v>
      </c>
      <c r="U79" s="3">
        <f t="shared" ca="1" si="817"/>
        <v>0</v>
      </c>
      <c r="V79" s="3">
        <f t="shared" ca="1" si="817"/>
        <v>0</v>
      </c>
      <c r="W79" s="3">
        <f t="shared" ca="1" si="817"/>
        <v>0</v>
      </c>
      <c r="X79" s="3">
        <f t="shared" ca="1" si="817"/>
        <v>0</v>
      </c>
      <c r="Y79" s="3">
        <f t="shared" ca="1" si="817"/>
        <v>0</v>
      </c>
      <c r="Z79" s="3">
        <f ca="1">+AA79</f>
        <v>0</v>
      </c>
      <c r="AA79" s="3">
        <f ca="1">+AB79</f>
        <v>0</v>
      </c>
      <c r="AB79" s="37">
        <f t="shared" ref="AB79:AB80" ca="1" si="818">AA79</f>
        <v>0</v>
      </c>
      <c r="AC79" s="37">
        <f t="shared" ref="AC79:AC80" ca="1" si="819">AB79</f>
        <v>0</v>
      </c>
      <c r="AD79" s="37">
        <f t="shared" ref="AD79:AD80" ca="1" si="820">AC79</f>
        <v>0</v>
      </c>
      <c r="AE79" s="37">
        <f t="shared" ref="AE79:AE80" ca="1" si="821">AD79</f>
        <v>0</v>
      </c>
      <c r="AI79" s="3">
        <f t="shared" ref="AI79:CH79" si="822">+AJ79</f>
        <v>33.08</v>
      </c>
      <c r="AJ79" s="3">
        <f t="shared" si="822"/>
        <v>33.08</v>
      </c>
      <c r="AK79" s="3">
        <f t="shared" si="822"/>
        <v>33.08</v>
      </c>
      <c r="AL79" s="3">
        <f t="shared" si="822"/>
        <v>33.08</v>
      </c>
      <c r="AM79" s="3">
        <f t="shared" si="822"/>
        <v>33.08</v>
      </c>
      <c r="AN79" s="3">
        <f t="shared" si="822"/>
        <v>33.08</v>
      </c>
      <c r="AO79" s="3">
        <f t="shared" si="822"/>
        <v>33.08</v>
      </c>
      <c r="AP79" s="3">
        <f t="shared" si="822"/>
        <v>33.08</v>
      </c>
      <c r="AQ79" s="3">
        <f t="shared" si="822"/>
        <v>33.08</v>
      </c>
      <c r="AR79" s="3">
        <f t="shared" si="822"/>
        <v>33.08</v>
      </c>
      <c r="AS79" s="3">
        <f t="shared" si="822"/>
        <v>33.08</v>
      </c>
      <c r="AT79" s="3">
        <f t="shared" si="822"/>
        <v>33.08</v>
      </c>
      <c r="AU79" s="3">
        <f t="shared" si="822"/>
        <v>33.08</v>
      </c>
      <c r="AV79" s="3">
        <f t="shared" si="822"/>
        <v>33.08</v>
      </c>
      <c r="AW79" s="3">
        <f t="shared" si="822"/>
        <v>33.08</v>
      </c>
      <c r="AX79" s="3">
        <f t="shared" si="822"/>
        <v>33.08</v>
      </c>
      <c r="AY79" s="3">
        <f t="shared" si="822"/>
        <v>33.08</v>
      </c>
      <c r="AZ79" s="3">
        <f t="shared" si="822"/>
        <v>33.08</v>
      </c>
      <c r="BA79" s="3">
        <f t="shared" si="822"/>
        <v>33.08</v>
      </c>
      <c r="BB79" s="3">
        <f t="shared" si="822"/>
        <v>33.08</v>
      </c>
      <c r="BC79" s="3">
        <f t="shared" si="822"/>
        <v>33.08</v>
      </c>
      <c r="BD79" s="3">
        <f t="shared" si="822"/>
        <v>33.08</v>
      </c>
      <c r="BE79" s="3">
        <f t="shared" si="822"/>
        <v>33.08</v>
      </c>
      <c r="BF79" s="3">
        <f t="shared" si="822"/>
        <v>33.08</v>
      </c>
      <c r="BG79" s="3">
        <f t="shared" si="822"/>
        <v>33.08</v>
      </c>
      <c r="BH79" s="3">
        <f t="shared" si="822"/>
        <v>33.08</v>
      </c>
      <c r="BI79" s="3">
        <f t="shared" si="822"/>
        <v>33.08</v>
      </c>
      <c r="BJ79" s="3">
        <f t="shared" si="822"/>
        <v>33.08</v>
      </c>
      <c r="BK79" s="3">
        <f t="shared" si="822"/>
        <v>33.08</v>
      </c>
      <c r="BL79" s="3">
        <f t="shared" si="822"/>
        <v>33.08</v>
      </c>
      <c r="BM79" s="3">
        <f t="shared" si="822"/>
        <v>33.08</v>
      </c>
      <c r="BN79" s="3">
        <f t="shared" si="822"/>
        <v>33.08</v>
      </c>
      <c r="BO79" s="3">
        <f t="shared" si="822"/>
        <v>33.08</v>
      </c>
      <c r="BP79" s="3">
        <f t="shared" si="822"/>
        <v>33.08</v>
      </c>
      <c r="BQ79" s="3">
        <f t="shared" si="822"/>
        <v>33.08</v>
      </c>
      <c r="BR79" s="3">
        <f t="shared" si="822"/>
        <v>33.08</v>
      </c>
      <c r="BS79" s="3">
        <f t="shared" si="822"/>
        <v>33.08</v>
      </c>
      <c r="BT79" s="3">
        <f t="shared" si="822"/>
        <v>33.08</v>
      </c>
      <c r="BU79" s="3">
        <f t="shared" si="822"/>
        <v>33.08</v>
      </c>
      <c r="BV79" s="3">
        <f t="shared" si="822"/>
        <v>33.08</v>
      </c>
      <c r="BW79" s="3">
        <f t="shared" si="822"/>
        <v>33.08</v>
      </c>
      <c r="BX79" s="3">
        <f t="shared" si="822"/>
        <v>33.08</v>
      </c>
      <c r="BY79" s="3">
        <f t="shared" si="822"/>
        <v>33.08</v>
      </c>
      <c r="BZ79" s="3">
        <f t="shared" si="822"/>
        <v>33.08</v>
      </c>
      <c r="CA79" s="3">
        <f t="shared" si="822"/>
        <v>33.08</v>
      </c>
      <c r="CB79" s="3">
        <f t="shared" si="822"/>
        <v>33.08</v>
      </c>
      <c r="CC79" s="3">
        <f t="shared" si="822"/>
        <v>33.08</v>
      </c>
      <c r="CD79" s="3">
        <f t="shared" si="822"/>
        <v>33.08</v>
      </c>
      <c r="CE79" s="3">
        <f t="shared" si="822"/>
        <v>33.08</v>
      </c>
      <c r="CF79" s="3">
        <f t="shared" si="822"/>
        <v>33.08</v>
      </c>
      <c r="CG79" s="3">
        <f t="shared" si="822"/>
        <v>33.08</v>
      </c>
      <c r="CH79" s="3">
        <f t="shared" si="822"/>
        <v>33.08</v>
      </c>
      <c r="CI79" s="3">
        <f>+CJ79</f>
        <v>33.08</v>
      </c>
      <c r="CJ79" s="3">
        <f>'QTR Raw'!BD45</f>
        <v>33.08</v>
      </c>
      <c r="CK79" s="3">
        <f>'QTR Raw'!BE45</f>
        <v>33.08</v>
      </c>
      <c r="CL79" s="3">
        <f>'QTR Raw'!BF45</f>
        <v>33.08</v>
      </c>
      <c r="CM79" s="37">
        <f t="shared" ref="CM79:CM80" si="823">+CL79</f>
        <v>33.08</v>
      </c>
      <c r="CN79" s="37">
        <f t="shared" ref="CN79:CN80" si="824">+CM79</f>
        <v>33.08</v>
      </c>
      <c r="CO79" s="37">
        <f t="shared" ref="CO79:CO80" si="825">+CN79</f>
        <v>33.08</v>
      </c>
      <c r="CP79" s="37">
        <f t="shared" ref="CP79:CP80" si="826">+CO79</f>
        <v>33.08</v>
      </c>
      <c r="CQ79" s="37">
        <f t="shared" ref="CQ79:CQ80" si="827">+CP79</f>
        <v>33.08</v>
      </c>
      <c r="CR79" s="37">
        <f t="shared" ref="CR79:CR80" si="828">+CQ79</f>
        <v>33.08</v>
      </c>
      <c r="CS79" s="37">
        <f t="shared" ref="CS79:CS80" si="829">+CR79</f>
        <v>33.08</v>
      </c>
      <c r="CT79" s="37">
        <f t="shared" ref="CT79:CT80" si="830">+CS79</f>
        <v>33.08</v>
      </c>
      <c r="CU79" s="37">
        <f t="shared" ref="CU79:CU80" si="831">+CT79</f>
        <v>33.08</v>
      </c>
      <c r="CV79" s="37">
        <f t="shared" ref="CV79:CV80" si="832">+CU79</f>
        <v>33.08</v>
      </c>
      <c r="CW79" s="37">
        <f t="shared" ref="CW79:CW80" si="833">+CV79</f>
        <v>33.08</v>
      </c>
      <c r="CX79" s="37">
        <f t="shared" ref="CX79:CX80" si="834">+CW79</f>
        <v>33.08</v>
      </c>
      <c r="CY79" s="37">
        <f t="shared" ref="CY79:CY80" si="835">+CX79</f>
        <v>33.08</v>
      </c>
      <c r="CZ79" s="37">
        <f t="shared" ref="CZ79:CZ80" si="836">+CY79</f>
        <v>33.08</v>
      </c>
      <c r="DA79" s="37">
        <f t="shared" ref="DA79:DA80" si="837">+CZ79</f>
        <v>33.08</v>
      </c>
      <c r="DB79" s="37">
        <f t="shared" ref="DB79:DB80" si="838">+DA79</f>
        <v>33.08</v>
      </c>
      <c r="DE79" s="134"/>
      <c r="DF79" s="3">
        <v>33.08</v>
      </c>
    </row>
    <row r="80" spans="1:110" s="3" customFormat="1" x14ac:dyDescent="0.2">
      <c r="A80" s="3" t="s">
        <v>28</v>
      </c>
      <c r="B80" s="3">
        <f>'Annual Raw'!C105</f>
        <v>10</v>
      </c>
      <c r="C80" s="3">
        <f>'Annual Raw'!D105</f>
        <v>10</v>
      </c>
      <c r="D80" s="3">
        <f>'Annual Raw'!E105</f>
        <v>10</v>
      </c>
      <c r="E80" s="3">
        <f t="shared" ref="E80:Y80" ca="1" si="839">+F80</f>
        <v>0</v>
      </c>
      <c r="F80" s="3">
        <f t="shared" ca="1" si="839"/>
        <v>0</v>
      </c>
      <c r="G80" s="3">
        <f t="shared" ca="1" si="839"/>
        <v>0</v>
      </c>
      <c r="H80" s="3">
        <f t="shared" ca="1" si="839"/>
        <v>0</v>
      </c>
      <c r="I80" s="3">
        <f t="shared" ca="1" si="839"/>
        <v>0</v>
      </c>
      <c r="J80" s="3">
        <f t="shared" ca="1" si="839"/>
        <v>0</v>
      </c>
      <c r="K80" s="3">
        <f t="shared" ca="1" si="839"/>
        <v>0</v>
      </c>
      <c r="L80" s="3">
        <f t="shared" ca="1" si="839"/>
        <v>0</v>
      </c>
      <c r="M80" s="3">
        <f t="shared" ca="1" si="839"/>
        <v>0</v>
      </c>
      <c r="N80" s="3">
        <f t="shared" ca="1" si="839"/>
        <v>0</v>
      </c>
      <c r="O80" s="3">
        <f t="shared" ca="1" si="839"/>
        <v>0</v>
      </c>
      <c r="P80" s="3">
        <f t="shared" ca="1" si="839"/>
        <v>0</v>
      </c>
      <c r="Q80" s="3">
        <f t="shared" ca="1" si="839"/>
        <v>0</v>
      </c>
      <c r="R80" s="3">
        <f t="shared" ca="1" si="839"/>
        <v>0</v>
      </c>
      <c r="S80" s="3">
        <f t="shared" ca="1" si="839"/>
        <v>0</v>
      </c>
      <c r="T80" s="3">
        <f t="shared" ca="1" si="839"/>
        <v>0</v>
      </c>
      <c r="U80" s="3">
        <f t="shared" ca="1" si="839"/>
        <v>0</v>
      </c>
      <c r="V80" s="3">
        <f t="shared" ca="1" si="839"/>
        <v>0</v>
      </c>
      <c r="W80" s="3">
        <f t="shared" ca="1" si="839"/>
        <v>0</v>
      </c>
      <c r="X80" s="3">
        <f t="shared" ca="1" si="839"/>
        <v>0</v>
      </c>
      <c r="Y80" s="3">
        <f t="shared" ca="1" si="839"/>
        <v>0</v>
      </c>
      <c r="Z80" s="3">
        <f ca="1">+AA80</f>
        <v>0</v>
      </c>
      <c r="AA80" s="3">
        <f ca="1">+AB80</f>
        <v>0</v>
      </c>
      <c r="AB80" s="37">
        <f t="shared" ca="1" si="818"/>
        <v>0</v>
      </c>
      <c r="AC80" s="37">
        <f t="shared" ca="1" si="819"/>
        <v>0</v>
      </c>
      <c r="AD80" s="37">
        <f t="shared" ca="1" si="820"/>
        <v>0</v>
      </c>
      <c r="AE80" s="37">
        <f t="shared" ca="1" si="821"/>
        <v>0</v>
      </c>
      <c r="AI80" s="3">
        <f t="shared" ref="AI80:CH80" si="840">AJ80</f>
        <v>1</v>
      </c>
      <c r="AJ80" s="3">
        <f t="shared" si="840"/>
        <v>1</v>
      </c>
      <c r="AK80" s="3">
        <f t="shared" si="840"/>
        <v>1</v>
      </c>
      <c r="AL80" s="3">
        <f t="shared" si="840"/>
        <v>1</v>
      </c>
      <c r="AM80" s="3">
        <f t="shared" si="840"/>
        <v>1</v>
      </c>
      <c r="AN80" s="3">
        <f t="shared" si="840"/>
        <v>1</v>
      </c>
      <c r="AO80" s="3">
        <f t="shared" si="840"/>
        <v>1</v>
      </c>
      <c r="AP80" s="3">
        <f t="shared" si="840"/>
        <v>1</v>
      </c>
      <c r="AQ80" s="3">
        <f t="shared" si="840"/>
        <v>1</v>
      </c>
      <c r="AR80" s="3">
        <f t="shared" si="840"/>
        <v>1</v>
      </c>
      <c r="AS80" s="3">
        <f t="shared" si="840"/>
        <v>1</v>
      </c>
      <c r="AT80" s="3">
        <f t="shared" si="840"/>
        <v>1</v>
      </c>
      <c r="AU80" s="3">
        <f t="shared" si="840"/>
        <v>1</v>
      </c>
      <c r="AV80" s="3">
        <f t="shared" si="840"/>
        <v>1</v>
      </c>
      <c r="AW80" s="3">
        <f t="shared" si="840"/>
        <v>1</v>
      </c>
      <c r="AX80" s="3">
        <f t="shared" si="840"/>
        <v>1</v>
      </c>
      <c r="AY80" s="3">
        <f t="shared" si="840"/>
        <v>1</v>
      </c>
      <c r="AZ80" s="3">
        <f t="shared" si="840"/>
        <v>1</v>
      </c>
      <c r="BA80" s="3">
        <f t="shared" si="840"/>
        <v>1</v>
      </c>
      <c r="BB80" s="3">
        <f t="shared" si="840"/>
        <v>1</v>
      </c>
      <c r="BC80" s="3">
        <f t="shared" si="840"/>
        <v>1</v>
      </c>
      <c r="BD80" s="3">
        <f t="shared" si="840"/>
        <v>1</v>
      </c>
      <c r="BE80" s="3">
        <f t="shared" si="840"/>
        <v>1</v>
      </c>
      <c r="BF80" s="3">
        <f t="shared" si="840"/>
        <v>1</v>
      </c>
      <c r="BG80" s="3">
        <f t="shared" si="840"/>
        <v>1</v>
      </c>
      <c r="BH80" s="3">
        <f t="shared" si="840"/>
        <v>1</v>
      </c>
      <c r="BI80" s="3">
        <f t="shared" si="840"/>
        <v>1</v>
      </c>
      <c r="BJ80" s="3">
        <f t="shared" si="840"/>
        <v>1</v>
      </c>
      <c r="BK80" s="3">
        <f t="shared" si="840"/>
        <v>1</v>
      </c>
      <c r="BL80" s="3">
        <f t="shared" si="840"/>
        <v>1</v>
      </c>
      <c r="BM80" s="3">
        <f t="shared" si="840"/>
        <v>1</v>
      </c>
      <c r="BN80" s="3">
        <f t="shared" si="840"/>
        <v>1</v>
      </c>
      <c r="BO80" s="3">
        <f t="shared" si="840"/>
        <v>1</v>
      </c>
      <c r="BP80" s="3">
        <f t="shared" si="840"/>
        <v>1</v>
      </c>
      <c r="BQ80" s="3">
        <f t="shared" si="840"/>
        <v>1</v>
      </c>
      <c r="BR80" s="3">
        <f t="shared" si="840"/>
        <v>1</v>
      </c>
      <c r="BS80" s="3">
        <f t="shared" si="840"/>
        <v>1</v>
      </c>
      <c r="BT80" s="3">
        <f t="shared" si="840"/>
        <v>1</v>
      </c>
      <c r="BU80" s="3">
        <f t="shared" si="840"/>
        <v>1</v>
      </c>
      <c r="BV80" s="3">
        <f t="shared" si="840"/>
        <v>1</v>
      </c>
      <c r="BW80" s="3">
        <f t="shared" si="840"/>
        <v>1</v>
      </c>
      <c r="BX80" s="3">
        <f t="shared" si="840"/>
        <v>1</v>
      </c>
      <c r="BY80" s="3">
        <f t="shared" si="840"/>
        <v>1</v>
      </c>
      <c r="BZ80" s="3">
        <f t="shared" si="840"/>
        <v>1</v>
      </c>
      <c r="CA80" s="3">
        <f t="shared" si="840"/>
        <v>1</v>
      </c>
      <c r="CB80" s="3">
        <f t="shared" si="840"/>
        <v>1</v>
      </c>
      <c r="CC80" s="3">
        <f t="shared" si="840"/>
        <v>1</v>
      </c>
      <c r="CD80" s="3">
        <f t="shared" si="840"/>
        <v>1</v>
      </c>
      <c r="CE80" s="3">
        <f t="shared" si="840"/>
        <v>1</v>
      </c>
      <c r="CF80" s="3">
        <f t="shared" si="840"/>
        <v>1</v>
      </c>
      <c r="CG80" s="3">
        <f t="shared" si="840"/>
        <v>1</v>
      </c>
      <c r="CH80" s="3">
        <f t="shared" si="840"/>
        <v>1</v>
      </c>
      <c r="CI80" s="3">
        <f>CJ80</f>
        <v>1</v>
      </c>
      <c r="CJ80" s="3">
        <f>'QTR Raw'!BD46</f>
        <v>1</v>
      </c>
      <c r="CK80" s="3">
        <f>'QTR Raw'!BE46</f>
        <v>1</v>
      </c>
      <c r="CL80" s="3">
        <f>'QTR Raw'!BF46</f>
        <v>1</v>
      </c>
      <c r="CM80" s="37">
        <f t="shared" si="823"/>
        <v>1</v>
      </c>
      <c r="CN80" s="37">
        <f t="shared" si="824"/>
        <v>1</v>
      </c>
      <c r="CO80" s="37">
        <f t="shared" si="825"/>
        <v>1</v>
      </c>
      <c r="CP80" s="37">
        <f t="shared" si="826"/>
        <v>1</v>
      </c>
      <c r="CQ80" s="37">
        <f t="shared" si="827"/>
        <v>1</v>
      </c>
      <c r="CR80" s="37">
        <f t="shared" si="828"/>
        <v>1</v>
      </c>
      <c r="CS80" s="37">
        <f t="shared" si="829"/>
        <v>1</v>
      </c>
      <c r="CT80" s="37">
        <f t="shared" si="830"/>
        <v>1</v>
      </c>
      <c r="CU80" s="37">
        <f t="shared" si="831"/>
        <v>1</v>
      </c>
      <c r="CV80" s="37">
        <f t="shared" si="832"/>
        <v>1</v>
      </c>
      <c r="CW80" s="37">
        <f t="shared" si="833"/>
        <v>1</v>
      </c>
      <c r="CX80" s="37">
        <f t="shared" si="834"/>
        <v>1</v>
      </c>
      <c r="CY80" s="37">
        <f t="shared" si="835"/>
        <v>1</v>
      </c>
      <c r="CZ80" s="37">
        <f t="shared" si="836"/>
        <v>1</v>
      </c>
      <c r="DA80" s="37">
        <f t="shared" si="837"/>
        <v>1</v>
      </c>
      <c r="DB80" s="37">
        <f t="shared" si="838"/>
        <v>1</v>
      </c>
      <c r="DE80" s="134"/>
      <c r="DF80" s="3">
        <v>1</v>
      </c>
    </row>
    <row r="81" spans="1:110" s="3" customFormat="1" x14ac:dyDescent="0.2">
      <c r="A81" s="3" t="s">
        <v>29</v>
      </c>
      <c r="B81" s="3">
        <f>B79/B80</f>
        <v>3.3053900000000001</v>
      </c>
      <c r="C81" s="3">
        <f t="shared" ref="C81:W81" si="841">C79/C80</f>
        <v>3.3053900000000001</v>
      </c>
      <c r="D81" s="3">
        <f t="shared" si="841"/>
        <v>3.3053900000000001</v>
      </c>
      <c r="E81" s="3" t="e">
        <f t="shared" ca="1" si="841"/>
        <v>#DIV/0!</v>
      </c>
      <c r="F81" s="3" t="e">
        <f t="shared" ca="1" si="841"/>
        <v>#DIV/0!</v>
      </c>
      <c r="G81" s="3" t="e">
        <f t="shared" ca="1" si="841"/>
        <v>#DIV/0!</v>
      </c>
      <c r="H81" s="3" t="e">
        <f t="shared" ca="1" si="841"/>
        <v>#DIV/0!</v>
      </c>
      <c r="I81" s="3" t="e">
        <f t="shared" ca="1" si="841"/>
        <v>#DIV/0!</v>
      </c>
      <c r="J81" s="3" t="e">
        <f t="shared" ca="1" si="841"/>
        <v>#DIV/0!</v>
      </c>
      <c r="K81" s="3" t="e">
        <f t="shared" ca="1" si="841"/>
        <v>#DIV/0!</v>
      </c>
      <c r="L81" s="3" t="e">
        <f t="shared" ca="1" si="841"/>
        <v>#DIV/0!</v>
      </c>
      <c r="M81" s="3" t="e">
        <f t="shared" ca="1" si="841"/>
        <v>#DIV/0!</v>
      </c>
      <c r="N81" s="3" t="e">
        <f t="shared" ca="1" si="841"/>
        <v>#DIV/0!</v>
      </c>
      <c r="O81" s="3" t="e">
        <f t="shared" ca="1" si="841"/>
        <v>#DIV/0!</v>
      </c>
      <c r="P81" s="3" t="e">
        <f t="shared" ca="1" si="841"/>
        <v>#DIV/0!</v>
      </c>
      <c r="Q81" s="3" t="e">
        <f t="shared" ca="1" si="841"/>
        <v>#DIV/0!</v>
      </c>
      <c r="R81" s="3" t="e">
        <f t="shared" ca="1" si="841"/>
        <v>#DIV/0!</v>
      </c>
      <c r="S81" s="3" t="e">
        <f t="shared" ca="1" si="841"/>
        <v>#DIV/0!</v>
      </c>
      <c r="T81" s="3" t="e">
        <f t="shared" ca="1" si="841"/>
        <v>#DIV/0!</v>
      </c>
      <c r="U81" s="3" t="e">
        <f t="shared" ca="1" si="841"/>
        <v>#DIV/0!</v>
      </c>
      <c r="V81" s="3" t="e">
        <f ca="1">V79/V80</f>
        <v>#DIV/0!</v>
      </c>
      <c r="W81" s="3" t="e">
        <f t="shared" ca="1" si="841"/>
        <v>#DIV/0!</v>
      </c>
      <c r="X81" s="3" t="e">
        <f t="shared" ref="X81:Y81" ca="1" si="842">X79/X80</f>
        <v>#DIV/0!</v>
      </c>
      <c r="Y81" s="3" t="e">
        <f t="shared" ca="1" si="842"/>
        <v>#DIV/0!</v>
      </c>
      <c r="Z81" s="3" t="e">
        <f t="shared" ref="Z81:AA81" ca="1" si="843">Z79/Z80</f>
        <v>#DIV/0!</v>
      </c>
      <c r="AA81" s="3" t="e">
        <f t="shared" ca="1" si="843"/>
        <v>#DIV/0!</v>
      </c>
      <c r="AB81" s="37" t="e">
        <f t="shared" ref="AA81:AD81" ca="1" si="844">AB79/AB80</f>
        <v>#DIV/0!</v>
      </c>
      <c r="AC81" s="37" t="e">
        <f t="shared" ca="1" si="844"/>
        <v>#DIV/0!</v>
      </c>
      <c r="AD81" s="37" t="e">
        <f t="shared" ca="1" si="844"/>
        <v>#DIV/0!</v>
      </c>
      <c r="AE81" s="37" t="e">
        <f t="shared" ref="AE81" ca="1" si="845">AE79/AE80</f>
        <v>#DIV/0!</v>
      </c>
      <c r="AI81" s="3">
        <f t="shared" ref="AI81" si="846">AI79/AI80</f>
        <v>33.08</v>
      </c>
      <c r="AJ81" s="3">
        <f t="shared" ref="AJ81" si="847">AJ79/AJ80</f>
        <v>33.08</v>
      </c>
      <c r="AK81" s="3">
        <f t="shared" ref="AK81:AM81" si="848">AK79/AK80</f>
        <v>33.08</v>
      </c>
      <c r="AL81" s="3">
        <f t="shared" si="848"/>
        <v>33.08</v>
      </c>
      <c r="AM81" s="3">
        <f t="shared" si="848"/>
        <v>33.08</v>
      </c>
      <c r="AN81" s="3">
        <f t="shared" ref="AN81:AO81" si="849">AN79/AN80</f>
        <v>33.08</v>
      </c>
      <c r="AO81" s="3">
        <f t="shared" si="849"/>
        <v>33.08</v>
      </c>
      <c r="AP81" s="3">
        <f t="shared" ref="AP81:CD81" si="850">AP79/AP80</f>
        <v>33.08</v>
      </c>
      <c r="AQ81" s="3">
        <f t="shared" si="850"/>
        <v>33.08</v>
      </c>
      <c r="AR81" s="3">
        <f t="shared" si="850"/>
        <v>33.08</v>
      </c>
      <c r="AS81" s="3">
        <f t="shared" si="850"/>
        <v>33.08</v>
      </c>
      <c r="AT81" s="3">
        <f t="shared" si="850"/>
        <v>33.08</v>
      </c>
      <c r="AU81" s="3">
        <f t="shared" si="850"/>
        <v>33.08</v>
      </c>
      <c r="AV81" s="3">
        <f t="shared" si="850"/>
        <v>33.08</v>
      </c>
      <c r="AW81" s="3">
        <f t="shared" si="850"/>
        <v>33.08</v>
      </c>
      <c r="AX81" s="3">
        <f t="shared" si="850"/>
        <v>33.08</v>
      </c>
      <c r="AY81" s="3">
        <f t="shared" si="850"/>
        <v>33.08</v>
      </c>
      <c r="AZ81" s="3">
        <f t="shared" si="850"/>
        <v>33.08</v>
      </c>
      <c r="BA81" s="3">
        <f t="shared" si="850"/>
        <v>33.08</v>
      </c>
      <c r="BB81" s="3">
        <f t="shared" si="850"/>
        <v>33.08</v>
      </c>
      <c r="BC81" s="3">
        <f t="shared" si="850"/>
        <v>33.08</v>
      </c>
      <c r="BD81" s="3">
        <f t="shared" si="850"/>
        <v>33.08</v>
      </c>
      <c r="BE81" s="3">
        <f t="shared" si="850"/>
        <v>33.08</v>
      </c>
      <c r="BF81" s="3">
        <f t="shared" si="850"/>
        <v>33.08</v>
      </c>
      <c r="BG81" s="3">
        <f t="shared" si="850"/>
        <v>33.08</v>
      </c>
      <c r="BH81" s="3">
        <f t="shared" si="850"/>
        <v>33.08</v>
      </c>
      <c r="BI81" s="3">
        <f t="shared" si="850"/>
        <v>33.08</v>
      </c>
      <c r="BJ81" s="3">
        <f t="shared" si="850"/>
        <v>33.08</v>
      </c>
      <c r="BK81" s="3">
        <f t="shared" si="850"/>
        <v>33.08</v>
      </c>
      <c r="BL81" s="3">
        <f t="shared" si="850"/>
        <v>33.08</v>
      </c>
      <c r="BM81" s="3">
        <f t="shared" si="850"/>
        <v>33.08</v>
      </c>
      <c r="BN81" s="3">
        <f t="shared" si="850"/>
        <v>33.08</v>
      </c>
      <c r="BO81" s="3">
        <f t="shared" si="850"/>
        <v>33.08</v>
      </c>
      <c r="BP81" s="3">
        <f t="shared" si="850"/>
        <v>33.08</v>
      </c>
      <c r="BQ81" s="3">
        <f t="shared" si="850"/>
        <v>33.08</v>
      </c>
      <c r="BR81" s="3">
        <f t="shared" si="850"/>
        <v>33.08</v>
      </c>
      <c r="BS81" s="3">
        <f t="shared" si="850"/>
        <v>33.08</v>
      </c>
      <c r="BT81" s="3">
        <f t="shared" si="850"/>
        <v>33.08</v>
      </c>
      <c r="BU81" s="3">
        <f t="shared" si="850"/>
        <v>33.08</v>
      </c>
      <c r="BV81" s="3">
        <f t="shared" si="850"/>
        <v>33.08</v>
      </c>
      <c r="BW81" s="3">
        <f t="shared" si="850"/>
        <v>33.08</v>
      </c>
      <c r="BX81" s="3">
        <f t="shared" si="850"/>
        <v>33.08</v>
      </c>
      <c r="BY81" s="3">
        <f t="shared" si="850"/>
        <v>33.08</v>
      </c>
      <c r="BZ81" s="3">
        <f t="shared" si="850"/>
        <v>33.08</v>
      </c>
      <c r="CA81" s="3">
        <f t="shared" si="850"/>
        <v>33.08</v>
      </c>
      <c r="CB81" s="3">
        <f t="shared" si="850"/>
        <v>33.08</v>
      </c>
      <c r="CC81" s="3">
        <f t="shared" si="850"/>
        <v>33.08</v>
      </c>
      <c r="CD81" s="3">
        <f t="shared" si="850"/>
        <v>33.08</v>
      </c>
      <c r="CE81" s="3">
        <f t="shared" ref="CE81:CF81" si="851">CE79/CE80</f>
        <v>33.08</v>
      </c>
      <c r="CF81" s="3">
        <f t="shared" si="851"/>
        <v>33.08</v>
      </c>
      <c r="CG81" s="3">
        <f t="shared" ref="CG81:CH81" si="852">CG79/CG80</f>
        <v>33.08</v>
      </c>
      <c r="CH81" s="3">
        <f t="shared" si="852"/>
        <v>33.08</v>
      </c>
      <c r="CI81" s="3">
        <f t="shared" ref="CI81:CJ81" si="853">CI79/CI80</f>
        <v>33.08</v>
      </c>
      <c r="CJ81" s="3">
        <f t="shared" si="853"/>
        <v>33.08</v>
      </c>
      <c r="CK81" s="3">
        <f t="shared" ref="CK81:CL81" si="854">CK79/CK80</f>
        <v>33.08</v>
      </c>
      <c r="CL81" s="3">
        <f t="shared" si="854"/>
        <v>33.08</v>
      </c>
      <c r="CM81" s="37">
        <f t="shared" ref="CM81:DB81" si="855">CM79/CM80</f>
        <v>33.08</v>
      </c>
      <c r="CN81" s="37">
        <f t="shared" si="855"/>
        <v>33.08</v>
      </c>
      <c r="CO81" s="37">
        <f t="shared" si="855"/>
        <v>33.08</v>
      </c>
      <c r="CP81" s="37">
        <f t="shared" si="855"/>
        <v>33.08</v>
      </c>
      <c r="CQ81" s="37">
        <f t="shared" si="855"/>
        <v>33.08</v>
      </c>
      <c r="CR81" s="37">
        <f t="shared" si="855"/>
        <v>33.08</v>
      </c>
      <c r="CS81" s="37">
        <f t="shared" si="855"/>
        <v>33.08</v>
      </c>
      <c r="CT81" s="37">
        <f t="shared" si="855"/>
        <v>33.08</v>
      </c>
      <c r="CU81" s="37">
        <f t="shared" si="855"/>
        <v>33.08</v>
      </c>
      <c r="CV81" s="37">
        <f t="shared" si="855"/>
        <v>33.08</v>
      </c>
      <c r="CW81" s="37">
        <f t="shared" si="855"/>
        <v>33.08</v>
      </c>
      <c r="CX81" s="37">
        <f t="shared" si="855"/>
        <v>33.08</v>
      </c>
      <c r="CY81" s="37">
        <f t="shared" si="855"/>
        <v>33.08</v>
      </c>
      <c r="CZ81" s="37">
        <f t="shared" si="855"/>
        <v>33.08</v>
      </c>
      <c r="DA81" s="37">
        <f t="shared" si="855"/>
        <v>33.08</v>
      </c>
      <c r="DB81" s="37">
        <f t="shared" si="855"/>
        <v>33.08</v>
      </c>
      <c r="DE81" s="134"/>
      <c r="DF81" s="3">
        <v>33.08</v>
      </c>
    </row>
    <row r="82" spans="1:110" s="53" customFormat="1" x14ac:dyDescent="0.2">
      <c r="A82" s="53" t="s">
        <v>30</v>
      </c>
      <c r="B82" s="53">
        <f t="shared" ref="B82:AE82" si="856">(B64-B63)/B81</f>
        <v>5.157061647793447</v>
      </c>
      <c r="C82" s="53">
        <f t="shared" si="856"/>
        <v>6.1413327928020269</v>
      </c>
      <c r="D82" s="53">
        <f t="shared" si="856"/>
        <v>7.3946190918469812</v>
      </c>
      <c r="E82" s="53" t="e">
        <f t="shared" ca="1" si="856"/>
        <v>#DIV/0!</v>
      </c>
      <c r="F82" s="53" t="e">
        <f t="shared" ca="1" si="856"/>
        <v>#DIV/0!</v>
      </c>
      <c r="G82" s="53" t="e">
        <f t="shared" ca="1" si="856"/>
        <v>#DIV/0!</v>
      </c>
      <c r="H82" s="53" t="e">
        <f t="shared" ca="1" si="856"/>
        <v>#DIV/0!</v>
      </c>
      <c r="I82" s="53" t="e">
        <f t="shared" ca="1" si="856"/>
        <v>#DIV/0!</v>
      </c>
      <c r="J82" s="53" t="e">
        <f t="shared" ca="1" si="856"/>
        <v>#DIV/0!</v>
      </c>
      <c r="K82" s="53" t="e">
        <f t="shared" ca="1" si="856"/>
        <v>#DIV/0!</v>
      </c>
      <c r="L82" s="53" t="e">
        <f t="shared" ca="1" si="856"/>
        <v>#DIV/0!</v>
      </c>
      <c r="M82" s="53" t="e">
        <f t="shared" ca="1" si="856"/>
        <v>#DIV/0!</v>
      </c>
      <c r="N82" s="53" t="e">
        <f t="shared" ca="1" si="856"/>
        <v>#DIV/0!</v>
      </c>
      <c r="O82" s="53" t="e">
        <f t="shared" ca="1" si="856"/>
        <v>#DIV/0!</v>
      </c>
      <c r="P82" s="53" t="e">
        <f t="shared" ca="1" si="856"/>
        <v>#DIV/0!</v>
      </c>
      <c r="Q82" s="53" t="e">
        <f t="shared" ca="1" si="856"/>
        <v>#DIV/0!</v>
      </c>
      <c r="R82" s="53" t="e">
        <f t="shared" ca="1" si="856"/>
        <v>#DIV/0!</v>
      </c>
      <c r="S82" s="53" t="e">
        <f t="shared" ca="1" si="856"/>
        <v>#DIV/0!</v>
      </c>
      <c r="T82" s="53" t="e">
        <f t="shared" ca="1" si="856"/>
        <v>#DIV/0!</v>
      </c>
      <c r="U82" s="53" t="e">
        <f t="shared" ca="1" si="856"/>
        <v>#DIV/0!</v>
      </c>
      <c r="V82" s="53" t="e">
        <f t="shared" ca="1" si="856"/>
        <v>#DIV/0!</v>
      </c>
      <c r="W82" s="53" t="e">
        <f t="shared" ca="1" si="856"/>
        <v>#DIV/0!</v>
      </c>
      <c r="X82" s="53" t="e">
        <f t="shared" ca="1" si="856"/>
        <v>#DIV/0!</v>
      </c>
      <c r="Y82" s="53" t="e">
        <f t="shared" ca="1" si="856"/>
        <v>#DIV/0!</v>
      </c>
      <c r="Z82" s="53" t="e">
        <f t="shared" ca="1" si="856"/>
        <v>#DIV/0!</v>
      </c>
      <c r="AA82" s="53" t="e">
        <f t="shared" ref="AA82" ca="1" si="857">(AA64-AA63)/AA81</f>
        <v>#DIV/0!</v>
      </c>
      <c r="AB82" s="54" t="e">
        <f t="shared" ca="1" si="856"/>
        <v>#DIV/0!</v>
      </c>
      <c r="AC82" s="54" t="e">
        <f t="shared" ca="1" si="856"/>
        <v>#DIV/0!</v>
      </c>
      <c r="AD82" s="54" t="e">
        <f t="shared" ca="1" si="856"/>
        <v>#DIV/0!</v>
      </c>
      <c r="AE82" s="54" t="e">
        <f t="shared" ca="1" si="856"/>
        <v>#DIV/0!</v>
      </c>
      <c r="AI82" s="53">
        <f t="shared" ref="AI82:BN82" si="858">(AI64-AI63)/AI81</f>
        <v>2.3582224909310785</v>
      </c>
      <c r="AJ82" s="53">
        <f t="shared" si="858"/>
        <v>0.85822249093107517</v>
      </c>
      <c r="AK82" s="53">
        <f t="shared" si="858"/>
        <v>0.5157194679564675</v>
      </c>
      <c r="AL82" s="53">
        <f t="shared" si="858"/>
        <v>2.1837968561064125</v>
      </c>
      <c r="AM82" s="53">
        <f t="shared" si="858"/>
        <v>1.2342805320435299</v>
      </c>
      <c r="AN82" s="53">
        <f t="shared" si="858"/>
        <v>1.2781136638452266</v>
      </c>
      <c r="AO82" s="53">
        <f t="shared" si="858"/>
        <v>1.743349455864569</v>
      </c>
      <c r="AP82" s="53">
        <f t="shared" si="858"/>
        <v>2.510278113663841</v>
      </c>
      <c r="AQ82" s="53">
        <f t="shared" si="858"/>
        <v>3.2808343409915341</v>
      </c>
      <c r="AR82" s="53">
        <f t="shared" si="858"/>
        <v>1.5093712212817396</v>
      </c>
      <c r="AS82" s="53">
        <f t="shared" si="858"/>
        <v>1.9005441354292605</v>
      </c>
      <c r="AT82" s="53">
        <f t="shared" si="858"/>
        <v>3.5311366384522378</v>
      </c>
      <c r="AU82" s="53">
        <f t="shared" si="858"/>
        <v>3.0997581620314358</v>
      </c>
      <c r="AV82" s="53">
        <f t="shared" si="858"/>
        <v>2.0332527206771513</v>
      </c>
      <c r="AW82" s="53">
        <f t="shared" si="858"/>
        <v>1.6520556227327607</v>
      </c>
      <c r="AX82" s="53">
        <f t="shared" si="858"/>
        <v>4.0120918984280571</v>
      </c>
      <c r="AY82" s="53">
        <f t="shared" si="858"/>
        <v>4.7363966142684326</v>
      </c>
      <c r="AZ82" s="53">
        <f t="shared" si="858"/>
        <v>2.4350060459492111</v>
      </c>
      <c r="BA82" s="53">
        <f t="shared" si="858"/>
        <v>2.4241233373639637</v>
      </c>
      <c r="BB82" s="53">
        <f t="shared" si="858"/>
        <v>6.0129987908101663</v>
      </c>
      <c r="BC82" s="53">
        <f t="shared" si="858"/>
        <v>5.5513905683192188</v>
      </c>
      <c r="BD82" s="53">
        <f t="shared" si="858"/>
        <v>2.8606408706166873</v>
      </c>
      <c r="BE82" s="53">
        <f t="shared" si="858"/>
        <v>3.0072551390568343</v>
      </c>
      <c r="BF82" s="53">
        <f t="shared" si="858"/>
        <v>5.8657799274486191</v>
      </c>
      <c r="BG82" s="53">
        <f t="shared" si="858"/>
        <v>5.5598548972188535</v>
      </c>
      <c r="BH82" s="53">
        <f t="shared" si="858"/>
        <v>3.1275695284159641</v>
      </c>
      <c r="BI82" s="53">
        <f t="shared" si="858"/>
        <v>2.8019951632406297</v>
      </c>
      <c r="BJ82" s="53">
        <f t="shared" si="858"/>
        <v>4.2203748488512689</v>
      </c>
      <c r="BK82" s="53">
        <f t="shared" si="858"/>
        <v>6.2941354292623881</v>
      </c>
      <c r="BL82" s="53">
        <f t="shared" si="858"/>
        <v>3.4029625151148806</v>
      </c>
      <c r="BM82" s="53">
        <f t="shared" si="858"/>
        <v>2.6272672309552592</v>
      </c>
      <c r="BN82" s="53">
        <f t="shared" si="858"/>
        <v>4.8573155985489542</v>
      </c>
      <c r="BO82" s="53">
        <f t="shared" ref="BO82:CT82" si="859">(BO64-BO63)/BO81</f>
        <v>2.4531438935912941</v>
      </c>
      <c r="BP82" s="53">
        <f t="shared" si="859"/>
        <v>2.3685006045949217</v>
      </c>
      <c r="BQ82" s="53">
        <f t="shared" si="859"/>
        <v>3.8666868198307101</v>
      </c>
      <c r="BR82" s="53">
        <f t="shared" si="859"/>
        <v>7.186517533252732</v>
      </c>
      <c r="BS82" s="53">
        <f t="shared" si="859"/>
        <v>3.6819830713421959</v>
      </c>
      <c r="BT82" s="53">
        <f t="shared" si="859"/>
        <v>3.1321039903264865</v>
      </c>
      <c r="BU82" s="53">
        <f t="shared" si="859"/>
        <v>2.9014510278113566</v>
      </c>
      <c r="BV82" s="53">
        <f t="shared" si="859"/>
        <v>5.5229746070133006</v>
      </c>
      <c r="BW82" s="53">
        <f t="shared" si="859"/>
        <v>3.2914147521160868</v>
      </c>
      <c r="BX82" s="53">
        <f t="shared" si="859"/>
        <v>2.9933494558645704</v>
      </c>
      <c r="BY82" s="53">
        <f t="shared" si="859"/>
        <v>0.81650544135428638</v>
      </c>
      <c r="BZ82" s="53">
        <f t="shared" si="859"/>
        <v>4.3506650544135503</v>
      </c>
      <c r="CA82" s="53">
        <f t="shared" si="859"/>
        <v>3.9084038694074987</v>
      </c>
      <c r="CB82" s="53">
        <f t="shared" si="859"/>
        <v>1.1088270858524751</v>
      </c>
      <c r="CC82" s="53">
        <f t="shared" si="859"/>
        <v>-0.91928657799274649</v>
      </c>
      <c r="CD82" s="53">
        <f t="shared" si="859"/>
        <v>3.5199516324062974</v>
      </c>
      <c r="CE82" s="53">
        <f t="shared" si="859"/>
        <v>10.103688029020528</v>
      </c>
      <c r="CF82" s="53">
        <f t="shared" si="859"/>
        <v>4.0504836759371239</v>
      </c>
      <c r="CG82" s="53">
        <f t="shared" si="859"/>
        <v>3.9942563482466817</v>
      </c>
      <c r="CH82" s="53">
        <f t="shared" si="859"/>
        <v>7.2859733978234571</v>
      </c>
      <c r="CI82" s="53">
        <f t="shared" si="859"/>
        <v>4.2460701330108748</v>
      </c>
      <c r="CJ82" s="53">
        <f t="shared" si="859"/>
        <v>1.0365779927448424</v>
      </c>
      <c r="CK82" s="53">
        <f t="shared" ref="CK82:CL82" si="860">(CK64-CK63)/CK81</f>
        <v>3.3688029020556254</v>
      </c>
      <c r="CL82" s="53">
        <f t="shared" si="860"/>
        <v>3.5120918984280491</v>
      </c>
      <c r="CM82" s="54">
        <f t="shared" si="859"/>
        <v>4.2704204241642678</v>
      </c>
      <c r="CN82" s="54">
        <f t="shared" si="859"/>
        <v>1.9909709103701849</v>
      </c>
      <c r="CO82" s="54">
        <f t="shared" si="859"/>
        <v>3.1883667665935462</v>
      </c>
      <c r="CP82" s="54">
        <f t="shared" si="859"/>
        <v>6.5900315168822505</v>
      </c>
      <c r="CQ82" s="54">
        <f t="shared" si="859"/>
        <v>6.2910532980784293</v>
      </c>
      <c r="CR82" s="54">
        <f t="shared" si="859"/>
        <v>2.8981380435968602</v>
      </c>
      <c r="CS82" s="54">
        <f t="shared" si="859"/>
        <v>3.7817659198034095</v>
      </c>
      <c r="CT82" s="54">
        <f t="shared" si="859"/>
        <v>7.8430119188044376</v>
      </c>
      <c r="CU82" s="54">
        <f t="shared" ref="CU82:DB82" si="861">(CU64-CU63)/CU81</f>
        <v>7.5484322387485028</v>
      </c>
      <c r="CV82" s="54">
        <f t="shared" si="861"/>
        <v>3.5507832575684222</v>
      </c>
      <c r="CW82" s="54">
        <f t="shared" si="861"/>
        <v>4.4381748702543096</v>
      </c>
      <c r="CX82" s="54">
        <f t="shared" si="861"/>
        <v>9.0044747592880103</v>
      </c>
      <c r="CY82" s="54">
        <f t="shared" si="861"/>
        <v>8.8561237288214461</v>
      </c>
      <c r="CZ82" s="54">
        <f t="shared" si="861"/>
        <v>4.20783913254576</v>
      </c>
      <c r="DA82" s="54">
        <f t="shared" si="861"/>
        <v>5.1977340127830018</v>
      </c>
      <c r="DB82" s="54">
        <f t="shared" si="861"/>
        <v>10.445260053424292</v>
      </c>
      <c r="DE82" s="132"/>
      <c r="DF82" s="53">
        <v>8.2230283102697292</v>
      </c>
    </row>
    <row r="83" spans="1:110" s="3" customFormat="1" x14ac:dyDescent="0.2">
      <c r="A83" s="3" t="s">
        <v>31</v>
      </c>
      <c r="B83" s="3">
        <f>'Annual Raw'!C110</f>
        <v>0.12</v>
      </c>
      <c r="C83" s="3">
        <f>'Annual Raw'!D110</f>
        <v>0.18</v>
      </c>
      <c r="D83" s="3">
        <f>'Annual Raw'!E110</f>
        <v>0.25</v>
      </c>
      <c r="E83" s="3">
        <f>'Annual Raw'!F110</f>
        <v>0.3</v>
      </c>
      <c r="F83" s="3">
        <f>'Annual Raw'!G110</f>
        <v>0.5</v>
      </c>
      <c r="G83" s="3">
        <f>'Annual Raw'!H110</f>
        <v>0.6</v>
      </c>
      <c r="H83" s="3">
        <f>'Annual Raw'!I110</f>
        <v>1</v>
      </c>
      <c r="I83" s="3">
        <f>'Annual Raw'!J110</f>
        <v>1.35</v>
      </c>
      <c r="J83" s="3">
        <f>'Annual Raw'!K110</f>
        <v>1.6</v>
      </c>
      <c r="K83" s="3">
        <f>'Annual Raw'!L110</f>
        <v>2</v>
      </c>
      <c r="L83" s="3">
        <f>'Annual Raw'!M110</f>
        <v>2</v>
      </c>
      <c r="M83" s="3">
        <f>'Annual Raw'!N110</f>
        <v>1.6</v>
      </c>
      <c r="N83" s="3">
        <f>'Annual Raw'!O110</f>
        <v>1.6</v>
      </c>
      <c r="O83" s="3">
        <f>'Annual Raw'!P110</f>
        <v>1.85</v>
      </c>
      <c r="P83" s="3">
        <f>'Annual Raw'!Q110</f>
        <v>2.25</v>
      </c>
      <c r="Q83" s="3">
        <f>'Annual Raw'!R110</f>
        <v>2.6</v>
      </c>
      <c r="R83" s="3">
        <f>'Annual Raw'!S110</f>
        <v>3.5</v>
      </c>
      <c r="S83" s="3">
        <f>'Annual Raw'!T110</f>
        <v>4</v>
      </c>
      <c r="T83" s="3">
        <f>'Annual Raw'!U110</f>
        <v>4</v>
      </c>
      <c r="U83" s="3">
        <f>'Annual Raw'!V110</f>
        <v>4</v>
      </c>
      <c r="V83" s="3">
        <f>'Annual Raw'!W110</f>
        <v>5</v>
      </c>
      <c r="W83" s="3">
        <f>'Annual Raw'!X110</f>
        <v>5.5</v>
      </c>
      <c r="X83" s="3">
        <f>'Annual Raw'!Y110</f>
        <v>4.25</v>
      </c>
      <c r="Y83" s="3">
        <f>'Annual Raw'!Z110</f>
        <v>5.5</v>
      </c>
      <c r="Z83" s="3">
        <f>'Annual Raw'!AA110</f>
        <v>7</v>
      </c>
      <c r="AA83" s="3">
        <f>'Annual Raw'!AB110</f>
        <v>4</v>
      </c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84" s="3" t="s">
        <v>32</v>
      </c>
      <c r="B84" s="3">
        <f>B83/B82</f>
        <v>2.3269064478091787E-2</v>
      </c>
      <c r="C84" s="3">
        <f t="shared" ref="C84:U84" si="862">C83/C82</f>
        <v>2.930959875859027E-2</v>
      </c>
      <c r="D84" s="3">
        <f t="shared" si="862"/>
        <v>3.3808367529794776E-2</v>
      </c>
      <c r="E84" s="3" t="e">
        <f t="shared" ca="1" si="862"/>
        <v>#DIV/0!</v>
      </c>
      <c r="F84" s="3" t="e">
        <f t="shared" ca="1" si="862"/>
        <v>#DIV/0!</v>
      </c>
      <c r="G84" s="3" t="e">
        <f t="shared" ca="1" si="862"/>
        <v>#DIV/0!</v>
      </c>
      <c r="H84" s="3" t="e">
        <f t="shared" ca="1" si="862"/>
        <v>#DIV/0!</v>
      </c>
      <c r="I84" s="3" t="e">
        <f t="shared" ca="1" si="862"/>
        <v>#DIV/0!</v>
      </c>
      <c r="J84" s="3" t="e">
        <f t="shared" ca="1" si="862"/>
        <v>#DIV/0!</v>
      </c>
      <c r="K84" s="3" t="e">
        <f t="shared" ca="1" si="862"/>
        <v>#DIV/0!</v>
      </c>
      <c r="L84" s="3" t="e">
        <f t="shared" ca="1" si="862"/>
        <v>#DIV/0!</v>
      </c>
      <c r="M84" s="3" t="e">
        <f t="shared" ca="1" si="862"/>
        <v>#DIV/0!</v>
      </c>
      <c r="N84" s="3" t="e">
        <f t="shared" ca="1" si="862"/>
        <v>#DIV/0!</v>
      </c>
      <c r="O84" s="3" t="e">
        <f t="shared" ca="1" si="862"/>
        <v>#DIV/0!</v>
      </c>
      <c r="P84" s="3" t="e">
        <f t="shared" ca="1" si="862"/>
        <v>#DIV/0!</v>
      </c>
      <c r="Q84" s="3" t="e">
        <f t="shared" ca="1" si="862"/>
        <v>#DIV/0!</v>
      </c>
      <c r="R84" s="3" t="e">
        <f t="shared" ca="1" si="862"/>
        <v>#DIV/0!</v>
      </c>
      <c r="S84" s="3" t="e">
        <f t="shared" ca="1" si="862"/>
        <v>#DIV/0!</v>
      </c>
      <c r="T84" s="3" t="e">
        <f t="shared" ca="1" si="862"/>
        <v>#DIV/0!</v>
      </c>
      <c r="U84" s="3" t="e">
        <f t="shared" ca="1" si="862"/>
        <v>#DIV/0!</v>
      </c>
      <c r="V84" s="3" t="e">
        <f ca="1">V83/V82</f>
        <v>#DIV/0!</v>
      </c>
      <c r="W84" s="3" t="e">
        <f t="shared" ref="W84" ca="1" si="863">W83/W82</f>
        <v>#DIV/0!</v>
      </c>
      <c r="X84" s="3" t="e">
        <f t="shared" ref="X84:Y84" ca="1" si="864">X83/X82</f>
        <v>#DIV/0!</v>
      </c>
      <c r="Y84" s="3" t="e">
        <f t="shared" ca="1" si="864"/>
        <v>#DIV/0!</v>
      </c>
      <c r="Z84" s="3" t="e">
        <f t="shared" ref="Z84:AA84" ca="1" si="865">Z83/Z82</f>
        <v>#DIV/0!</v>
      </c>
      <c r="AA84" s="3" t="e">
        <f t="shared" ca="1" si="865"/>
        <v>#DIV/0!</v>
      </c>
      <c r="AB84" s="37" t="e">
        <f t="shared" ref="AA84:AD84" ca="1" si="866">AB83/AB82</f>
        <v>#DIV/0!</v>
      </c>
      <c r="AC84" s="37" t="e">
        <f t="shared" ca="1" si="866"/>
        <v>#DIV/0!</v>
      </c>
      <c r="AD84" s="37" t="e">
        <f t="shared" ca="1" si="866"/>
        <v>#DIV/0!</v>
      </c>
      <c r="AE84" s="37" t="e">
        <f t="shared" ref="AE84" ca="1" si="867">AE83/AE82</f>
        <v>#DIV/0!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85" s="3" t="s">
        <v>33</v>
      </c>
      <c r="B85" s="3">
        <f>+B82</f>
        <v>5.157061647793447</v>
      </c>
      <c r="C85" s="3">
        <f t="shared" ref="C85:U85" si="868">+C82</f>
        <v>6.1413327928020269</v>
      </c>
      <c r="D85" s="3">
        <f t="shared" si="868"/>
        <v>7.3946190918469812</v>
      </c>
      <c r="E85" s="3" t="e">
        <f t="shared" ca="1" si="868"/>
        <v>#DIV/0!</v>
      </c>
      <c r="F85" s="3" t="e">
        <f t="shared" ca="1" si="868"/>
        <v>#DIV/0!</v>
      </c>
      <c r="G85" s="3" t="e">
        <f t="shared" ca="1" si="868"/>
        <v>#DIV/0!</v>
      </c>
      <c r="H85" s="3" t="e">
        <f t="shared" ca="1" si="868"/>
        <v>#DIV/0!</v>
      </c>
      <c r="I85" s="3" t="e">
        <f t="shared" ca="1" si="868"/>
        <v>#DIV/0!</v>
      </c>
      <c r="J85" s="3" t="e">
        <f t="shared" ca="1" si="868"/>
        <v>#DIV/0!</v>
      </c>
      <c r="K85" s="3" t="e">
        <f t="shared" ca="1" si="868"/>
        <v>#DIV/0!</v>
      </c>
      <c r="L85" s="3" t="e">
        <f t="shared" ca="1" si="868"/>
        <v>#DIV/0!</v>
      </c>
      <c r="M85" s="3" t="e">
        <f t="shared" ca="1" si="868"/>
        <v>#DIV/0!</v>
      </c>
      <c r="N85" s="3" t="e">
        <f t="shared" ca="1" si="868"/>
        <v>#DIV/0!</v>
      </c>
      <c r="O85" s="3" t="e">
        <f t="shared" ca="1" si="868"/>
        <v>#DIV/0!</v>
      </c>
      <c r="P85" s="3" t="e">
        <f t="shared" ca="1" si="868"/>
        <v>#DIV/0!</v>
      </c>
      <c r="Q85" s="3" t="e">
        <f t="shared" ca="1" si="868"/>
        <v>#DIV/0!</v>
      </c>
      <c r="R85" s="3" t="e">
        <f t="shared" ca="1" si="868"/>
        <v>#DIV/0!</v>
      </c>
      <c r="S85" s="3" t="e">
        <f t="shared" ca="1" si="868"/>
        <v>#DIV/0!</v>
      </c>
      <c r="T85" s="3" t="e">
        <f ca="1">+T82</f>
        <v>#DIV/0!</v>
      </c>
      <c r="U85" s="3" t="e">
        <f t="shared" ca="1" si="868"/>
        <v>#DIV/0!</v>
      </c>
      <c r="V85" s="3" t="e">
        <f ca="1">+V82</f>
        <v>#DIV/0!</v>
      </c>
      <c r="W85" s="3" t="e">
        <f t="shared" ref="W85" ca="1" si="869">+W82</f>
        <v>#DIV/0!</v>
      </c>
      <c r="X85" s="3" t="e">
        <f t="shared" ref="X85:Y85" ca="1" si="870">+X82</f>
        <v>#DIV/0!</v>
      </c>
      <c r="Y85" s="3" t="e">
        <f t="shared" ca="1" si="870"/>
        <v>#DIV/0!</v>
      </c>
      <c r="Z85" s="3" t="e">
        <f t="shared" ref="Z85:AA85" ca="1" si="871">+Z82</f>
        <v>#DIV/0!</v>
      </c>
      <c r="AA85" s="3" t="e">
        <f t="shared" ca="1" si="871"/>
        <v>#DIV/0!</v>
      </c>
      <c r="AB85" s="37" t="e">
        <f t="shared" ref="AA85:AD85" ca="1" si="872">+AB82</f>
        <v>#DIV/0!</v>
      </c>
      <c r="AC85" s="37" t="e">
        <f t="shared" ca="1" si="872"/>
        <v>#DIV/0!</v>
      </c>
      <c r="AD85" s="37" t="e">
        <f t="shared" ca="1" si="872"/>
        <v>#DIV/0!</v>
      </c>
      <c r="AE85" s="37" t="e">
        <f t="shared" ref="AE85" ca="1" si="873">+AE82</f>
        <v>#DIV/0!</v>
      </c>
      <c r="AL85" s="3">
        <f>SUM(AI82:AL82)</f>
        <v>5.915961305925034</v>
      </c>
      <c r="AM85" s="3">
        <f t="shared" ref="AM85" si="874">SUM(AJ82:AM82)</f>
        <v>4.7920193470374848</v>
      </c>
      <c r="AN85" s="3">
        <f t="shared" ref="AN85" si="875">SUM(AK82:AN82)</f>
        <v>5.2119105199516369</v>
      </c>
      <c r="AO85" s="3">
        <f t="shared" ref="AO85" si="876">SUM(AL82:AO82)</f>
        <v>6.4395405078597392</v>
      </c>
      <c r="AP85" s="3">
        <f t="shared" ref="AP85" si="877">SUM(AM82:AP82)</f>
        <v>6.7660217654171664</v>
      </c>
      <c r="AQ85" s="3">
        <f t="shared" ref="AQ85" si="878">SUM(AN82:AQ82)</f>
        <v>8.8125755743651712</v>
      </c>
      <c r="AR85" s="3">
        <f t="shared" ref="AR85" si="879">SUM(AO82:AR82)</f>
        <v>9.0438331318016836</v>
      </c>
      <c r="AS85" s="3">
        <f t="shared" ref="AS85" si="880">SUM(AP82:AS82)</f>
        <v>9.2010278113663748</v>
      </c>
      <c r="AT85" s="3">
        <f t="shared" ref="AT85" si="881">SUM(AQ82:AT82)</f>
        <v>10.221886336154771</v>
      </c>
      <c r="AU85" s="3">
        <f t="shared" ref="AU85" si="882">SUM(AR82:AU82)</f>
        <v>10.040810157194674</v>
      </c>
      <c r="AV85" s="3">
        <f t="shared" ref="AV85" si="883">SUM(AS82:AV82)</f>
        <v>10.564691656590085</v>
      </c>
      <c r="AW85" s="3">
        <f t="shared" ref="AW85" si="884">SUM(AT82:AW82)</f>
        <v>10.316203143893585</v>
      </c>
      <c r="AX85" s="3">
        <f t="shared" ref="AX85" si="885">SUM(AU82:AX82)</f>
        <v>10.797158403869405</v>
      </c>
      <c r="AY85" s="3">
        <f t="shared" ref="AY85" si="886">SUM(AV82:AY82)</f>
        <v>12.433796856106401</v>
      </c>
      <c r="AZ85" s="3">
        <f t="shared" ref="AZ85" si="887">SUM(AW82:AZ82)</f>
        <v>12.835550181378462</v>
      </c>
      <c r="BA85" s="3">
        <f t="shared" ref="BA85" si="888">SUM(AX82:BA82)</f>
        <v>13.607617896009666</v>
      </c>
      <c r="BB85" s="3">
        <f t="shared" ref="BB85" si="889">SUM(AY82:BB82)</f>
        <v>15.608524788391772</v>
      </c>
      <c r="BC85" s="3">
        <f t="shared" ref="BC85" si="890">SUM(AZ82:BC82)</f>
        <v>16.42351874244256</v>
      </c>
      <c r="BD85" s="3">
        <f t="shared" ref="BD85" si="891">SUM(BA82:BD82)</f>
        <v>16.849153567110037</v>
      </c>
      <c r="BE85" s="3">
        <f t="shared" ref="BE85" si="892">SUM(BB82:BE82)</f>
        <v>17.432285368802908</v>
      </c>
      <c r="BF85" s="3">
        <f t="shared" ref="BF85" si="893">SUM(BC82:BF82)</f>
        <v>17.285066505441357</v>
      </c>
      <c r="BG85" s="3">
        <f t="shared" ref="BG85" si="894">SUM(BD82:BG82)</f>
        <v>17.293530834340991</v>
      </c>
      <c r="BH85" s="3">
        <f t="shared" ref="BH85" si="895">SUM(BE82:BH82)</f>
        <v>17.560459492140271</v>
      </c>
      <c r="BI85" s="3">
        <f t="shared" ref="BI85" si="896">SUM(BF82:BI82)</f>
        <v>17.355199516324067</v>
      </c>
      <c r="BJ85" s="3">
        <f t="shared" ref="BJ85" si="897">SUM(BG82:BJ82)</f>
        <v>15.709794437726718</v>
      </c>
      <c r="BK85" s="3">
        <f t="shared" ref="BK85" si="898">SUM(BH82:BK82)</f>
        <v>16.444074969770249</v>
      </c>
      <c r="BL85" s="3">
        <f t="shared" ref="BL85" si="899">SUM(BI82:BL82)</f>
        <v>16.719467956469167</v>
      </c>
      <c r="BM85" s="3">
        <f t="shared" ref="BM85" si="900">SUM(BJ82:BM82)</f>
        <v>16.544740024183799</v>
      </c>
      <c r="BN85" s="3">
        <f t="shared" ref="BN85" si="901">SUM(BK82:BN82)</f>
        <v>17.181680773881482</v>
      </c>
      <c r="BO85" s="3">
        <f t="shared" ref="BO85" si="902">SUM(BL82:BO82)</f>
        <v>13.340689238210388</v>
      </c>
      <c r="BP85" s="3">
        <f t="shared" ref="BP85" si="903">SUM(BM82:BP82)</f>
        <v>12.306227327690429</v>
      </c>
      <c r="BQ85" s="3">
        <f t="shared" ref="BQ85" si="904">SUM(BN82:BQ82)</f>
        <v>13.545646916565881</v>
      </c>
      <c r="BR85" s="3">
        <f t="shared" ref="BR85" si="905">SUM(BO82:BR82)</f>
        <v>15.874848851269658</v>
      </c>
      <c r="BS85" s="3">
        <f t="shared" ref="BS85" si="906">SUM(BP82:BS82)</f>
        <v>17.10368802902056</v>
      </c>
      <c r="BT85" s="3">
        <f t="shared" ref="BT85" si="907">SUM(BQ82:BT82)</f>
        <v>17.867291414752124</v>
      </c>
      <c r="BU85" s="3">
        <f t="shared" ref="BU85" si="908">SUM(BR82:BU82)</f>
        <v>16.902055622732771</v>
      </c>
      <c r="BV85" s="3">
        <f t="shared" ref="BV85" si="909">SUM(BS82:BV82)</f>
        <v>15.238512696493338</v>
      </c>
      <c r="BW85" s="3">
        <f t="shared" ref="BW85" si="910">SUM(BT82:BW82)</f>
        <v>14.847944377267229</v>
      </c>
      <c r="BX85" s="3">
        <f t="shared" ref="BX85" si="911">SUM(BU82:BX82)</f>
        <v>14.709189842805316</v>
      </c>
      <c r="BY85" s="3">
        <f t="shared" ref="BY85" si="912">SUM(BV82:BY82)</f>
        <v>12.624244256348243</v>
      </c>
      <c r="BZ85" s="3">
        <f t="shared" ref="BZ85" si="913">SUM(BW82:BZ82)</f>
        <v>11.451934703748496</v>
      </c>
      <c r="CA85" s="3">
        <f t="shared" ref="CA85" si="914">SUM(BX82:CA82)</f>
        <v>12.068923821039906</v>
      </c>
      <c r="CB85" s="3">
        <f t="shared" ref="CB85" si="915">SUM(BY82:CB82)</f>
        <v>10.18440145102781</v>
      </c>
      <c r="CC85" s="3">
        <f t="shared" ref="CC85" si="916">SUM(BZ82:CC82)</f>
        <v>8.4486094316807776</v>
      </c>
      <c r="CD85" s="3">
        <f t="shared" ref="CD85" si="917">SUM(CA82:CD82)</f>
        <v>7.6178960096735242</v>
      </c>
      <c r="CE85" s="3">
        <f t="shared" ref="CE85" si="918">SUM(CB82:CE82)</f>
        <v>13.813180169286554</v>
      </c>
      <c r="CF85" s="3">
        <f t="shared" ref="CF85" si="919">SUM(CC82:CF82)</f>
        <v>16.754836759371202</v>
      </c>
      <c r="CG85" s="3">
        <f t="shared" ref="CG85" si="920">SUM(CD82:CG82)</f>
        <v>21.668379685610631</v>
      </c>
      <c r="CH85" s="3">
        <f t="shared" ref="CH85:CL85" si="921">SUM(CE82:CH82)</f>
        <v>25.434401451027792</v>
      </c>
      <c r="CI85" s="3">
        <f t="shared" si="921"/>
        <v>19.576783555018139</v>
      </c>
      <c r="CJ85" s="3">
        <f t="shared" si="921"/>
        <v>16.562877871825858</v>
      </c>
      <c r="CK85" s="3">
        <f t="shared" si="921"/>
        <v>15.9374244256348</v>
      </c>
      <c r="CL85" s="3">
        <f t="shared" si="921"/>
        <v>12.163542926239391</v>
      </c>
      <c r="CM85" s="37">
        <f t="shared" ref="CM85" si="922">SUM(CJ82:CM82)</f>
        <v>12.187893217392784</v>
      </c>
      <c r="CN85" s="37">
        <f t="shared" ref="CN85" si="923">SUM(CK82:CN82)</f>
        <v>13.142286135018127</v>
      </c>
      <c r="CO85" s="37">
        <f t="shared" ref="CO85" si="924">SUM(CL82:CO82)</f>
        <v>12.961849999556048</v>
      </c>
      <c r="CP85" s="37">
        <f t="shared" ref="CP85" si="925">SUM(CM82:CP82)</f>
        <v>16.03978961801025</v>
      </c>
      <c r="CQ85" s="37">
        <f t="shared" ref="CQ85" si="926">SUM(CN82:CQ82)</f>
        <v>18.060422491924413</v>
      </c>
      <c r="CR85" s="37">
        <f t="shared" ref="CR85" si="927">SUM(CO82:CR82)</f>
        <v>18.967589625151085</v>
      </c>
      <c r="CS85" s="37">
        <f t="shared" ref="CS85" si="928">SUM(CP82:CS82)</f>
        <v>19.560988778360951</v>
      </c>
      <c r="CT85" s="37">
        <f t="shared" ref="CT85" si="929">SUM(CQ82:CT82)</f>
        <v>20.813969180283138</v>
      </c>
      <c r="CU85" s="37">
        <f t="shared" ref="CU85" si="930">SUM(CR82:CU82)</f>
        <v>22.071348120953211</v>
      </c>
      <c r="CV85" s="37">
        <f t="shared" ref="CV85" si="931">SUM(CS82:CV82)</f>
        <v>22.723993334924774</v>
      </c>
      <c r="CW85" s="37">
        <f t="shared" ref="CW85" si="932">SUM(CT82:CW82)</f>
        <v>23.380402285375673</v>
      </c>
      <c r="CX85" s="37">
        <f t="shared" ref="CX85" si="933">SUM(CU82:CX82)</f>
        <v>24.541865125859246</v>
      </c>
      <c r="CY85" s="37">
        <f t="shared" ref="CY85" si="934">SUM(CV82:CY82)</f>
        <v>25.849556615932187</v>
      </c>
      <c r="CZ85" s="37">
        <f t="shared" ref="CZ85" si="935">SUM(CW82:CZ82)</f>
        <v>26.506612490909529</v>
      </c>
      <c r="DA85" s="37">
        <f t="shared" ref="DA85" si="936">SUM(CX82:DA82)</f>
        <v>27.266171633438219</v>
      </c>
      <c r="DB85" s="37">
        <f t="shared" ref="DB85" si="937">SUM(CY82:DB82)</f>
        <v>28.706956927574499</v>
      </c>
      <c r="DE85" s="134"/>
      <c r="DF85" s="3">
        <v>16.874479338081073</v>
      </c>
    </row>
    <row r="86" spans="1:110" s="97" customFormat="1" x14ac:dyDescent="0.2">
      <c r="A86" s="97" t="s">
        <v>425</v>
      </c>
      <c r="C86" s="101">
        <f t="shared" ref="C86:AA86" si="938">+C85/B85-1</f>
        <v>0.19085890614274903</v>
      </c>
      <c r="D86" s="101">
        <f t="shared" si="938"/>
        <v>0.20407399197025655</v>
      </c>
      <c r="E86" s="101" t="e">
        <f t="shared" ca="1" si="938"/>
        <v>#DIV/0!</v>
      </c>
      <c r="F86" s="101" t="e">
        <f t="shared" ca="1" si="938"/>
        <v>#DIV/0!</v>
      </c>
      <c r="G86" s="101" t="e">
        <f t="shared" ca="1" si="938"/>
        <v>#DIV/0!</v>
      </c>
      <c r="H86" s="101" t="e">
        <f t="shared" ca="1" si="938"/>
        <v>#DIV/0!</v>
      </c>
      <c r="I86" s="101" t="e">
        <f t="shared" ca="1" si="938"/>
        <v>#DIV/0!</v>
      </c>
      <c r="J86" s="101" t="e">
        <f t="shared" ca="1" si="938"/>
        <v>#DIV/0!</v>
      </c>
      <c r="K86" s="101" t="e">
        <f t="shared" ca="1" si="938"/>
        <v>#DIV/0!</v>
      </c>
      <c r="L86" s="101" t="e">
        <f t="shared" ca="1" si="938"/>
        <v>#DIV/0!</v>
      </c>
      <c r="M86" s="101" t="e">
        <f t="shared" ca="1" si="938"/>
        <v>#DIV/0!</v>
      </c>
      <c r="N86" s="101" t="e">
        <f t="shared" ca="1" si="938"/>
        <v>#DIV/0!</v>
      </c>
      <c r="O86" s="101" t="e">
        <f t="shared" ca="1" si="938"/>
        <v>#DIV/0!</v>
      </c>
      <c r="P86" s="101" t="e">
        <f t="shared" ca="1" si="938"/>
        <v>#DIV/0!</v>
      </c>
      <c r="Q86" s="101" t="e">
        <f t="shared" ca="1" si="938"/>
        <v>#DIV/0!</v>
      </c>
      <c r="R86" s="101" t="e">
        <f t="shared" ca="1" si="938"/>
        <v>#DIV/0!</v>
      </c>
      <c r="S86" s="101" t="e">
        <f t="shared" ca="1" si="938"/>
        <v>#DIV/0!</v>
      </c>
      <c r="T86" s="101" t="e">
        <f t="shared" ca="1" si="938"/>
        <v>#DIV/0!</v>
      </c>
      <c r="U86" s="101" t="e">
        <f t="shared" ca="1" si="938"/>
        <v>#DIV/0!</v>
      </c>
      <c r="V86" s="101" t="e">
        <f t="shared" ca="1" si="938"/>
        <v>#DIV/0!</v>
      </c>
      <c r="W86" s="101" t="e">
        <f t="shared" ca="1" si="938"/>
        <v>#DIV/0!</v>
      </c>
      <c r="X86" s="101" t="e">
        <f t="shared" ca="1" si="938"/>
        <v>#DIV/0!</v>
      </c>
      <c r="Y86" s="101" t="e">
        <f t="shared" ca="1" si="938"/>
        <v>#DIV/0!</v>
      </c>
      <c r="Z86" s="101" t="e">
        <f t="shared" ca="1" si="938"/>
        <v>#DIV/0!</v>
      </c>
      <c r="AA86" s="101" t="e">
        <f t="shared" ca="1" si="938"/>
        <v>#DIV/0!</v>
      </c>
      <c r="AB86" s="174" t="e">
        <f t="shared" ref="AB86" ca="1" si="939">+AB85/AA85-1</f>
        <v>#DIV/0!</v>
      </c>
      <c r="AC86" s="174" t="e">
        <f t="shared" ref="AC86" ca="1" si="940">+AC85/AB85-1</f>
        <v>#DIV/0!</v>
      </c>
      <c r="AD86" s="174" t="e">
        <f t="shared" ref="AD86" ca="1" si="941">+AD85/AC85-1</f>
        <v>#DIV/0!</v>
      </c>
      <c r="AE86" s="174" t="e">
        <f t="shared" ref="AE86" ca="1" si="942">+AE85/AD85-1</f>
        <v>#DIV/0!</v>
      </c>
      <c r="AL86" s="176"/>
      <c r="AM86" s="176"/>
      <c r="AN86" s="176"/>
      <c r="AO86" s="176"/>
      <c r="AP86" s="176">
        <f t="shared" ref="AP86:CL86" si="943">+IF(AL85&lt;0,1-AP85/AL85,AP85/AL85-1)</f>
        <v>0.14368932038834803</v>
      </c>
      <c r="AQ86" s="176">
        <f t="shared" si="943"/>
        <v>0.83901085036588352</v>
      </c>
      <c r="AR86" s="176">
        <f t="shared" si="943"/>
        <v>0.73522417493184533</v>
      </c>
      <c r="AS86" s="176">
        <f t="shared" si="943"/>
        <v>0.42883297342972226</v>
      </c>
      <c r="AT86" s="176">
        <f t="shared" si="943"/>
        <v>0.51076758109194897</v>
      </c>
      <c r="AU86" s="176">
        <f t="shared" si="943"/>
        <v>0.13937294182217341</v>
      </c>
      <c r="AV86" s="176">
        <f t="shared" si="943"/>
        <v>0.16816525721162012</v>
      </c>
      <c r="AW86" s="176">
        <f t="shared" si="943"/>
        <v>0.12120116962907046</v>
      </c>
      <c r="AX86" s="176">
        <f t="shared" si="943"/>
        <v>5.6278464541314577E-2</v>
      </c>
      <c r="AY86" s="176">
        <f t="shared" si="943"/>
        <v>0.23832605750413971</v>
      </c>
      <c r="AZ86" s="176">
        <f t="shared" si="943"/>
        <v>0.21494792262790297</v>
      </c>
      <c r="BA86" s="176">
        <f t="shared" si="943"/>
        <v>0.31905292152610931</v>
      </c>
      <c r="BB86" s="176">
        <f t="shared" si="943"/>
        <v>0.44561413332586719</v>
      </c>
      <c r="BC86" s="176">
        <f t="shared" si="943"/>
        <v>0.3208771972478186</v>
      </c>
      <c r="BD86" s="176">
        <f t="shared" si="943"/>
        <v>0.31269430051813618</v>
      </c>
      <c r="BE86" s="176">
        <f t="shared" si="943"/>
        <v>0.28106811214289018</v>
      </c>
      <c r="BF86" s="176">
        <f t="shared" si="943"/>
        <v>0.10741192648112685</v>
      </c>
      <c r="BG86" s="176">
        <f t="shared" si="943"/>
        <v>5.2973550037733297E-2</v>
      </c>
      <c r="BH86" s="176">
        <f t="shared" si="943"/>
        <v>4.2216122145074531E-2</v>
      </c>
      <c r="BI86" s="176">
        <f t="shared" si="943"/>
        <v>-4.4220164394965789E-3</v>
      </c>
      <c r="BJ86" s="176">
        <f t="shared" si="943"/>
        <v>-9.1134857202819664E-2</v>
      </c>
      <c r="BK86" s="176">
        <f t="shared" si="943"/>
        <v>-4.9119862953834637E-2</v>
      </c>
      <c r="BL86" s="176">
        <f t="shared" si="943"/>
        <v>-4.7891203305216234E-2</v>
      </c>
      <c r="BM86" s="176">
        <f t="shared" si="943"/>
        <v>-4.6698367908589056E-2</v>
      </c>
      <c r="BN86" s="176">
        <f t="shared" si="943"/>
        <v>9.3692272167486879E-2</v>
      </c>
      <c r="BO86" s="176">
        <f t="shared" si="943"/>
        <v>-0.18872364284795162</v>
      </c>
      <c r="BP86" s="176">
        <f t="shared" si="943"/>
        <v>-0.26395819772908191</v>
      </c>
      <c r="BQ86" s="176">
        <f t="shared" si="943"/>
        <v>-0.18127169742371774</v>
      </c>
      <c r="BR86" s="176">
        <f t="shared" si="943"/>
        <v>-7.6059609057478772E-2</v>
      </c>
      <c r="BS86" s="176">
        <f t="shared" si="943"/>
        <v>0.28206929369377676</v>
      </c>
      <c r="BT86" s="176">
        <f t="shared" si="943"/>
        <v>0.45189024540028289</v>
      </c>
      <c r="BU86" s="176">
        <f t="shared" si="943"/>
        <v>0.24778504318329109</v>
      </c>
      <c r="BV86" s="176">
        <f t="shared" si="943"/>
        <v>-4.008454888220403E-2</v>
      </c>
      <c r="BW86" s="176">
        <f t="shared" si="943"/>
        <v>-0.13188638894289428</v>
      </c>
      <c r="BX86" s="176">
        <f t="shared" si="943"/>
        <v>-0.1767532357668562</v>
      </c>
      <c r="BY86" s="176">
        <f t="shared" si="943"/>
        <v>-0.25309414794677376</v>
      </c>
      <c r="BZ86" s="176">
        <f t="shared" si="943"/>
        <v>-0.24848737328651527</v>
      </c>
      <c r="CA86" s="176">
        <f t="shared" si="943"/>
        <v>-0.18716533990268103</v>
      </c>
      <c r="CB86" s="176">
        <f t="shared" si="943"/>
        <v>-0.30761642484278007</v>
      </c>
      <c r="CC86" s="176">
        <f t="shared" si="943"/>
        <v>-0.33076315222336583</v>
      </c>
      <c r="CD86" s="176">
        <f t="shared" si="943"/>
        <v>-0.33479397091043472</v>
      </c>
      <c r="CE86" s="176">
        <f t="shared" si="943"/>
        <v>0.14452459673379203</v>
      </c>
      <c r="CF86" s="176">
        <f t="shared" si="943"/>
        <v>0.6451469278717703</v>
      </c>
      <c r="CG86" s="176">
        <f t="shared" si="943"/>
        <v>1.56472735079433</v>
      </c>
      <c r="CH86" s="176">
        <f t="shared" si="943"/>
        <v>2.3387698412698366</v>
      </c>
      <c r="CI86" s="176">
        <f t="shared" si="943"/>
        <v>0.41725390642097682</v>
      </c>
      <c r="CJ86" s="176">
        <f t="shared" si="943"/>
        <v>-1.1456923770861493E-2</v>
      </c>
      <c r="CK86" s="176">
        <f t="shared" si="943"/>
        <v>-0.26448471658365846</v>
      </c>
      <c r="CL86" s="176">
        <f t="shared" si="943"/>
        <v>-0.52176806874502379</v>
      </c>
      <c r="CM86" s="102">
        <f t="shared" ref="CM86:DB86" si="944">+IF(CI85&lt;0,1-CM85/CI85,CM85/CI85-1)</f>
        <v>-0.37743127295961509</v>
      </c>
      <c r="CN86" s="102">
        <f t="shared" si="944"/>
        <v>-0.20652158177331603</v>
      </c>
      <c r="CO86" s="102">
        <f t="shared" si="944"/>
        <v>-0.18670359442098083</v>
      </c>
      <c r="CP86" s="102">
        <f t="shared" si="944"/>
        <v>0.31867743759171985</v>
      </c>
      <c r="CQ86" s="102">
        <f t="shared" si="944"/>
        <v>0.48183301000300949</v>
      </c>
      <c r="CR86" s="102">
        <f t="shared" si="944"/>
        <v>0.44324887088032683</v>
      </c>
      <c r="CS86" s="102">
        <f t="shared" si="944"/>
        <v>0.50912013169655013</v>
      </c>
      <c r="CT86" s="102">
        <f t="shared" si="944"/>
        <v>0.2976460212989458</v>
      </c>
      <c r="CU86" s="102">
        <f t="shared" si="944"/>
        <v>0.22208370988121984</v>
      </c>
      <c r="CV86" s="102">
        <f t="shared" si="944"/>
        <v>0.19804328246287484</v>
      </c>
      <c r="CW86" s="102">
        <f t="shared" si="944"/>
        <v>0.19525666878557235</v>
      </c>
      <c r="CX86" s="102">
        <f t="shared" si="944"/>
        <v>0.17910548023235795</v>
      </c>
      <c r="CY86" s="102">
        <f t="shared" si="944"/>
        <v>0.17118159136786804</v>
      </c>
      <c r="CZ86" s="102">
        <f t="shared" si="944"/>
        <v>0.16645926181342441</v>
      </c>
      <c r="DA86" s="102">
        <f t="shared" si="944"/>
        <v>0.16619771125551064</v>
      </c>
      <c r="DB86" s="102">
        <f t="shared" si="944"/>
        <v>0.16971374344839751</v>
      </c>
      <c r="DE86" s="135"/>
      <c r="DF86" s="97">
        <v>-0.33654898973849512</v>
      </c>
    </row>
    <row r="87" spans="1:110" s="144" customFormat="1" x14ac:dyDescent="0.2">
      <c r="A87" s="144" t="s">
        <v>424</v>
      </c>
      <c r="AB87" s="145"/>
      <c r="AC87" s="145"/>
      <c r="AD87" s="145"/>
      <c r="AE87" s="145"/>
      <c r="CM87" s="145"/>
      <c r="CN87" s="145"/>
      <c r="CO87" s="145"/>
      <c r="CP87" s="145">
        <v>29.3</v>
      </c>
      <c r="CQ87" s="145"/>
      <c r="CR87" s="145"/>
      <c r="CS87" s="145"/>
      <c r="CT87" s="145">
        <v>37.299999999999997</v>
      </c>
      <c r="CU87" s="145"/>
      <c r="CV87" s="145"/>
      <c r="CW87" s="145"/>
      <c r="CX87" s="145"/>
      <c r="CY87" s="145"/>
      <c r="CZ87" s="145"/>
      <c r="DA87" s="145"/>
      <c r="DB87" s="145"/>
      <c r="DE87" s="146"/>
      <c r="DF87" s="144">
        <v>17</v>
      </c>
    </row>
    <row r="88" spans="1:110" s="144" customFormat="1" x14ac:dyDescent="0.2">
      <c r="A88" s="144" t="s">
        <v>436</v>
      </c>
      <c r="AB88" s="145"/>
      <c r="AC88" s="145"/>
      <c r="AD88" s="145"/>
      <c r="AE88" s="145"/>
      <c r="CM88" s="145"/>
      <c r="CN88" s="145"/>
      <c r="CO88" s="145"/>
      <c r="CP88" s="145">
        <f>+CP85/CP87-1</f>
        <v>-0.45256690723514503</v>
      </c>
      <c r="CQ88" s="145"/>
      <c r="CR88" s="145"/>
      <c r="CS88" s="145"/>
      <c r="CT88" s="145">
        <f>+CT85/CT87-1</f>
        <v>-0.44198474047498282</v>
      </c>
      <c r="CU88" s="145"/>
      <c r="CV88" s="145"/>
      <c r="CW88" s="145"/>
      <c r="CX88" s="145"/>
      <c r="CY88" s="145"/>
      <c r="CZ88" s="145"/>
      <c r="DA88" s="145"/>
      <c r="DB88" s="145"/>
      <c r="DE88" s="146"/>
      <c r="DF88" s="144">
        <v>-7.3835683481721093E-3</v>
      </c>
    </row>
    <row r="89" spans="1:110" s="3" customFormat="1" x14ac:dyDescent="0.2">
      <c r="A89" s="3" t="s">
        <v>34</v>
      </c>
      <c r="B89" s="3">
        <f>'Annual Raw'!C112</f>
        <v>20.04</v>
      </c>
      <c r="C89" s="3">
        <f>'Annual Raw'!D112</f>
        <v>24.85</v>
      </c>
      <c r="D89" s="3">
        <f>'Annual Raw'!E112</f>
        <v>25.69</v>
      </c>
      <c r="E89" s="3">
        <f>'Annual Raw'!F112</f>
        <v>27.74</v>
      </c>
      <c r="F89" s="3">
        <f>'Annual Raw'!G112</f>
        <v>27.74</v>
      </c>
      <c r="G89" s="3">
        <f>'Annual Raw'!H112</f>
        <v>27.56</v>
      </c>
      <c r="H89" s="3">
        <f>'Annual Raw'!I112</f>
        <v>27.61</v>
      </c>
      <c r="I89" s="3">
        <f>'Annual Raw'!J112</f>
        <v>27.55</v>
      </c>
      <c r="J89" s="3">
        <f>'Annual Raw'!K112</f>
        <v>27.73</v>
      </c>
      <c r="K89" s="3">
        <f>'Annual Raw'!L112</f>
        <v>27.68</v>
      </c>
      <c r="L89" s="3">
        <f>'Annual Raw'!M112</f>
        <v>30.61</v>
      </c>
      <c r="M89" s="3">
        <f>'Annual Raw'!N112</f>
        <v>30.15</v>
      </c>
      <c r="N89" s="3">
        <f>'Annual Raw'!O112</f>
        <v>30.15</v>
      </c>
      <c r="O89" s="3">
        <f>'Annual Raw'!P112</f>
        <v>30.3</v>
      </c>
      <c r="P89" s="3">
        <f>'Annual Raw'!Q112</f>
        <v>30.3</v>
      </c>
      <c r="Q89" s="3">
        <f>'Annual Raw'!R112</f>
        <v>30.3</v>
      </c>
      <c r="R89" s="3">
        <f>'Annual Raw'!S112</f>
        <v>30.3</v>
      </c>
      <c r="S89" s="3">
        <f>'Annual Raw'!T112</f>
        <v>30.3</v>
      </c>
      <c r="T89" s="3">
        <f>'Annual Raw'!U112</f>
        <v>30.3</v>
      </c>
      <c r="U89" s="3">
        <f>'Annual Raw'!V112</f>
        <v>30.3</v>
      </c>
      <c r="V89" s="3">
        <f>'Annual Raw'!W112</f>
        <v>30.3</v>
      </c>
      <c r="W89" s="3">
        <f>'Annual Raw'!X112</f>
        <v>30.3</v>
      </c>
      <c r="X89" s="3">
        <f>'Annual Raw'!Y112</f>
        <v>30.3</v>
      </c>
      <c r="Y89" s="3">
        <f>'Annual Raw'!Z112</f>
        <v>30.3</v>
      </c>
      <c r="Z89" s="3">
        <f>'Annual Raw'!AA112</f>
        <v>30.3</v>
      </c>
      <c r="AA89" s="3">
        <f>'Annual Raw'!AB112</f>
        <v>30.3</v>
      </c>
      <c r="AB89" s="37"/>
      <c r="AC89" s="37"/>
      <c r="AD89" s="37"/>
      <c r="AE89" s="37"/>
      <c r="AI89" s="3">
        <f>'QTR Raw'!C49</f>
        <v>30.15</v>
      </c>
      <c r="AJ89" s="3">
        <f>'QTR Raw'!D49</f>
        <v>30.15</v>
      </c>
      <c r="AK89" s="3">
        <f>'QTR Raw'!E49</f>
        <v>30.15</v>
      </c>
      <c r="AL89" s="3">
        <f>'QTR Raw'!F49</f>
        <v>30.15</v>
      </c>
      <c r="AM89" s="3">
        <f>'QTR Raw'!G49</f>
        <v>30.15</v>
      </c>
      <c r="AN89" s="3">
        <f>'QTR Raw'!H49</f>
        <v>30.15</v>
      </c>
      <c r="AO89" s="3">
        <f>'QTR Raw'!I49</f>
        <v>30.3</v>
      </c>
      <c r="AP89" s="3">
        <f>'QTR Raw'!J49</f>
        <v>30.3</v>
      </c>
      <c r="AQ89" s="3">
        <f>'QTR Raw'!K49</f>
        <v>30.3</v>
      </c>
      <c r="AR89" s="3">
        <f>'QTR Raw'!L49</f>
        <v>30.3</v>
      </c>
      <c r="AS89" s="3">
        <f>'QTR Raw'!M49</f>
        <v>30.3</v>
      </c>
      <c r="AT89" s="3">
        <f>'QTR Raw'!N49</f>
        <v>30.3</v>
      </c>
      <c r="AU89" s="3">
        <f>'QTR Raw'!O49</f>
        <v>30.3</v>
      </c>
      <c r="AV89" s="3">
        <f>'QTR Raw'!P49</f>
        <v>30.3</v>
      </c>
      <c r="AW89" s="3">
        <f>'QTR Raw'!Q49</f>
        <v>30.3</v>
      </c>
      <c r="AX89" s="3">
        <f>'QTR Raw'!R49</f>
        <v>30.3</v>
      </c>
      <c r="AY89" s="3">
        <f>'QTR Raw'!S49</f>
        <v>30.3</v>
      </c>
      <c r="AZ89" s="3">
        <f>'QTR Raw'!T49</f>
        <v>30.3</v>
      </c>
      <c r="BA89" s="3">
        <f>'QTR Raw'!U49</f>
        <v>30.3</v>
      </c>
      <c r="BB89" s="3">
        <f>'QTR Raw'!V49</f>
        <v>30.3</v>
      </c>
      <c r="BC89" s="3">
        <f>'QTR Raw'!W49</f>
        <v>30.31</v>
      </c>
      <c r="BD89" s="3">
        <f>'QTR Raw'!X49</f>
        <v>30.3</v>
      </c>
      <c r="BE89" s="3">
        <f>'QTR Raw'!Y49</f>
        <v>30.3</v>
      </c>
      <c r="BF89" s="3">
        <f>'QTR Raw'!Z49</f>
        <v>30.3</v>
      </c>
      <c r="BG89" s="3">
        <f>'QTR Raw'!AA49</f>
        <v>30.3</v>
      </c>
      <c r="BH89" s="3">
        <f>'QTR Raw'!AB49</f>
        <v>30.3</v>
      </c>
      <c r="BI89" s="3">
        <f>'QTR Raw'!AC49</f>
        <v>30.3</v>
      </c>
      <c r="BJ89" s="3">
        <f>'QTR Raw'!AD49</f>
        <v>30.3</v>
      </c>
      <c r="BK89" s="3">
        <f>'QTR Raw'!AE49</f>
        <v>30.3</v>
      </c>
      <c r="BL89" s="3">
        <f>'QTR Raw'!AF49</f>
        <v>30.3</v>
      </c>
      <c r="BM89" s="3">
        <f>'QTR Raw'!AG49</f>
        <v>30.3</v>
      </c>
      <c r="BN89" s="3">
        <f>'QTR Raw'!AH49</f>
        <v>30.3</v>
      </c>
      <c r="BO89" s="3">
        <f>'QTR Raw'!AI49</f>
        <v>30.3</v>
      </c>
      <c r="BP89" s="3">
        <f>'QTR Raw'!AJ49</f>
        <v>30.3</v>
      </c>
      <c r="BQ89" s="3">
        <f>'QTR Raw'!AK49</f>
        <v>30.3</v>
      </c>
      <c r="BR89" s="3">
        <f>'QTR Raw'!AL49</f>
        <v>30.3</v>
      </c>
      <c r="BS89" s="3">
        <f>'QTR Raw'!AM49</f>
        <v>30.3</v>
      </c>
      <c r="BT89" s="3">
        <f>'QTR Raw'!AN49</f>
        <v>30.3</v>
      </c>
      <c r="BU89" s="3">
        <f>'QTR Raw'!AO49</f>
        <v>30.3</v>
      </c>
      <c r="BV89" s="3">
        <f>'QTR Raw'!AP49</f>
        <v>30.3</v>
      </c>
      <c r="BW89" s="3">
        <f>'QTR Raw'!AQ49</f>
        <v>30.3</v>
      </c>
      <c r="BX89" s="3">
        <f>'QTR Raw'!AR49</f>
        <v>30.3</v>
      </c>
      <c r="BY89" s="3">
        <f>'QTR Raw'!AS49</f>
        <v>30.3</v>
      </c>
      <c r="BZ89" s="3">
        <f>'QTR Raw'!AT49</f>
        <v>30.3</v>
      </c>
      <c r="CA89" s="3">
        <f>'QTR Raw'!AU49</f>
        <v>30.3</v>
      </c>
      <c r="CB89" s="3">
        <f>'QTR Raw'!AV49</f>
        <v>30.3</v>
      </c>
      <c r="CC89" s="3">
        <f>'QTR Raw'!AW49</f>
        <v>30.3</v>
      </c>
      <c r="CD89" s="3">
        <f>'QTR Raw'!AX49</f>
        <v>30.3</v>
      </c>
      <c r="CE89" s="3">
        <f>'QTR Raw'!AY49</f>
        <v>30.3</v>
      </c>
      <c r="CF89" s="3">
        <f>'QTR Raw'!AZ49</f>
        <v>30.3</v>
      </c>
      <c r="CG89" s="3">
        <f>'QTR Raw'!BA49</f>
        <v>30.3</v>
      </c>
      <c r="CH89" s="3">
        <f>'QTR Raw'!BB49</f>
        <v>30.3</v>
      </c>
      <c r="CI89" s="3">
        <f>'QTR Raw'!BC49</f>
        <v>30.3</v>
      </c>
      <c r="CJ89" s="3">
        <f>'QTR Raw'!BD49</f>
        <v>30.3</v>
      </c>
      <c r="CK89" s="3">
        <f>'QTR Raw'!BE49</f>
        <v>30.3</v>
      </c>
      <c r="CL89" s="3">
        <f>'QTR Raw'!BF49</f>
        <v>30.3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3" customFormat="1" x14ac:dyDescent="0.2">
      <c r="A90" s="3" t="s">
        <v>35</v>
      </c>
      <c r="B90" s="3">
        <f>'Annual Raw'!C113</f>
        <v>0</v>
      </c>
      <c r="C90" s="3">
        <f>'Annual Raw'!D113</f>
        <v>0</v>
      </c>
      <c r="D90" s="3">
        <f>'Annual Raw'!E113</f>
        <v>0</v>
      </c>
      <c r="E90" s="3">
        <f>'Annual Raw'!F113</f>
        <v>0</v>
      </c>
      <c r="F90" s="3">
        <f>'Annual Raw'!G113</f>
        <v>0</v>
      </c>
      <c r="G90" s="3">
        <f>'Annual Raw'!H113</f>
        <v>0</v>
      </c>
      <c r="H90" s="3">
        <f>'Annual Raw'!I113</f>
        <v>0</v>
      </c>
      <c r="I90" s="3">
        <f>'Annual Raw'!J113</f>
        <v>0</v>
      </c>
      <c r="J90" s="3">
        <f>'Annual Raw'!K113</f>
        <v>0</v>
      </c>
      <c r="K90" s="3">
        <f>'Annual Raw'!L113</f>
        <v>0</v>
      </c>
      <c r="L90" s="3">
        <f>'Annual Raw'!M113</f>
        <v>0</v>
      </c>
      <c r="M90" s="3">
        <f>'Annual Raw'!N113</f>
        <v>0</v>
      </c>
      <c r="N90" s="3">
        <f>'Annual Raw'!O113</f>
        <v>0</v>
      </c>
      <c r="O90" s="3">
        <f>'Annual Raw'!P113</f>
        <v>0</v>
      </c>
      <c r="P90" s="3">
        <f>'Annual Raw'!Q113</f>
        <v>0</v>
      </c>
      <c r="Q90" s="3">
        <f>'Annual Raw'!R113</f>
        <v>0</v>
      </c>
      <c r="R90" s="3">
        <f>'Annual Raw'!S113</f>
        <v>0</v>
      </c>
      <c r="S90" s="3">
        <f>'Annual Raw'!T113</f>
        <v>0</v>
      </c>
      <c r="T90" s="3">
        <f>'Annual Raw'!U113</f>
        <v>0</v>
      </c>
      <c r="U90" s="3">
        <f>'Annual Raw'!V113</f>
        <v>0</v>
      </c>
      <c r="V90" s="3">
        <f>'Annual Raw'!W113</f>
        <v>0</v>
      </c>
      <c r="W90" s="3">
        <f>'Annual Raw'!X113</f>
        <v>0</v>
      </c>
      <c r="X90" s="3">
        <f>'Annual Raw'!Y113</f>
        <v>0</v>
      </c>
      <c r="Y90" s="3">
        <f>'Annual Raw'!Z113</f>
        <v>0</v>
      </c>
      <c r="Z90" s="3">
        <f>'Annual Raw'!AA113</f>
        <v>0</v>
      </c>
      <c r="AA90" s="3">
        <f>'Annual Raw'!AB113</f>
        <v>0</v>
      </c>
      <c r="AB90" s="37"/>
      <c r="AC90" s="37"/>
      <c r="AD90" s="37"/>
      <c r="AE90" s="37"/>
      <c r="AI90" s="3">
        <f>'QTR Raw'!C50</f>
        <v>0</v>
      </c>
      <c r="AJ90" s="3">
        <f>'QTR Raw'!D50</f>
        <v>0</v>
      </c>
      <c r="AK90" s="3">
        <f>'QTR Raw'!E50</f>
        <v>0</v>
      </c>
      <c r="AL90" s="3">
        <f>'QTR Raw'!F50</f>
        <v>0</v>
      </c>
      <c r="AM90" s="3">
        <f>'QTR Raw'!G50</f>
        <v>0</v>
      </c>
      <c r="AN90" s="3">
        <f>'QTR Raw'!H50</f>
        <v>0</v>
      </c>
      <c r="AO90" s="3">
        <f>'QTR Raw'!I50</f>
        <v>0</v>
      </c>
      <c r="AP90" s="3">
        <f>'QTR Raw'!J50</f>
        <v>0</v>
      </c>
      <c r="AQ90" s="3">
        <f>'QTR Raw'!K50</f>
        <v>0</v>
      </c>
      <c r="AR90" s="3">
        <f>'QTR Raw'!L50</f>
        <v>0</v>
      </c>
      <c r="AS90" s="3">
        <f>'QTR Raw'!M50</f>
        <v>0</v>
      </c>
      <c r="AT90" s="3">
        <f>'QTR Raw'!N50</f>
        <v>0</v>
      </c>
      <c r="AU90" s="3">
        <f>'QTR Raw'!O50</f>
        <v>0</v>
      </c>
      <c r="AV90" s="3">
        <f>'QTR Raw'!P50</f>
        <v>0</v>
      </c>
      <c r="AW90" s="3">
        <f>'QTR Raw'!Q50</f>
        <v>0</v>
      </c>
      <c r="AX90" s="3">
        <f>'QTR Raw'!R50</f>
        <v>0</v>
      </c>
      <c r="AY90" s="3">
        <f>'QTR Raw'!S50</f>
        <v>0</v>
      </c>
      <c r="AZ90" s="3">
        <f>'QTR Raw'!T50</f>
        <v>0</v>
      </c>
      <c r="BA90" s="3">
        <f>'QTR Raw'!U50</f>
        <v>0</v>
      </c>
      <c r="BB90" s="3">
        <f>'QTR Raw'!V50</f>
        <v>0</v>
      </c>
      <c r="BC90" s="3">
        <f>'QTR Raw'!W50</f>
        <v>0</v>
      </c>
      <c r="BD90" s="3">
        <f>'QTR Raw'!X50</f>
        <v>0</v>
      </c>
      <c r="BE90" s="3">
        <f>'QTR Raw'!Y50</f>
        <v>0</v>
      </c>
      <c r="BF90" s="3">
        <f>'QTR Raw'!Z50</f>
        <v>0</v>
      </c>
      <c r="BG90" s="3">
        <f>'QTR Raw'!AA50</f>
        <v>0</v>
      </c>
      <c r="BH90" s="3">
        <f>'QTR Raw'!AB50</f>
        <v>0</v>
      </c>
      <c r="BI90" s="3">
        <f>'QTR Raw'!AC50</f>
        <v>0</v>
      </c>
      <c r="BJ90" s="3">
        <f>'QTR Raw'!AD50</f>
        <v>0</v>
      </c>
      <c r="BK90" s="3">
        <f>'QTR Raw'!AE50</f>
        <v>0</v>
      </c>
      <c r="BL90" s="3">
        <f>'QTR Raw'!AF50</f>
        <v>0</v>
      </c>
      <c r="BM90" s="3">
        <f>'QTR Raw'!AG50</f>
        <v>0</v>
      </c>
      <c r="BN90" s="3">
        <f>'QTR Raw'!AH50</f>
        <v>0</v>
      </c>
      <c r="BO90" s="3">
        <f>'QTR Raw'!AI50</f>
        <v>0</v>
      </c>
      <c r="BP90" s="3">
        <f>'QTR Raw'!AJ50</f>
        <v>0</v>
      </c>
      <c r="BQ90" s="3">
        <f>'QTR Raw'!AK50</f>
        <v>0</v>
      </c>
      <c r="BR90" s="3">
        <f>'QTR Raw'!AL50</f>
        <v>0</v>
      </c>
      <c r="BS90" s="3">
        <f>'QTR Raw'!AM50</f>
        <v>0</v>
      </c>
      <c r="BT90" s="3">
        <f>'QTR Raw'!AN50</f>
        <v>0</v>
      </c>
      <c r="BU90" s="3">
        <f>'QTR Raw'!AO50</f>
        <v>0</v>
      </c>
      <c r="BV90" s="3">
        <f>'QTR Raw'!AP50</f>
        <v>0</v>
      </c>
      <c r="BW90" s="3">
        <f>'QTR Raw'!AQ50</f>
        <v>0</v>
      </c>
      <c r="BX90" s="3">
        <f>'QTR Raw'!AR50</f>
        <v>0</v>
      </c>
      <c r="BY90" s="3">
        <f>'QTR Raw'!AS50</f>
        <v>0</v>
      </c>
      <c r="BZ90" s="3">
        <f>'QTR Raw'!AT50</f>
        <v>0</v>
      </c>
      <c r="CA90" s="3">
        <f>'QTR Raw'!AU50</f>
        <v>0</v>
      </c>
      <c r="CB90" s="3">
        <f>'QTR Raw'!AV50</f>
        <v>0</v>
      </c>
      <c r="CC90" s="3">
        <f>'QTR Raw'!AW50</f>
        <v>0</v>
      </c>
      <c r="CD90" s="3">
        <f>'QTR Raw'!AX50</f>
        <v>0</v>
      </c>
      <c r="CE90" s="3">
        <f>'QTR Raw'!AY50</f>
        <v>0</v>
      </c>
      <c r="CF90" s="3">
        <f>'QTR Raw'!AZ50</f>
        <v>0</v>
      </c>
      <c r="CG90" s="3">
        <f>'QTR Raw'!BA50</f>
        <v>0</v>
      </c>
      <c r="CH90" s="3">
        <f>'QTR Raw'!BB50</f>
        <v>0</v>
      </c>
      <c r="CI90" s="3">
        <f>'QTR Raw'!BC50</f>
        <v>0</v>
      </c>
      <c r="CJ90" s="3">
        <f>'QTR Raw'!BD50</f>
        <v>0</v>
      </c>
      <c r="CK90" s="3">
        <f>'QTR Raw'!BE50</f>
        <v>0</v>
      </c>
      <c r="CL90" s="3">
        <f>'QTR Raw'!BF50</f>
        <v>0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3" customFormat="1" x14ac:dyDescent="0.2"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36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457</v>
      </c>
      <c r="B93" s="13">
        <f>'Annual Raw'!C106</f>
        <v>4</v>
      </c>
      <c r="C93" s="13">
        <f>'Annual Raw'!D106</f>
        <v>4.88</v>
      </c>
      <c r="D93" s="13">
        <f>'Annual Raw'!E106</f>
        <v>5.16</v>
      </c>
      <c r="E93" s="13">
        <f>'Annual Raw'!F106</f>
        <v>11.54</v>
      </c>
      <c r="F93" s="13">
        <f>'Annual Raw'!G106</f>
        <v>22.84</v>
      </c>
      <c r="G93" s="13">
        <f>'Annual Raw'!H106</f>
        <v>100.47499999999999</v>
      </c>
      <c r="H93" s="13">
        <f>'Annual Raw'!I106</f>
        <v>84.8</v>
      </c>
      <c r="I93" s="13">
        <f>'Annual Raw'!J106</f>
        <v>177.95</v>
      </c>
      <c r="J93" s="13">
        <f>'Annual Raw'!K106</f>
        <v>46.15</v>
      </c>
      <c r="K93" s="13">
        <f>'Annual Raw'!L106</f>
        <v>177.3</v>
      </c>
      <c r="L93" s="13">
        <f>'Annual Raw'!M106</f>
        <v>181.65</v>
      </c>
      <c r="M93" s="13">
        <f>'Annual Raw'!N106</f>
        <v>112.05</v>
      </c>
      <c r="N93" s="13">
        <f>'Annual Raw'!O106</f>
        <v>75.45</v>
      </c>
      <c r="O93" s="13">
        <f>'Annual Raw'!P106</f>
        <v>160.94999999999999</v>
      </c>
      <c r="P93" s="13">
        <f>'Annual Raw'!Q106</f>
        <v>279.35000000000002</v>
      </c>
      <c r="Q93" s="13">
        <f>'Annual Raw'!R106</f>
        <v>276.95</v>
      </c>
      <c r="R93" s="13">
        <f>'Annual Raw'!S106</f>
        <v>412.15</v>
      </c>
      <c r="S93" s="13">
        <f>'Annual Raw'!T106</f>
        <v>620.6</v>
      </c>
      <c r="T93" s="13">
        <f>'Annual Raw'!U106</f>
        <v>630.45000000000005</v>
      </c>
      <c r="U93" s="13">
        <f>'Annual Raw'!V106</f>
        <v>478.85</v>
      </c>
      <c r="V93" s="13">
        <f>'Annual Raw'!W106</f>
        <v>1001.85</v>
      </c>
      <c r="W93" s="13">
        <f>'Annual Raw'!X106</f>
        <v>1244.5</v>
      </c>
      <c r="X93" s="13">
        <f>'Annual Raw'!Y106</f>
        <v>818.25</v>
      </c>
      <c r="Y93" s="13">
        <f>'Annual Raw'!Z106</f>
        <v>1103.55</v>
      </c>
      <c r="Z93" s="13">
        <f>'Annual Raw'!AA106</f>
        <v>1458.5</v>
      </c>
      <c r="AA93" s="13">
        <f>'Annual Raw'!AB106</f>
        <v>1270.25</v>
      </c>
      <c r="AB93" s="37">
        <f>+CP93</f>
        <v>1389</v>
      </c>
      <c r="AC93" s="37">
        <f>+CT93</f>
        <v>1389</v>
      </c>
      <c r="AD93" s="37">
        <f>+CX93</f>
        <v>1389</v>
      </c>
      <c r="AE93" s="37">
        <f>+DB93</f>
        <v>1389</v>
      </c>
      <c r="AJ93" s="13">
        <f>'QTR Share Price'!HP21</f>
        <v>124.6</v>
      </c>
      <c r="AK93" s="13">
        <f>'QTR Share Price'!HQ21</f>
        <v>105.85</v>
      </c>
      <c r="AL93" s="13">
        <f>'QTR Share Price'!HR21</f>
        <v>75.45</v>
      </c>
      <c r="AM93" s="13">
        <f>'QTR Share Price'!HS21</f>
        <v>80.95</v>
      </c>
      <c r="AN93" s="13">
        <f>'QTR Share Price'!HT21</f>
        <v>73.95</v>
      </c>
      <c r="AO93" s="13">
        <f>'QTR Share Price'!HU21</f>
        <v>115.8</v>
      </c>
      <c r="AP93" s="13">
        <f>'QTR Share Price'!HV21</f>
        <v>160.94999999999999</v>
      </c>
      <c r="AQ93" s="13">
        <f>'QTR Share Price'!HW21</f>
        <v>218.2</v>
      </c>
      <c r="AR93" s="13">
        <f>'QTR Share Price'!HX21</f>
        <v>241.8</v>
      </c>
      <c r="AS93" s="13">
        <f>'QTR Share Price'!HY21</f>
        <v>242.1</v>
      </c>
      <c r="AT93" s="13">
        <f>'QTR Share Price'!HZ21</f>
        <v>279.35000000000002</v>
      </c>
      <c r="AU93" s="13">
        <f>'QTR Share Price'!IA21</f>
        <v>314.60000000000002</v>
      </c>
      <c r="AV93" s="13">
        <f>'QTR Share Price'!IB21</f>
        <v>268.3</v>
      </c>
      <c r="AW93" s="13">
        <f>'QTR Share Price'!IC21</f>
        <v>323.7</v>
      </c>
      <c r="AX93" s="13">
        <f>'QTR Share Price'!ID21</f>
        <v>276.95</v>
      </c>
      <c r="AY93" s="13">
        <f>'QTR Share Price'!IE21</f>
        <v>321.3</v>
      </c>
      <c r="AZ93" s="13">
        <f>'QTR Share Price'!IF21</f>
        <v>379.5</v>
      </c>
      <c r="BA93" s="13">
        <f>'QTR Share Price'!IG21</f>
        <v>328.25</v>
      </c>
      <c r="BB93" s="13">
        <f>'QTR Share Price'!IH21</f>
        <v>412.15</v>
      </c>
      <c r="BC93" s="13">
        <f>'QTR Share Price'!II21</f>
        <v>457.85</v>
      </c>
      <c r="BD93" s="13">
        <f>'QTR Share Price'!IJ21</f>
        <v>504.7</v>
      </c>
      <c r="BE93" s="13">
        <f>'QTR Share Price'!IK21</f>
        <v>655.7</v>
      </c>
      <c r="BF93" s="13">
        <f>'QTR Share Price'!IL21</f>
        <v>620.6</v>
      </c>
      <c r="BG93" s="13">
        <f>'QTR Share Price'!IM21</f>
        <v>521.65</v>
      </c>
      <c r="BH93" s="13">
        <f>'QTR Share Price'!IN21</f>
        <v>529.15</v>
      </c>
      <c r="BI93" s="13">
        <f>'QTR Share Price'!IO21</f>
        <v>552.45000000000005</v>
      </c>
      <c r="BJ93" s="13">
        <f>'QTR Share Price'!IP21</f>
        <v>630.45000000000005</v>
      </c>
      <c r="BK93" s="13">
        <f>'QTR Share Price'!IQ21</f>
        <v>643.54999999999995</v>
      </c>
      <c r="BL93" s="13">
        <f>'QTR Share Price'!IR21</f>
        <v>679.85</v>
      </c>
      <c r="BM93" s="13">
        <f>'QTR Share Price'!IS21</f>
        <v>659.3</v>
      </c>
      <c r="BN93" s="13">
        <f>'QTR Share Price'!IT21</f>
        <v>478.85</v>
      </c>
      <c r="BO93" s="13">
        <f>'QTR Share Price'!IU21</f>
        <v>546.15</v>
      </c>
      <c r="BP93" s="13">
        <f>'QTR Share Price'!IV21</f>
        <v>680.8</v>
      </c>
      <c r="BQ93" s="13">
        <f>'QTR Share Price'!IW21</f>
        <v>826</v>
      </c>
      <c r="BR93" s="13">
        <f>'QTR Share Price'!IX21</f>
        <v>1001.85</v>
      </c>
      <c r="BS93" s="13">
        <f>'QTR Share Price'!IY21</f>
        <v>1022.35</v>
      </c>
      <c r="BT93" s="13">
        <f>'QTR Share Price'!IZ21</f>
        <v>1219.0999999999999</v>
      </c>
      <c r="BU93" s="13">
        <f>'QTR Share Price'!JA21</f>
        <v>1219.3499999999999</v>
      </c>
      <c r="BV93" s="13">
        <f>'QTR Share Price'!JB21</f>
        <v>1244.5</v>
      </c>
      <c r="BW93" s="13">
        <f>'QTR Share Price'!JC21</f>
        <v>972.85</v>
      </c>
      <c r="BX93" s="13">
        <f>'QTR Share Price'!JD21</f>
        <v>906.4</v>
      </c>
      <c r="BY93" s="13">
        <f>'QTR Share Price'!JE21</f>
        <v>803.4</v>
      </c>
      <c r="BZ93" s="13">
        <f>'QTR Share Price'!JF21</f>
        <v>818.25</v>
      </c>
      <c r="CA93" s="13">
        <f>'QTR Share Price'!JG21</f>
        <v>759.8</v>
      </c>
      <c r="CB93" s="13">
        <f>'QTR Share Price'!JH21</f>
        <v>863</v>
      </c>
      <c r="CC93" s="13">
        <f>'QTR Share Price'!JI21</f>
        <v>978.45</v>
      </c>
      <c r="CD93" s="13">
        <f>'QTR Share Price'!JJ21</f>
        <v>1103.55</v>
      </c>
      <c r="CE93" s="13">
        <f>'QTR Share Price'!JK21</f>
        <v>1471.9</v>
      </c>
      <c r="CF93" s="13">
        <f>'QTR Share Price'!JL21</f>
        <v>1845.75</v>
      </c>
      <c r="CG93" s="13">
        <f>'QTR Share Price'!JM21</f>
        <v>1792.1</v>
      </c>
      <c r="CH93" s="13">
        <f>'QTR Share Price'!JN21</f>
        <v>1458.5</v>
      </c>
      <c r="CI93" s="13">
        <f>'QTR Share Price'!JO21</f>
        <v>1314.3</v>
      </c>
      <c r="CJ93" s="13">
        <f>'QTR Share Price'!JP21</f>
        <v>1351.95</v>
      </c>
      <c r="CK93" s="13">
        <f>'QTR Share Price'!JQ21</f>
        <v>1360.6</v>
      </c>
      <c r="CL93" s="13">
        <f>'QTR Share Price'!JR21</f>
        <v>1270.25</v>
      </c>
      <c r="CM93" s="37">
        <v>1389</v>
      </c>
      <c r="CN93" s="37">
        <f t="shared" ref="CN93" si="945">+CM93</f>
        <v>1389</v>
      </c>
      <c r="CO93" s="37">
        <f t="shared" ref="CO93" si="946">+CN93</f>
        <v>1389</v>
      </c>
      <c r="CP93" s="37">
        <f t="shared" ref="CP93" si="947">+CO93</f>
        <v>1389</v>
      </c>
      <c r="CQ93" s="37">
        <f t="shared" ref="CQ93" si="948">+CP93</f>
        <v>1389</v>
      </c>
      <c r="CR93" s="37">
        <f t="shared" ref="CR93" si="949">+CQ93</f>
        <v>1389</v>
      </c>
      <c r="CS93" s="37">
        <f t="shared" ref="CS93" si="950">+CR93</f>
        <v>1389</v>
      </c>
      <c r="CT93" s="37">
        <f t="shared" ref="CT93" si="951">+CS93</f>
        <v>1389</v>
      </c>
      <c r="CU93" s="37">
        <f t="shared" ref="CU93" si="952">+CT93</f>
        <v>1389</v>
      </c>
      <c r="CV93" s="37">
        <f t="shared" ref="CV93" si="953">+CU93</f>
        <v>1389</v>
      </c>
      <c r="CW93" s="37">
        <f t="shared" ref="CW93" si="954">+CV93</f>
        <v>1389</v>
      </c>
      <c r="CX93" s="37">
        <f t="shared" ref="CX93" si="955">+CW93</f>
        <v>1389</v>
      </c>
      <c r="CY93" s="37">
        <f t="shared" ref="CY93" si="956">+CX93</f>
        <v>1389</v>
      </c>
      <c r="CZ93" s="37">
        <f t="shared" ref="CZ93" si="957">+CY93</f>
        <v>1389</v>
      </c>
      <c r="DA93" s="37">
        <f t="shared" ref="DA93" si="958">+CZ93</f>
        <v>1389</v>
      </c>
      <c r="DB93" s="37">
        <f t="shared" ref="DB93" si="959">+DA93</f>
        <v>1389</v>
      </c>
      <c r="DE93" s="134"/>
      <c r="DF93" s="13">
        <v>1270.25</v>
      </c>
    </row>
    <row r="94" spans="1:110" s="13" customFormat="1" x14ac:dyDescent="0.2">
      <c r="A94" s="13" t="s">
        <v>458</v>
      </c>
      <c r="B94" s="13">
        <f>'Annual Raw'!C107</f>
        <v>6</v>
      </c>
      <c r="C94" s="13">
        <f>'Annual Raw'!D107</f>
        <v>5.65</v>
      </c>
      <c r="D94" s="13">
        <f>'Annual Raw'!E107</f>
        <v>6.55</v>
      </c>
      <c r="E94" s="13">
        <f>'Annual Raw'!F107</f>
        <v>15.9</v>
      </c>
      <c r="F94" s="13">
        <f>'Annual Raw'!G107</f>
        <v>24.79</v>
      </c>
      <c r="G94" s="13">
        <f>'Annual Raw'!H107</f>
        <v>108.84</v>
      </c>
      <c r="H94" s="13">
        <f>'Annual Raw'!I107</f>
        <v>120.5</v>
      </c>
      <c r="I94" s="13">
        <f>'Annual Raw'!J107</f>
        <v>266.89999999999998</v>
      </c>
      <c r="J94" s="13">
        <f>'Annual Raw'!K107</f>
        <v>197.05</v>
      </c>
      <c r="K94" s="13">
        <f>'Annual Raw'!L107</f>
        <v>189.6</v>
      </c>
      <c r="L94" s="13">
        <f>'Annual Raw'!M107</f>
        <v>262.5</v>
      </c>
      <c r="M94" s="13">
        <f>'Annual Raw'!N107</f>
        <v>188.5</v>
      </c>
      <c r="N94" s="13">
        <f>'Annual Raw'!O107</f>
        <v>138.5</v>
      </c>
      <c r="O94" s="13">
        <f>'Annual Raw'!P107</f>
        <v>164.35</v>
      </c>
      <c r="P94" s="13">
        <f>'Annual Raw'!Q107</f>
        <v>301.45</v>
      </c>
      <c r="Q94" s="13">
        <f>'Annual Raw'!R107</f>
        <v>360</v>
      </c>
      <c r="R94" s="13">
        <f>'Annual Raw'!S107</f>
        <v>424.9</v>
      </c>
      <c r="S94" s="13">
        <f>'Annual Raw'!T107</f>
        <v>675</v>
      </c>
      <c r="T94" s="13">
        <f>'Annual Raw'!U107</f>
        <v>664.6</v>
      </c>
      <c r="U94" s="13">
        <f>'Annual Raw'!V107</f>
        <v>740.5</v>
      </c>
      <c r="V94" s="13">
        <f>'Annual Raw'!W107</f>
        <v>1131.2</v>
      </c>
      <c r="W94" s="13">
        <f>'Annual Raw'!X107</f>
        <v>1356.9</v>
      </c>
      <c r="X94" s="13">
        <f>'Annual Raw'!Y107</f>
        <v>1347.75</v>
      </c>
      <c r="Y94" s="13">
        <f>'Annual Raw'!Z107</f>
        <v>1139</v>
      </c>
      <c r="Z94" s="13">
        <f>'Annual Raw'!AA107</f>
        <v>1946.2</v>
      </c>
      <c r="AA94" s="13">
        <f>'Annual Raw'!AB107</f>
        <v>1582</v>
      </c>
      <c r="AB94" s="37">
        <f>+MAX(CM94:CP94)</f>
        <v>2086.1477062701006</v>
      </c>
      <c r="AC94" s="37">
        <f>+MAX(CQ94:CT94)</f>
        <v>2707.0812708833182</v>
      </c>
      <c r="AD94" s="37">
        <f>+MAX(CU94:CX94)</f>
        <v>3191.9343619328965</v>
      </c>
      <c r="AE94" s="37">
        <f>+MAX(CY94:DB94)</f>
        <v>3733.6494913381007</v>
      </c>
      <c r="AJ94" s="13">
        <f>'QTR Share Price'!HP19</f>
        <v>138.5</v>
      </c>
      <c r="AK94" s="13">
        <f>'QTR Share Price'!HQ19</f>
        <v>127.25</v>
      </c>
      <c r="AL94" s="13">
        <f>'QTR Share Price'!HR19</f>
        <v>110.65</v>
      </c>
      <c r="AM94" s="13">
        <f>'QTR Share Price'!HS19</f>
        <v>96.75</v>
      </c>
      <c r="AN94" s="13">
        <f>'QTR Share Price'!HT19</f>
        <v>86.7</v>
      </c>
      <c r="AO94" s="13">
        <f>'QTR Share Price'!HU19</f>
        <v>124.5</v>
      </c>
      <c r="AP94" s="13">
        <f>'QTR Share Price'!HV19</f>
        <v>164.35</v>
      </c>
      <c r="AQ94" s="13">
        <f>'QTR Share Price'!HW19</f>
        <v>233.05</v>
      </c>
      <c r="AR94" s="13">
        <f>'QTR Share Price'!HX19</f>
        <v>270.7</v>
      </c>
      <c r="AS94" s="13">
        <f>'QTR Share Price'!HY19</f>
        <v>286.5</v>
      </c>
      <c r="AT94" s="13">
        <f>'QTR Share Price'!HZ19</f>
        <v>301.45</v>
      </c>
      <c r="AU94" s="13">
        <f>'QTR Share Price'!IA19</f>
        <v>360</v>
      </c>
      <c r="AV94" s="13">
        <f>'QTR Share Price'!IB19</f>
        <v>330.35</v>
      </c>
      <c r="AW94" s="13">
        <f>'QTR Share Price'!IC19</f>
        <v>325</v>
      </c>
      <c r="AX94" s="13">
        <f>'QTR Share Price'!ID19</f>
        <v>324.5</v>
      </c>
      <c r="AY94" s="13">
        <f>'QTR Share Price'!IE19</f>
        <v>349.1</v>
      </c>
      <c r="AZ94" s="13">
        <f>'QTR Share Price'!IF19</f>
        <v>402</v>
      </c>
      <c r="BA94" s="13">
        <f>'QTR Share Price'!IG19</f>
        <v>406</v>
      </c>
      <c r="BB94" s="13">
        <f>'QTR Share Price'!IH19</f>
        <v>424.9</v>
      </c>
      <c r="BC94" s="13">
        <f>'QTR Share Price'!II19</f>
        <v>514.65</v>
      </c>
      <c r="BD94" s="13">
        <f>'QTR Share Price'!IJ19</f>
        <v>564.95000000000005</v>
      </c>
      <c r="BE94" s="13">
        <f>'QTR Share Price'!IK19</f>
        <v>675</v>
      </c>
      <c r="BF94" s="13">
        <f>'QTR Share Price'!IL19</f>
        <v>664</v>
      </c>
      <c r="BG94" s="13">
        <f>'QTR Share Price'!IM19</f>
        <v>664.6</v>
      </c>
      <c r="BH94" s="13">
        <f>'QTR Share Price'!IN19</f>
        <v>637.25</v>
      </c>
      <c r="BI94" s="13">
        <f>'QTR Share Price'!IO19</f>
        <v>589.95000000000005</v>
      </c>
      <c r="BJ94" s="13">
        <f>'QTR Share Price'!IP19</f>
        <v>634.95000000000005</v>
      </c>
      <c r="BK94" s="13">
        <f>'QTR Share Price'!IQ19</f>
        <v>658.6</v>
      </c>
      <c r="BL94" s="13">
        <f>'QTR Share Price'!IR19</f>
        <v>704.25</v>
      </c>
      <c r="BM94" s="13">
        <f>'QTR Share Price'!IS19</f>
        <v>725.45</v>
      </c>
      <c r="BN94" s="13">
        <f>'QTR Share Price'!IT19</f>
        <v>740.5</v>
      </c>
      <c r="BO94" s="13">
        <f>'QTR Share Price'!IU19</f>
        <v>587.15</v>
      </c>
      <c r="BP94" s="13">
        <f>'QTR Share Price'!IV19</f>
        <v>713.7</v>
      </c>
      <c r="BQ94" s="13">
        <f>'QTR Share Price'!IW19</f>
        <v>844.95</v>
      </c>
      <c r="BR94" s="13">
        <f>'QTR Share Price'!IX19</f>
        <v>1131.2</v>
      </c>
      <c r="BS94" s="13">
        <f>'QTR Share Price'!IY19</f>
        <v>1124.9000000000001</v>
      </c>
      <c r="BT94" s="13">
        <f>'QTR Share Price'!IZ19</f>
        <v>1265</v>
      </c>
      <c r="BU94" s="13">
        <f>'QTR Share Price'!JA19</f>
        <v>1356.9</v>
      </c>
      <c r="BV94" s="13">
        <f>'QTR Share Price'!JB19</f>
        <v>1339.85</v>
      </c>
      <c r="BW94" s="13">
        <f>'QTR Share Price'!JC19</f>
        <v>1347.75</v>
      </c>
      <c r="BX94" s="13">
        <f>'QTR Share Price'!JD19</f>
        <v>1063.45</v>
      </c>
      <c r="BY94" s="13">
        <f>'QTR Share Price'!JE19</f>
        <v>935.65</v>
      </c>
      <c r="BZ94" s="13">
        <f>'QTR Share Price'!JF19</f>
        <v>933.5</v>
      </c>
      <c r="CA94" s="13">
        <f>'QTR Share Price'!JG19</f>
        <v>870.8</v>
      </c>
      <c r="CB94" s="13">
        <f>'QTR Share Price'!JH19</f>
        <v>914.1</v>
      </c>
      <c r="CC94" s="13">
        <f>'QTR Share Price'!JI19</f>
        <v>993</v>
      </c>
      <c r="CD94" s="13">
        <f>'QTR Share Price'!JJ19</f>
        <v>1139</v>
      </c>
      <c r="CE94" s="13">
        <f>'QTR Share Price'!JK19</f>
        <v>1550.5</v>
      </c>
      <c r="CF94" s="13">
        <f>'QTR Share Price'!JL19</f>
        <v>1946.2</v>
      </c>
      <c r="CG94" s="13">
        <f>'QTR Share Price'!JM19</f>
        <v>1901</v>
      </c>
      <c r="CH94" s="13">
        <f>'QTR Share Price'!JN19</f>
        <v>1859.65</v>
      </c>
      <c r="CI94" s="13">
        <f>'QTR Share Price'!JO19</f>
        <v>1455</v>
      </c>
      <c r="CJ94" s="13">
        <f>'QTR Share Price'!JP19</f>
        <v>1469.9</v>
      </c>
      <c r="CK94" s="13">
        <f>'QTR Share Price'!JQ19</f>
        <v>1463.45</v>
      </c>
      <c r="CL94" s="13">
        <f>'QTR Share Price'!JR19</f>
        <v>1582</v>
      </c>
      <c r="CM94" s="37">
        <f t="shared" ref="CM94:DB94" si="960">+CM85*CM102</f>
        <v>1585.1670180997648</v>
      </c>
      <c r="CN94" s="37">
        <f t="shared" si="960"/>
        <v>1709.2961147650317</v>
      </c>
      <c r="CO94" s="37">
        <f t="shared" si="960"/>
        <v>1685.8284484747085</v>
      </c>
      <c r="CP94" s="37">
        <f t="shared" si="960"/>
        <v>2086.1477062701006</v>
      </c>
      <c r="CQ94" s="37">
        <f t="shared" si="960"/>
        <v>2348.9528137882699</v>
      </c>
      <c r="CR94" s="37">
        <f t="shared" si="960"/>
        <v>2466.9396876347614</v>
      </c>
      <c r="CS94" s="37">
        <f t="shared" si="960"/>
        <v>2544.1176501799428</v>
      </c>
      <c r="CT94" s="37">
        <f t="shared" si="960"/>
        <v>2707.0812708833182</v>
      </c>
      <c r="CU94" s="37">
        <f t="shared" si="960"/>
        <v>2870.6169690102984</v>
      </c>
      <c r="CV94" s="37">
        <f t="shared" si="960"/>
        <v>2955.5005210118884</v>
      </c>
      <c r="CW94" s="37">
        <f t="shared" si="960"/>
        <v>3040.8735875526563</v>
      </c>
      <c r="CX94" s="37">
        <f t="shared" si="960"/>
        <v>3191.9343619328965</v>
      </c>
      <c r="CY94" s="37">
        <f t="shared" si="960"/>
        <v>3362.0137499730877</v>
      </c>
      <c r="CZ94" s="37">
        <f t="shared" si="960"/>
        <v>3447.4709560287188</v>
      </c>
      <c r="DA94" s="37">
        <f t="shared" si="960"/>
        <v>3546.2598180212412</v>
      </c>
      <c r="DB94" s="37">
        <f t="shared" si="960"/>
        <v>3733.6494913381007</v>
      </c>
      <c r="DE94" s="134"/>
      <c r="DF94" s="13">
        <v>1582</v>
      </c>
    </row>
    <row r="95" spans="1:110" s="13" customFormat="1" x14ac:dyDescent="0.2">
      <c r="A95" s="13" t="s">
        <v>459</v>
      </c>
      <c r="B95" s="13">
        <f>'Annual Raw'!C108</f>
        <v>2.6</v>
      </c>
      <c r="C95" s="13">
        <f>'Annual Raw'!D108</f>
        <v>3.105</v>
      </c>
      <c r="D95" s="13">
        <f>'Annual Raw'!E108</f>
        <v>4.16</v>
      </c>
      <c r="E95" s="13">
        <f>'Annual Raw'!F108</f>
        <v>5</v>
      </c>
      <c r="F95" s="13">
        <f>'Annual Raw'!G108</f>
        <v>9.73</v>
      </c>
      <c r="G95" s="13">
        <f>'Annual Raw'!H108</f>
        <v>21.835000000000001</v>
      </c>
      <c r="H95" s="13">
        <f>'Annual Raw'!I108</f>
        <v>63.51</v>
      </c>
      <c r="I95" s="13">
        <f>'Annual Raw'!J108</f>
        <v>79.400000000000006</v>
      </c>
      <c r="J95" s="13">
        <f>'Annual Raw'!K108</f>
        <v>31.1</v>
      </c>
      <c r="K95" s="13">
        <f>'Annual Raw'!L108</f>
        <v>45.85</v>
      </c>
      <c r="L95" s="13">
        <f>'Annual Raw'!M108</f>
        <v>147.35</v>
      </c>
      <c r="M95" s="13">
        <f>'Annual Raw'!N108</f>
        <v>71.5</v>
      </c>
      <c r="N95" s="13">
        <f>'Annual Raw'!O108</f>
        <v>73.25</v>
      </c>
      <c r="O95" s="13">
        <f>'Annual Raw'!P108</f>
        <v>62.7</v>
      </c>
      <c r="P95" s="13">
        <f>'Annual Raw'!Q108</f>
        <v>148.5</v>
      </c>
      <c r="Q95" s="13">
        <f>'Annual Raw'!R108</f>
        <v>211.2</v>
      </c>
      <c r="R95" s="13">
        <f>'Annual Raw'!S108</f>
        <v>266.8</v>
      </c>
      <c r="S95" s="13">
        <f>'Annual Raw'!T108</f>
        <v>401.25</v>
      </c>
      <c r="T95" s="13">
        <f>'Annual Raw'!U108</f>
        <v>471</v>
      </c>
      <c r="U95" s="13">
        <f>'Annual Raw'!V108</f>
        <v>449.2</v>
      </c>
      <c r="V95" s="13">
        <f>'Annual Raw'!W108</f>
        <v>428</v>
      </c>
      <c r="W95" s="13">
        <f>'Annual Raw'!X108</f>
        <v>918</v>
      </c>
      <c r="X95" s="13">
        <f>'Annual Raw'!Y108</f>
        <v>737.6</v>
      </c>
      <c r="Y95" s="13">
        <f>'Annual Raw'!Z108</f>
        <v>745</v>
      </c>
      <c r="Z95" s="13">
        <f>'Annual Raw'!AA108</f>
        <v>1103</v>
      </c>
      <c r="AA95" s="13">
        <f>'Annual Raw'!AB108</f>
        <v>1172.2</v>
      </c>
      <c r="AB95" s="37">
        <f>+MIN(CM95:CP95)</f>
        <v>1224.9473322547171</v>
      </c>
      <c r="AC95" s="37">
        <f>+MIN(CQ95:CT95)</f>
        <v>1815.1673924501642</v>
      </c>
      <c r="AD95" s="37">
        <f>+MIN(CU95:CX95)</f>
        <v>2218.2865010209166</v>
      </c>
      <c r="AE95" s="37">
        <f>+MIN(CY95:DB95)</f>
        <v>2598.0163143755371</v>
      </c>
      <c r="AJ95" s="13">
        <f>+'QTR Share Price'!HP20</f>
        <v>98.55</v>
      </c>
      <c r="AK95" s="13">
        <f>+'QTR Share Price'!HQ20</f>
        <v>100.9</v>
      </c>
      <c r="AL95" s="13">
        <f>+'QTR Share Price'!HR20</f>
        <v>73.25</v>
      </c>
      <c r="AM95" s="13">
        <f>+'QTR Share Price'!HS20</f>
        <v>75.099999999999994</v>
      </c>
      <c r="AN95" s="13">
        <f>+'QTR Share Price'!HT20</f>
        <v>62.7</v>
      </c>
      <c r="AO95" s="13">
        <f>+'QTR Share Price'!HU20</f>
        <v>74</v>
      </c>
      <c r="AP95" s="13">
        <f>+'QTR Share Price'!HV20</f>
        <v>97.05</v>
      </c>
      <c r="AQ95" s="13">
        <f>+'QTR Share Price'!HW20</f>
        <v>148.5</v>
      </c>
      <c r="AR95" s="13">
        <f>+'QTR Share Price'!HX20</f>
        <v>182.25</v>
      </c>
      <c r="AS95" s="13">
        <f>+'QTR Share Price'!HY20</f>
        <v>219.1</v>
      </c>
      <c r="AT95" s="13">
        <f>+'QTR Share Price'!HZ20</f>
        <v>227</v>
      </c>
      <c r="AU95" s="13">
        <f>+'QTR Share Price'!IA20</f>
        <v>258.8</v>
      </c>
      <c r="AV95" s="13">
        <f>+'QTR Share Price'!IB20</f>
        <v>243.2</v>
      </c>
      <c r="AW95" s="13">
        <f>+'QTR Share Price'!IC20</f>
        <v>252.25</v>
      </c>
      <c r="AX95" s="13">
        <f>+'QTR Share Price'!ID20</f>
        <v>211.2</v>
      </c>
      <c r="AY95" s="13">
        <f>+'QTR Share Price'!IE20</f>
        <v>266.8</v>
      </c>
      <c r="AZ95" s="13">
        <f>+'QTR Share Price'!IF20</f>
        <v>312</v>
      </c>
      <c r="BA95" s="13">
        <f>+'QTR Share Price'!IG20</f>
        <v>287</v>
      </c>
      <c r="BB95" s="13">
        <f>+'QTR Share Price'!IH20</f>
        <v>321.10000000000002</v>
      </c>
      <c r="BC95" s="13">
        <f>+'QTR Share Price'!II20</f>
        <v>401.25</v>
      </c>
      <c r="BD95" s="13">
        <f>+'QTR Share Price'!IJ20</f>
        <v>445.15</v>
      </c>
      <c r="BE95" s="13">
        <f>+'QTR Share Price'!IK20</f>
        <v>508</v>
      </c>
      <c r="BF95" s="13">
        <f>+'QTR Share Price'!IL20</f>
        <v>551.85</v>
      </c>
      <c r="BG95" s="13">
        <f>+'QTR Share Price'!IM20</f>
        <v>493.45</v>
      </c>
      <c r="BH95" s="13">
        <f>+'QTR Share Price'!IN20</f>
        <v>510.8</v>
      </c>
      <c r="BI95" s="13">
        <f>+'QTR Share Price'!IO20</f>
        <v>471</v>
      </c>
      <c r="BJ95" s="13">
        <f>+'QTR Share Price'!IP20</f>
        <v>501.65</v>
      </c>
      <c r="BK95" s="13">
        <f>+'QTR Share Price'!IQ20</f>
        <v>537</v>
      </c>
      <c r="BL95" s="13">
        <f>+'QTR Share Price'!IR20</f>
        <v>557.20000000000005</v>
      </c>
      <c r="BM95" s="13">
        <f>+'QTR Share Price'!IS20</f>
        <v>638.95000000000005</v>
      </c>
      <c r="BN95" s="13">
        <f>+'QTR Share Price'!IT20</f>
        <v>449.2</v>
      </c>
      <c r="BO95" s="13">
        <f>+'QTR Share Price'!IU20</f>
        <v>428</v>
      </c>
      <c r="BP95" s="13">
        <f>+'QTR Share Price'!IV20</f>
        <v>529.4</v>
      </c>
      <c r="BQ95" s="13">
        <f>+'QTR Share Price'!IW20</f>
        <v>656.55</v>
      </c>
      <c r="BR95" s="13">
        <f>+'QTR Share Price'!IX20</f>
        <v>822.3</v>
      </c>
      <c r="BS95" s="13">
        <f>+'QTR Share Price'!IY20</f>
        <v>918</v>
      </c>
      <c r="BT95" s="13">
        <f>+'QTR Share Price'!IZ20</f>
        <v>955.2</v>
      </c>
      <c r="BU95" s="13">
        <f>+'QTR Share Price'!JA20</f>
        <v>1131.55</v>
      </c>
      <c r="BV95" s="13">
        <f>+'QTR Share Price'!JB20</f>
        <v>1100.3</v>
      </c>
      <c r="BW95" s="13">
        <f>+'QTR Share Price'!JC20</f>
        <v>923.5</v>
      </c>
      <c r="BX95" s="13">
        <f>+'QTR Share Price'!JD20</f>
        <v>868.7</v>
      </c>
      <c r="BY95" s="13">
        <f>+'QTR Share Price'!JE20</f>
        <v>770.55</v>
      </c>
      <c r="BZ95" s="13">
        <f>+'QTR Share Price'!JF20</f>
        <v>737.6</v>
      </c>
      <c r="CA95" s="13">
        <f>+'QTR Share Price'!JG20</f>
        <v>747.9</v>
      </c>
      <c r="CB95" s="13">
        <f>+'QTR Share Price'!JH20</f>
        <v>745</v>
      </c>
      <c r="CC95" s="13">
        <f>+'QTR Share Price'!JI20</f>
        <v>806.9</v>
      </c>
      <c r="CD95" s="13">
        <f>+'QTR Share Price'!JJ20</f>
        <v>968.05</v>
      </c>
      <c r="CE95" s="13">
        <f>+'QTR Share Price'!JK20</f>
        <v>1103</v>
      </c>
      <c r="CF95" s="13">
        <f>+'QTR Share Price'!JL20</f>
        <v>1403.45</v>
      </c>
      <c r="CG95" s="13">
        <f>+'QTR Share Price'!JM20</f>
        <v>1617.5</v>
      </c>
      <c r="CH95" s="13">
        <f>+'QTR Share Price'!JN20</f>
        <v>1135.55</v>
      </c>
      <c r="CI95" s="13">
        <f>+'QTR Share Price'!JO20</f>
        <v>1172.2</v>
      </c>
      <c r="CJ95" s="13">
        <f>+'QTR Share Price'!JP20</f>
        <v>1202.2</v>
      </c>
      <c r="CK95" s="13">
        <f>+'QTR Share Price'!JQ20</f>
        <v>1288</v>
      </c>
      <c r="CL95" s="13">
        <f>+'QTR Share Price'!JR20</f>
        <v>1222.5</v>
      </c>
      <c r="CM95" s="37">
        <f t="shared" ref="CM95:DB95" si="961">+CM103*CM85</f>
        <v>1224.9473322547171</v>
      </c>
      <c r="CN95" s="37">
        <f t="shared" si="961"/>
        <v>1320.8688371050894</v>
      </c>
      <c r="CO95" s="37">
        <f t="shared" si="961"/>
        <v>1302.7340570545707</v>
      </c>
      <c r="CP95" s="37">
        <f t="shared" si="961"/>
        <v>1612.0831674558774</v>
      </c>
      <c r="CQ95" s="37">
        <f t="shared" si="961"/>
        <v>1815.1673924501642</v>
      </c>
      <c r="CR95" s="37">
        <f t="shared" si="961"/>
        <v>1906.3424577329304</v>
      </c>
      <c r="CS95" s="37">
        <f t="shared" si="961"/>
        <v>1965.982191747775</v>
      </c>
      <c r="CT95" s="37">
        <f t="shared" si="961"/>
        <v>2091.9133082521216</v>
      </c>
      <c r="CU95" s="37">
        <f t="shared" si="961"/>
        <v>2218.2865010209166</v>
      </c>
      <c r="CV95" s="37">
        <f t="shared" si="961"/>
        <v>2283.880775560704</v>
      </c>
      <c r="CW95" s="37">
        <f t="shared" si="961"/>
        <v>2349.8533254002041</v>
      </c>
      <c r="CX95" s="37">
        <f t="shared" si="961"/>
        <v>2466.5864459310783</v>
      </c>
      <c r="CY95" s="37">
        <f t="shared" si="961"/>
        <v>2598.0163143755371</v>
      </c>
      <c r="CZ95" s="37">
        <f t="shared" si="961"/>
        <v>2664.0538835304101</v>
      </c>
      <c r="DA95" s="37">
        <f t="shared" si="961"/>
        <v>2740.3935698678683</v>
      </c>
      <c r="DB95" s="37">
        <f t="shared" si="961"/>
        <v>2885.2000652091201</v>
      </c>
      <c r="DE95" s="134"/>
      <c r="DF95" s="13">
        <v>1222.5</v>
      </c>
    </row>
    <row r="96" spans="1:110" s="14" customFormat="1" x14ac:dyDescent="0.2">
      <c r="AB96" s="16"/>
      <c r="AC96" s="16"/>
      <c r="AD96" s="16"/>
      <c r="AE96" s="16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51" customFormat="1" x14ac:dyDescent="0.2">
      <c r="A97" s="51" t="s">
        <v>346</v>
      </c>
      <c r="AB97" s="48">
        <f t="shared" ref="AB97:AD97" si="962">+AB94/AB93-1</f>
        <v>0.50190619601879094</v>
      </c>
      <c r="AC97" s="48">
        <f t="shared" si="962"/>
        <v>0.94894259962801897</v>
      </c>
      <c r="AD97" s="48">
        <f t="shared" si="962"/>
        <v>1.298008899879695</v>
      </c>
      <c r="AE97" s="48">
        <f t="shared" ref="AE97" si="963">+AE94/AE93-1</f>
        <v>1.6880125927560119</v>
      </c>
      <c r="CM97" s="48">
        <f t="shared" ref="CM97:DB97" si="964">+CM94/CM93-1</f>
        <v>0.14122895471545349</v>
      </c>
      <c r="CN97" s="48">
        <f t="shared" si="964"/>
        <v>0.23059475505041882</v>
      </c>
      <c r="CO97" s="48">
        <f t="shared" si="964"/>
        <v>0.21369938695083412</v>
      </c>
      <c r="CP97" s="48">
        <f t="shared" si="964"/>
        <v>0.50190619601879094</v>
      </c>
      <c r="CQ97" s="48">
        <f t="shared" si="964"/>
        <v>0.69111073706858872</v>
      </c>
      <c r="CR97" s="48">
        <f t="shared" si="964"/>
        <v>0.77605449073776911</v>
      </c>
      <c r="CS97" s="48">
        <f t="shared" si="964"/>
        <v>0.83161817867526477</v>
      </c>
      <c r="CT97" s="48">
        <f t="shared" si="964"/>
        <v>0.94894259962801897</v>
      </c>
      <c r="CU97" s="48">
        <f t="shared" si="964"/>
        <v>1.0666788833767447</v>
      </c>
      <c r="CV97" s="48">
        <f t="shared" si="964"/>
        <v>1.1277901519164062</v>
      </c>
      <c r="CW97" s="48">
        <f t="shared" si="964"/>
        <v>1.1892538427304942</v>
      </c>
      <c r="CX97" s="48">
        <f t="shared" si="964"/>
        <v>1.298008899879695</v>
      </c>
      <c r="CY97" s="48">
        <f t="shared" si="964"/>
        <v>1.4204562634795446</v>
      </c>
      <c r="CZ97" s="48">
        <f t="shared" si="964"/>
        <v>1.4819805298982858</v>
      </c>
      <c r="DA97" s="48">
        <f t="shared" si="964"/>
        <v>1.5531028207496336</v>
      </c>
      <c r="DB97" s="48">
        <f t="shared" si="964"/>
        <v>1.6880125927560119</v>
      </c>
      <c r="DE97" s="129"/>
      <c r="DF97" s="51">
        <v>0.24542412910844313</v>
      </c>
    </row>
    <row r="98" spans="1:110" s="51" customFormat="1" x14ac:dyDescent="0.2">
      <c r="A98" s="51" t="s">
        <v>347</v>
      </c>
      <c r="AB98" s="48">
        <f t="shared" ref="AB98:AD98" si="965">+AB95/AB93-1</f>
        <v>-0.11810847209883579</v>
      </c>
      <c r="AC98" s="48">
        <f t="shared" si="965"/>
        <v>0.30681597728593535</v>
      </c>
      <c r="AD98" s="48">
        <f t="shared" si="965"/>
        <v>0.59703851765364768</v>
      </c>
      <c r="AE98" s="48">
        <f t="shared" ref="AE98" si="966">+AE95/AE93-1</f>
        <v>0.87042211258138025</v>
      </c>
      <c r="CM98" s="48">
        <f t="shared" ref="CM98:DB98" si="967">+CM95/CM93-1</f>
        <v>-0.11810847209883579</v>
      </c>
      <c r="CN98" s="48">
        <f t="shared" si="967"/>
        <v>-4.9050513243276139E-2</v>
      </c>
      <c r="CO98" s="48">
        <f t="shared" si="967"/>
        <v>-6.2106510399877135E-2</v>
      </c>
      <c r="CP98" s="48">
        <f t="shared" si="967"/>
        <v>0.16060703200567117</v>
      </c>
      <c r="CQ98" s="48">
        <f t="shared" si="967"/>
        <v>0.30681597728593535</v>
      </c>
      <c r="CR98" s="48">
        <f t="shared" si="967"/>
        <v>0.37245677302586788</v>
      </c>
      <c r="CS98" s="48">
        <f t="shared" si="967"/>
        <v>0.41539394654267459</v>
      </c>
      <c r="CT98" s="48">
        <f t="shared" si="967"/>
        <v>0.50605709737373772</v>
      </c>
      <c r="CU98" s="48">
        <f t="shared" si="967"/>
        <v>0.59703851765364768</v>
      </c>
      <c r="CV98" s="48">
        <f t="shared" si="967"/>
        <v>0.64426261739431534</v>
      </c>
      <c r="CW98" s="48">
        <f t="shared" si="967"/>
        <v>0.6917590535638618</v>
      </c>
      <c r="CX98" s="48">
        <f t="shared" si="967"/>
        <v>0.77580017705621196</v>
      </c>
      <c r="CY98" s="48">
        <f t="shared" si="967"/>
        <v>0.87042211258138025</v>
      </c>
      <c r="CZ98" s="48">
        <f t="shared" si="967"/>
        <v>0.91796535891318221</v>
      </c>
      <c r="DA98" s="48">
        <f t="shared" si="967"/>
        <v>0.97292553626196421</v>
      </c>
      <c r="DB98" s="48">
        <f t="shared" si="967"/>
        <v>1.0771778727207488</v>
      </c>
      <c r="DE98" s="129"/>
      <c r="DF98" s="51">
        <v>-7.7189529620153463E-2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40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460</v>
      </c>
      <c r="B101" s="13">
        <f t="shared" ref="B101:D101" si="968">+B93/B85</f>
        <v>0.77563548260305959</v>
      </c>
      <c r="C101" s="13">
        <f t="shared" si="968"/>
        <v>0.79461578856622506</v>
      </c>
      <c r="D101" s="13">
        <f t="shared" si="968"/>
        <v>0.69780470581496412</v>
      </c>
      <c r="E101" s="13" t="e">
        <f t="shared" ref="E101:AE101" ca="1" si="969">+E93/E85</f>
        <v>#DIV/0!</v>
      </c>
      <c r="F101" s="13" t="e">
        <f t="shared" ca="1" si="969"/>
        <v>#DIV/0!</v>
      </c>
      <c r="G101" s="13" t="e">
        <f t="shared" ca="1" si="969"/>
        <v>#DIV/0!</v>
      </c>
      <c r="H101" s="13" t="e">
        <f t="shared" ca="1" si="969"/>
        <v>#DIV/0!</v>
      </c>
      <c r="I101" s="13" t="e">
        <f t="shared" ca="1" si="969"/>
        <v>#DIV/0!</v>
      </c>
      <c r="J101" s="13" t="e">
        <f t="shared" ca="1" si="969"/>
        <v>#DIV/0!</v>
      </c>
      <c r="K101" s="13" t="e">
        <f t="shared" ca="1" si="969"/>
        <v>#DIV/0!</v>
      </c>
      <c r="L101" s="13" t="e">
        <f t="shared" ca="1" si="969"/>
        <v>#DIV/0!</v>
      </c>
      <c r="M101" s="13" t="e">
        <f t="shared" ca="1" si="969"/>
        <v>#DIV/0!</v>
      </c>
      <c r="N101" s="13" t="e">
        <f t="shared" ca="1" si="969"/>
        <v>#DIV/0!</v>
      </c>
      <c r="O101" s="13" t="e">
        <f t="shared" ca="1" si="969"/>
        <v>#DIV/0!</v>
      </c>
      <c r="P101" s="13" t="e">
        <f t="shared" ca="1" si="969"/>
        <v>#DIV/0!</v>
      </c>
      <c r="Q101" s="13" t="e">
        <f t="shared" ca="1" si="969"/>
        <v>#DIV/0!</v>
      </c>
      <c r="R101" s="13" t="e">
        <f t="shared" ca="1" si="969"/>
        <v>#DIV/0!</v>
      </c>
      <c r="S101" s="13" t="e">
        <f t="shared" ca="1" si="969"/>
        <v>#DIV/0!</v>
      </c>
      <c r="T101" s="13" t="e">
        <f t="shared" ca="1" si="969"/>
        <v>#DIV/0!</v>
      </c>
      <c r="U101" s="13" t="e">
        <f t="shared" ca="1" si="969"/>
        <v>#DIV/0!</v>
      </c>
      <c r="V101" s="13" t="e">
        <f t="shared" ca="1" si="969"/>
        <v>#DIV/0!</v>
      </c>
      <c r="W101" s="13" t="e">
        <f t="shared" ca="1" si="969"/>
        <v>#DIV/0!</v>
      </c>
      <c r="X101" s="13" t="e">
        <f t="shared" ca="1" si="969"/>
        <v>#DIV/0!</v>
      </c>
      <c r="Y101" s="13" t="e">
        <f t="shared" ca="1" si="969"/>
        <v>#DIV/0!</v>
      </c>
      <c r="Z101" s="13" t="e">
        <f t="shared" ref="Z101:AA101" ca="1" si="970">+Z93/Z85</f>
        <v>#DIV/0!</v>
      </c>
      <c r="AA101" s="13" t="e">
        <f t="shared" ca="1" si="970"/>
        <v>#DIV/0!</v>
      </c>
      <c r="AB101" s="37" t="e">
        <f t="shared" ca="1" si="969"/>
        <v>#DIV/0!</v>
      </c>
      <c r="AC101" s="37" t="e">
        <f t="shared" ca="1" si="969"/>
        <v>#DIV/0!</v>
      </c>
      <c r="AD101" s="37" t="e">
        <f t="shared" ca="1" si="969"/>
        <v>#DIV/0!</v>
      </c>
      <c r="AE101" s="37" t="e">
        <f t="shared" ca="1" si="969"/>
        <v>#DIV/0!</v>
      </c>
      <c r="AL101" s="13">
        <f t="shared" ref="AL101:BQ101" si="971">+AL93/AL85</f>
        <v>12.753633111905971</v>
      </c>
      <c r="AM101" s="13">
        <f t="shared" si="971"/>
        <v>16.892669694675753</v>
      </c>
      <c r="AN101" s="13">
        <f t="shared" si="971"/>
        <v>14.188654950408898</v>
      </c>
      <c r="AO101" s="13">
        <f t="shared" si="971"/>
        <v>17.982649516477313</v>
      </c>
      <c r="AP101" s="13">
        <f t="shared" si="971"/>
        <v>23.787981413635972</v>
      </c>
      <c r="AQ101" s="13">
        <f t="shared" si="971"/>
        <v>24.760071350164665</v>
      </c>
      <c r="AR101" s="13">
        <f t="shared" si="971"/>
        <v>26.736450847344347</v>
      </c>
      <c r="AS101" s="13">
        <f t="shared" si="971"/>
        <v>26.312277819758872</v>
      </c>
      <c r="AT101" s="13">
        <f t="shared" si="971"/>
        <v>27.328615366416294</v>
      </c>
      <c r="AU101" s="13">
        <f t="shared" si="971"/>
        <v>31.332133072407064</v>
      </c>
      <c r="AV101" s="13">
        <f t="shared" si="971"/>
        <v>25.395913929266339</v>
      </c>
      <c r="AW101" s="13">
        <f t="shared" si="971"/>
        <v>31.377823360487625</v>
      </c>
      <c r="AX101" s="13">
        <f t="shared" si="971"/>
        <v>25.65026737967915</v>
      </c>
      <c r="AY101" s="13">
        <f t="shared" si="971"/>
        <v>25.840859692202979</v>
      </c>
      <c r="AZ101" s="13">
        <f t="shared" si="971"/>
        <v>29.566321243523348</v>
      </c>
      <c r="BA101" s="13">
        <f t="shared" si="971"/>
        <v>24.122517439018985</v>
      </c>
      <c r="BB101" s="13">
        <f t="shared" si="971"/>
        <v>26.405442255921606</v>
      </c>
      <c r="BC101" s="13">
        <f t="shared" si="971"/>
        <v>27.877704356789199</v>
      </c>
      <c r="BD101" s="13">
        <f t="shared" si="971"/>
        <v>29.95402694798787</v>
      </c>
      <c r="BE101" s="13">
        <f t="shared" si="971"/>
        <v>37.614115770124499</v>
      </c>
      <c r="BF101" s="13">
        <f t="shared" si="971"/>
        <v>35.90382483079452</v>
      </c>
      <c r="BG101" s="13">
        <f t="shared" si="971"/>
        <v>30.164458894890483</v>
      </c>
      <c r="BH101" s="13">
        <f t="shared" si="971"/>
        <v>30.133038388707167</v>
      </c>
      <c r="BI101" s="13">
        <f t="shared" si="971"/>
        <v>31.831959032241205</v>
      </c>
      <c r="BJ101" s="13">
        <f t="shared" si="971"/>
        <v>40.131015240147804</v>
      </c>
      <c r="BK101" s="13">
        <f t="shared" si="971"/>
        <v>39.135676599812498</v>
      </c>
      <c r="BL101" s="13">
        <f t="shared" si="971"/>
        <v>40.662179069935632</v>
      </c>
      <c r="BM101" s="13">
        <f t="shared" si="971"/>
        <v>39.849523113466098</v>
      </c>
      <c r="BN101" s="13">
        <f t="shared" si="971"/>
        <v>27.869799602371724</v>
      </c>
      <c r="BO101" s="13">
        <f t="shared" si="971"/>
        <v>40.938664430898946</v>
      </c>
      <c r="BP101" s="13">
        <f t="shared" si="971"/>
        <v>55.321584907514385</v>
      </c>
      <c r="BQ101" s="13">
        <f t="shared" si="971"/>
        <v>60.978999754513694</v>
      </c>
      <c r="BR101" s="13">
        <f t="shared" ref="BR101:DB101" si="972">+BR93/BR85</f>
        <v>63.109262291960206</v>
      </c>
      <c r="BS101" s="13">
        <f t="shared" si="972"/>
        <v>59.773658071015738</v>
      </c>
      <c r="BT101" s="13">
        <f t="shared" si="972"/>
        <v>68.230823111411866</v>
      </c>
      <c r="BU101" s="13">
        <f t="shared" si="972"/>
        <v>72.142112605522954</v>
      </c>
      <c r="BV101" s="13">
        <f t="shared" si="972"/>
        <v>81.66807514531142</v>
      </c>
      <c r="BW101" s="13">
        <f t="shared" si="972"/>
        <v>65.520854286703184</v>
      </c>
      <c r="BX101" s="13">
        <f t="shared" si="972"/>
        <v>61.621340786715464</v>
      </c>
      <c r="BY101" s="13">
        <f t="shared" si="972"/>
        <v>63.6394530782309</v>
      </c>
      <c r="BZ101" s="13">
        <f t="shared" si="972"/>
        <v>71.450809070031369</v>
      </c>
      <c r="CA101" s="13">
        <f t="shared" si="972"/>
        <v>62.955074641819436</v>
      </c>
      <c r="CB101" s="13">
        <f t="shared" si="972"/>
        <v>84.737429504303961</v>
      </c>
      <c r="CC101" s="13">
        <f t="shared" si="972"/>
        <v>115.81195792185483</v>
      </c>
      <c r="CD101" s="13">
        <f t="shared" si="972"/>
        <v>144.86283333333321</v>
      </c>
      <c r="CE101" s="13">
        <f t="shared" si="972"/>
        <v>106.55764870661375</v>
      </c>
      <c r="CF101" s="13">
        <f t="shared" si="972"/>
        <v>110.16221921515574</v>
      </c>
      <c r="CG101" s="13">
        <f t="shared" si="972"/>
        <v>82.705768774676017</v>
      </c>
      <c r="CH101" s="13">
        <f t="shared" si="972"/>
        <v>57.343594375839444</v>
      </c>
      <c r="CI101" s="13">
        <f t="shared" ref="CI101:CJ101" si="973">+CI93/CI85</f>
        <v>67.135645460160589</v>
      </c>
      <c r="CJ101" s="13">
        <f t="shared" si="973"/>
        <v>81.625307537871976</v>
      </c>
      <c r="CK101" s="13">
        <f t="shared" ref="CK101:CL101" si="974">+CK93/CK85</f>
        <v>85.371385216517268</v>
      </c>
      <c r="CL101" s="13">
        <f t="shared" si="974"/>
        <v>104.43092178840396</v>
      </c>
      <c r="CM101" s="37">
        <f t="shared" si="972"/>
        <v>113.96555378560602</v>
      </c>
      <c r="CN101" s="37">
        <f t="shared" si="972"/>
        <v>105.68937441553308</v>
      </c>
      <c r="CO101" s="37">
        <f t="shared" si="972"/>
        <v>107.16062908053821</v>
      </c>
      <c r="CP101" s="37">
        <f t="shared" si="972"/>
        <v>86.597145790513594</v>
      </c>
      <c r="CQ101" s="37">
        <f t="shared" si="972"/>
        <v>76.908499821700261</v>
      </c>
      <c r="CR101" s="37">
        <f t="shared" si="972"/>
        <v>73.230179872627644</v>
      </c>
      <c r="CS101" s="37">
        <f t="shared" si="972"/>
        <v>71.008680375940926</v>
      </c>
      <c r="CT101" s="37">
        <f t="shared" si="972"/>
        <v>66.734027900636349</v>
      </c>
      <c r="CU101" s="37">
        <f t="shared" si="972"/>
        <v>62.932268223406204</v>
      </c>
      <c r="CV101" s="37">
        <f t="shared" si="972"/>
        <v>61.124819899732564</v>
      </c>
      <c r="CW101" s="37">
        <f t="shared" si="972"/>
        <v>59.408729715006345</v>
      </c>
      <c r="CX101" s="37">
        <f t="shared" si="972"/>
        <v>56.597165410074723</v>
      </c>
      <c r="CY101" s="37">
        <f t="shared" si="972"/>
        <v>53.733997090839843</v>
      </c>
      <c r="CZ101" s="37">
        <f t="shared" si="972"/>
        <v>52.40201857088902</v>
      </c>
      <c r="DA101" s="37">
        <f t="shared" si="972"/>
        <v>50.942245162741585</v>
      </c>
      <c r="DB101" s="37">
        <f t="shared" si="972"/>
        <v>48.385483822069432</v>
      </c>
      <c r="DE101" s="134"/>
      <c r="DF101" s="13">
        <v>75.276396655000426</v>
      </c>
    </row>
    <row r="102" spans="1:110" s="13" customFormat="1" x14ac:dyDescent="0.2">
      <c r="A102" s="13" t="s">
        <v>461</v>
      </c>
      <c r="B102" s="13">
        <f t="shared" ref="B102:D102" si="975">+B94/B85</f>
        <v>1.1634532239045894</v>
      </c>
      <c r="C102" s="13">
        <f t="shared" si="975"/>
        <v>0.9199957388113057</v>
      </c>
      <c r="D102" s="13">
        <f t="shared" si="975"/>
        <v>0.88577922928062303</v>
      </c>
      <c r="E102" s="13" t="e">
        <f t="shared" ref="E102:AE102" ca="1" si="976">+E94/E85</f>
        <v>#DIV/0!</v>
      </c>
      <c r="F102" s="13" t="e">
        <f t="shared" ca="1" si="976"/>
        <v>#DIV/0!</v>
      </c>
      <c r="G102" s="13" t="e">
        <f t="shared" ca="1" si="976"/>
        <v>#DIV/0!</v>
      </c>
      <c r="H102" s="13" t="e">
        <f t="shared" ca="1" si="976"/>
        <v>#DIV/0!</v>
      </c>
      <c r="I102" s="13" t="e">
        <f t="shared" ca="1" si="976"/>
        <v>#DIV/0!</v>
      </c>
      <c r="J102" s="13" t="e">
        <f t="shared" ca="1" si="976"/>
        <v>#DIV/0!</v>
      </c>
      <c r="K102" s="13" t="e">
        <f t="shared" ca="1" si="976"/>
        <v>#DIV/0!</v>
      </c>
      <c r="L102" s="13" t="e">
        <f t="shared" ca="1" si="976"/>
        <v>#DIV/0!</v>
      </c>
      <c r="M102" s="13" t="e">
        <f t="shared" ca="1" si="976"/>
        <v>#DIV/0!</v>
      </c>
      <c r="N102" s="13" t="e">
        <f t="shared" ca="1" si="976"/>
        <v>#DIV/0!</v>
      </c>
      <c r="O102" s="13" t="e">
        <f t="shared" ca="1" si="976"/>
        <v>#DIV/0!</v>
      </c>
      <c r="P102" s="13" t="e">
        <f t="shared" ca="1" si="976"/>
        <v>#DIV/0!</v>
      </c>
      <c r="Q102" s="13" t="e">
        <f t="shared" ca="1" si="976"/>
        <v>#DIV/0!</v>
      </c>
      <c r="R102" s="13" t="e">
        <f t="shared" ca="1" si="976"/>
        <v>#DIV/0!</v>
      </c>
      <c r="S102" s="13" t="e">
        <f t="shared" ca="1" si="976"/>
        <v>#DIV/0!</v>
      </c>
      <c r="T102" s="13" t="e">
        <f t="shared" ca="1" si="976"/>
        <v>#DIV/0!</v>
      </c>
      <c r="U102" s="13" t="e">
        <f t="shared" ca="1" si="976"/>
        <v>#DIV/0!</v>
      </c>
      <c r="V102" s="13" t="e">
        <f t="shared" ca="1" si="976"/>
        <v>#DIV/0!</v>
      </c>
      <c r="W102" s="13" t="e">
        <f t="shared" ca="1" si="976"/>
        <v>#DIV/0!</v>
      </c>
      <c r="X102" s="13" t="e">
        <f t="shared" ca="1" si="976"/>
        <v>#DIV/0!</v>
      </c>
      <c r="Y102" s="13" t="e">
        <f t="shared" ca="1" si="976"/>
        <v>#DIV/0!</v>
      </c>
      <c r="Z102" s="13" t="e">
        <f t="shared" ref="Z102:AA102" ca="1" si="977">+Z94/Z85</f>
        <v>#DIV/0!</v>
      </c>
      <c r="AA102" s="13" t="e">
        <f t="shared" ca="1" si="977"/>
        <v>#DIV/0!</v>
      </c>
      <c r="AB102" s="60" t="e">
        <f t="shared" ca="1" si="976"/>
        <v>#DIV/0!</v>
      </c>
      <c r="AC102" s="60" t="e">
        <f t="shared" ca="1" si="976"/>
        <v>#DIV/0!</v>
      </c>
      <c r="AD102" s="60" t="e">
        <f t="shared" ca="1" si="976"/>
        <v>#DIV/0!</v>
      </c>
      <c r="AE102" s="60" t="e">
        <f t="shared" ca="1" si="976"/>
        <v>#DIV/0!</v>
      </c>
      <c r="AL102" s="13">
        <f t="shared" ref="AL102:BQ102" si="978">+AL94/AL85</f>
        <v>18.703638221768003</v>
      </c>
      <c r="AM102" s="13">
        <f t="shared" si="978"/>
        <v>20.189818319454957</v>
      </c>
      <c r="AN102" s="13">
        <f t="shared" si="978"/>
        <v>16.634974769444913</v>
      </c>
      <c r="AO102" s="13">
        <f t="shared" si="978"/>
        <v>19.333677588958768</v>
      </c>
      <c r="AP102" s="13">
        <f t="shared" si="978"/>
        <v>24.290492359932102</v>
      </c>
      <c r="AQ102" s="13">
        <f t="shared" si="978"/>
        <v>26.445163282107586</v>
      </c>
      <c r="AR102" s="13">
        <f t="shared" si="978"/>
        <v>29.931998529264327</v>
      </c>
      <c r="AS102" s="13">
        <f t="shared" si="978"/>
        <v>31.137825672701023</v>
      </c>
      <c r="AT102" s="13">
        <f t="shared" si="978"/>
        <v>29.490642928964348</v>
      </c>
      <c r="AU102" s="13">
        <f t="shared" si="978"/>
        <v>35.853680566009352</v>
      </c>
      <c r="AV102" s="13">
        <f t="shared" si="978"/>
        <v>31.269251459310976</v>
      </c>
      <c r="AW102" s="13">
        <f t="shared" si="978"/>
        <v>31.503838715349019</v>
      </c>
      <c r="AX102" s="13">
        <f t="shared" si="978"/>
        <v>30.054203880505089</v>
      </c>
      <c r="AY102" s="13">
        <f t="shared" si="978"/>
        <v>28.076701271547027</v>
      </c>
      <c r="AZ102" s="13">
        <f t="shared" si="978"/>
        <v>31.319265190767815</v>
      </c>
      <c r="BA102" s="13">
        <f t="shared" si="978"/>
        <v>29.836228728839934</v>
      </c>
      <c r="BB102" s="13">
        <f t="shared" si="978"/>
        <v>27.222303565549172</v>
      </c>
      <c r="BC102" s="13">
        <f t="shared" si="978"/>
        <v>31.336159325590391</v>
      </c>
      <c r="BD102" s="13">
        <f t="shared" si="978"/>
        <v>33.529874230762331</v>
      </c>
      <c r="BE102" s="13">
        <f t="shared" si="978"/>
        <v>38.721256893143256</v>
      </c>
      <c r="BF102" s="13">
        <f t="shared" si="978"/>
        <v>38.414662725825913</v>
      </c>
      <c r="BG102" s="13">
        <f t="shared" si="978"/>
        <v>38.430555701225373</v>
      </c>
      <c r="BH102" s="13">
        <f t="shared" si="978"/>
        <v>36.288913754518838</v>
      </c>
      <c r="BI102" s="13">
        <f t="shared" si="978"/>
        <v>33.992694779746039</v>
      </c>
      <c r="BJ102" s="13">
        <f t="shared" si="978"/>
        <v>40.41746074507391</v>
      </c>
      <c r="BK102" s="13">
        <f t="shared" si="978"/>
        <v>40.050899865801441</v>
      </c>
      <c r="BL102" s="13">
        <f t="shared" si="978"/>
        <v>42.12155565198524</v>
      </c>
      <c r="BM102" s="13">
        <f t="shared" si="978"/>
        <v>43.84777270235702</v>
      </c>
      <c r="BN102" s="13">
        <f t="shared" si="978"/>
        <v>43.098228266798081</v>
      </c>
      <c r="BO102" s="13">
        <f t="shared" si="978"/>
        <v>44.01196891074305</v>
      </c>
      <c r="BP102" s="13">
        <f t="shared" si="978"/>
        <v>57.995028126458614</v>
      </c>
      <c r="BQ102" s="13">
        <f t="shared" si="978"/>
        <v>62.377973175031897</v>
      </c>
      <c r="BR102" s="13">
        <f t="shared" ref="BR102:CH102" si="979">+BR94/BR85</f>
        <v>71.257371367635258</v>
      </c>
      <c r="BS102" s="13">
        <f t="shared" si="979"/>
        <v>65.769440958659558</v>
      </c>
      <c r="BT102" s="13">
        <f t="shared" si="979"/>
        <v>70.799763133406614</v>
      </c>
      <c r="BU102" s="13">
        <f t="shared" si="979"/>
        <v>80.28017599084275</v>
      </c>
      <c r="BV102" s="13">
        <f t="shared" si="979"/>
        <v>87.925247475649257</v>
      </c>
      <c r="BW102" s="13">
        <f t="shared" si="979"/>
        <v>90.770140684488069</v>
      </c>
      <c r="BX102" s="13">
        <f t="shared" si="979"/>
        <v>72.298339430309539</v>
      </c>
      <c r="BY102" s="13">
        <f t="shared" si="979"/>
        <v>74.115327698091534</v>
      </c>
      <c r="BZ102" s="13">
        <f t="shared" si="979"/>
        <v>81.514610775281739</v>
      </c>
      <c r="CA102" s="13">
        <f t="shared" si="979"/>
        <v>72.152249273619859</v>
      </c>
      <c r="CB102" s="13">
        <f t="shared" si="979"/>
        <v>89.754906500445244</v>
      </c>
      <c r="CC102" s="13">
        <f t="shared" si="979"/>
        <v>117.53413482181189</v>
      </c>
      <c r="CD102" s="13">
        <f t="shared" si="979"/>
        <v>149.5163492063491</v>
      </c>
      <c r="CE102" s="13">
        <f t="shared" si="979"/>
        <v>112.24786624064448</v>
      </c>
      <c r="CF102" s="13">
        <f t="shared" si="979"/>
        <v>116.15750293189008</v>
      </c>
      <c r="CG102" s="13">
        <f t="shared" si="979"/>
        <v>87.731525272395018</v>
      </c>
      <c r="CH102" s="13">
        <f t="shared" si="979"/>
        <v>73.115540130976925</v>
      </c>
      <c r="CI102" s="13">
        <f t="shared" ref="CI102:CJ102" si="980">+CI94/CI85</f>
        <v>74.322730080296481</v>
      </c>
      <c r="CJ102" s="13">
        <f t="shared" si="980"/>
        <v>88.746654498996278</v>
      </c>
      <c r="CK102" s="13">
        <f t="shared" ref="CK102:CL102" si="981">+CK94/CK85</f>
        <v>91.824749151192265</v>
      </c>
      <c r="CL102" s="13">
        <f t="shared" si="981"/>
        <v>130.06078982031494</v>
      </c>
      <c r="CM102" s="60">
        <f t="shared" ref="CM102:CM103" si="982">+CL102</f>
        <v>130.06078982031494</v>
      </c>
      <c r="CN102" s="60">
        <f t="shared" ref="CN102:CN103" si="983">+CM102</f>
        <v>130.06078982031494</v>
      </c>
      <c r="CO102" s="60">
        <f t="shared" ref="CO102:CO103" si="984">+CN102</f>
        <v>130.06078982031494</v>
      </c>
      <c r="CP102" s="60">
        <f t="shared" ref="CP102:CP103" si="985">+CO102</f>
        <v>130.06078982031494</v>
      </c>
      <c r="CQ102" s="60">
        <f t="shared" ref="CQ102:CQ103" si="986">+CP102</f>
        <v>130.06078982031494</v>
      </c>
      <c r="CR102" s="60">
        <f t="shared" ref="CR102:CR103" si="987">+CQ102</f>
        <v>130.06078982031494</v>
      </c>
      <c r="CS102" s="60">
        <f t="shared" ref="CS102:CS103" si="988">+CR102</f>
        <v>130.06078982031494</v>
      </c>
      <c r="CT102" s="60">
        <f t="shared" ref="CT102:CT103" si="989">+CS102</f>
        <v>130.06078982031494</v>
      </c>
      <c r="CU102" s="60">
        <f t="shared" ref="CU102:CU103" si="990">+CT102</f>
        <v>130.06078982031494</v>
      </c>
      <c r="CV102" s="60">
        <f t="shared" ref="CV102:CV103" si="991">+CU102</f>
        <v>130.06078982031494</v>
      </c>
      <c r="CW102" s="60">
        <f t="shared" ref="CW102:CW103" si="992">+CV102</f>
        <v>130.06078982031494</v>
      </c>
      <c r="CX102" s="60">
        <f t="shared" ref="CX102:CX103" si="993">+CW102</f>
        <v>130.06078982031494</v>
      </c>
      <c r="CY102" s="60">
        <f t="shared" ref="CY102:CY103" si="994">+CX102</f>
        <v>130.06078982031494</v>
      </c>
      <c r="CZ102" s="60">
        <f t="shared" ref="CZ102:CZ103" si="995">+CY102</f>
        <v>130.06078982031494</v>
      </c>
      <c r="DA102" s="60">
        <f t="shared" ref="DA102:DA103" si="996">+CZ102</f>
        <v>130.06078982031494</v>
      </c>
      <c r="DB102" s="60">
        <f t="shared" ref="DB102:DB103" si="997">+DA102</f>
        <v>130.06078982031494</v>
      </c>
      <c r="DE102" s="136"/>
      <c r="DF102" s="13">
        <v>93.751040746475638</v>
      </c>
    </row>
    <row r="103" spans="1:110" s="13" customFormat="1" x14ac:dyDescent="0.2">
      <c r="A103" s="13" t="s">
        <v>462</v>
      </c>
      <c r="B103" s="13">
        <f t="shared" ref="B103:D103" si="998">+B95/B85</f>
        <v>0.50416306369198871</v>
      </c>
      <c r="C103" s="13">
        <f t="shared" si="998"/>
        <v>0.50559057858568213</v>
      </c>
      <c r="D103" s="13">
        <f t="shared" si="998"/>
        <v>0.56257123569578504</v>
      </c>
      <c r="E103" s="13" t="e">
        <f t="shared" ref="E103:AE103" ca="1" si="999">+E95/E85</f>
        <v>#DIV/0!</v>
      </c>
      <c r="F103" s="13" t="e">
        <f t="shared" ca="1" si="999"/>
        <v>#DIV/0!</v>
      </c>
      <c r="G103" s="13" t="e">
        <f t="shared" ca="1" si="999"/>
        <v>#DIV/0!</v>
      </c>
      <c r="H103" s="13" t="e">
        <f t="shared" ca="1" si="999"/>
        <v>#DIV/0!</v>
      </c>
      <c r="I103" s="13" t="e">
        <f t="shared" ca="1" si="999"/>
        <v>#DIV/0!</v>
      </c>
      <c r="J103" s="13" t="e">
        <f t="shared" ca="1" si="999"/>
        <v>#DIV/0!</v>
      </c>
      <c r="K103" s="13" t="e">
        <f t="shared" ca="1" si="999"/>
        <v>#DIV/0!</v>
      </c>
      <c r="L103" s="13" t="e">
        <f t="shared" ca="1" si="999"/>
        <v>#DIV/0!</v>
      </c>
      <c r="M103" s="13" t="e">
        <f t="shared" ca="1" si="999"/>
        <v>#DIV/0!</v>
      </c>
      <c r="N103" s="13" t="e">
        <f t="shared" ca="1" si="999"/>
        <v>#DIV/0!</v>
      </c>
      <c r="O103" s="13" t="e">
        <f t="shared" ca="1" si="999"/>
        <v>#DIV/0!</v>
      </c>
      <c r="P103" s="13" t="e">
        <f t="shared" ca="1" si="999"/>
        <v>#DIV/0!</v>
      </c>
      <c r="Q103" s="13" t="e">
        <f t="shared" ca="1" si="999"/>
        <v>#DIV/0!</v>
      </c>
      <c r="R103" s="13" t="e">
        <f t="shared" ca="1" si="999"/>
        <v>#DIV/0!</v>
      </c>
      <c r="S103" s="13" t="e">
        <f t="shared" ca="1" si="999"/>
        <v>#DIV/0!</v>
      </c>
      <c r="T103" s="13" t="e">
        <f t="shared" ca="1" si="999"/>
        <v>#DIV/0!</v>
      </c>
      <c r="U103" s="13" t="e">
        <f t="shared" ca="1" si="999"/>
        <v>#DIV/0!</v>
      </c>
      <c r="V103" s="13" t="e">
        <f t="shared" ca="1" si="999"/>
        <v>#DIV/0!</v>
      </c>
      <c r="W103" s="13" t="e">
        <f t="shared" ca="1" si="999"/>
        <v>#DIV/0!</v>
      </c>
      <c r="X103" s="13" t="e">
        <f t="shared" ca="1" si="999"/>
        <v>#DIV/0!</v>
      </c>
      <c r="Y103" s="13" t="e">
        <f t="shared" ca="1" si="999"/>
        <v>#DIV/0!</v>
      </c>
      <c r="Z103" s="13" t="e">
        <f t="shared" ref="Z103:AA103" ca="1" si="1000">+Z95/Z85</f>
        <v>#DIV/0!</v>
      </c>
      <c r="AA103" s="13" t="e">
        <f t="shared" ca="1" si="1000"/>
        <v>#DIV/0!</v>
      </c>
      <c r="AB103" s="60" t="e">
        <f t="shared" ca="1" si="999"/>
        <v>#DIV/0!</v>
      </c>
      <c r="AC103" s="60" t="e">
        <f t="shared" ca="1" si="999"/>
        <v>#DIV/0!</v>
      </c>
      <c r="AD103" s="60" t="e">
        <f t="shared" ca="1" si="999"/>
        <v>#DIV/0!</v>
      </c>
      <c r="AE103" s="60" t="e">
        <f t="shared" ca="1" si="999"/>
        <v>#DIV/0!</v>
      </c>
      <c r="AL103" s="13">
        <f t="shared" ref="AL103:BQ103" si="1001">+AL95/AL85</f>
        <v>12.381757792539593</v>
      </c>
      <c r="AM103" s="13">
        <f t="shared" si="1001"/>
        <v>15.671889982336612</v>
      </c>
      <c r="AN103" s="13">
        <f t="shared" si="1001"/>
        <v>12.030137463024177</v>
      </c>
      <c r="AO103" s="13">
        <f t="shared" si="1001"/>
        <v>11.491503145244568</v>
      </c>
      <c r="AP103" s="13">
        <f t="shared" si="1001"/>
        <v>14.343731570011625</v>
      </c>
      <c r="AQ103" s="13">
        <f t="shared" si="1001"/>
        <v>16.850919319429206</v>
      </c>
      <c r="AR103" s="13">
        <f t="shared" si="1001"/>
        <v>20.151853461242791</v>
      </c>
      <c r="AS103" s="13">
        <f t="shared" si="1001"/>
        <v>23.812557085126681</v>
      </c>
      <c r="AT103" s="13">
        <f t="shared" si="1001"/>
        <v>22.207251434317158</v>
      </c>
      <c r="AU103" s="13">
        <f t="shared" si="1001"/>
        <v>25.774812584675615</v>
      </c>
      <c r="AV103" s="13">
        <f t="shared" si="1001"/>
        <v>23.020075540803479</v>
      </c>
      <c r="AW103" s="13">
        <f t="shared" si="1001"/>
        <v>24.451825587528585</v>
      </c>
      <c r="AX103" s="13">
        <f t="shared" si="1001"/>
        <v>19.560702186633819</v>
      </c>
      <c r="AY103" s="13">
        <f t="shared" si="1001"/>
        <v>21.457645085215546</v>
      </c>
      <c r="AZ103" s="13">
        <f t="shared" si="1001"/>
        <v>24.307489401789947</v>
      </c>
      <c r="BA103" s="13">
        <f t="shared" si="1001"/>
        <v>21.091127204869608</v>
      </c>
      <c r="BB103" s="13">
        <f t="shared" si="1001"/>
        <v>20.572091491875359</v>
      </c>
      <c r="BC103" s="13">
        <f t="shared" si="1001"/>
        <v>24.431427046328853</v>
      </c>
      <c r="BD103" s="13">
        <f t="shared" si="1001"/>
        <v>26.419724778872201</v>
      </c>
      <c r="BE103" s="13">
        <f t="shared" si="1001"/>
        <v>29.141331113654484</v>
      </c>
      <c r="BF103" s="13">
        <f t="shared" si="1001"/>
        <v>31.926403050070828</v>
      </c>
      <c r="BG103" s="13">
        <f t="shared" si="1001"/>
        <v>28.533791319244148</v>
      </c>
      <c r="BH103" s="13">
        <f t="shared" si="1001"/>
        <v>29.088077121707688</v>
      </c>
      <c r="BI103" s="13">
        <f t="shared" si="1001"/>
        <v>27.138840988660704</v>
      </c>
      <c r="BJ103" s="13">
        <f t="shared" si="1001"/>
        <v>31.93230834359607</v>
      </c>
      <c r="BK103" s="13">
        <f t="shared" si="1001"/>
        <v>32.65613912531942</v>
      </c>
      <c r="BL103" s="13">
        <f t="shared" si="1001"/>
        <v>33.32641932451002</v>
      </c>
      <c r="BM103" s="13">
        <f t="shared" si="1001"/>
        <v>38.619524940617573</v>
      </c>
      <c r="BN103" s="13">
        <f t="shared" si="1001"/>
        <v>26.144124425990139</v>
      </c>
      <c r="BO103" s="13">
        <f t="shared" si="1001"/>
        <v>32.082300423738445</v>
      </c>
      <c r="BP103" s="13">
        <f t="shared" si="1001"/>
        <v>43.018870520032486</v>
      </c>
      <c r="BQ103" s="13">
        <f t="shared" si="1001"/>
        <v>48.469445870249352</v>
      </c>
      <c r="BR103" s="13">
        <f t="shared" ref="BR103:CH103" si="1002">+BR95/BR85</f>
        <v>51.79891838366909</v>
      </c>
      <c r="BS103" s="13">
        <f t="shared" si="1002"/>
        <v>53.672634723130479</v>
      </c>
      <c r="BT103" s="13">
        <f t="shared" si="1002"/>
        <v>53.46081718974704</v>
      </c>
      <c r="BU103" s="13">
        <f t="shared" si="1002"/>
        <v>66.947478179997134</v>
      </c>
      <c r="BV103" s="13">
        <f t="shared" si="1002"/>
        <v>72.205209387212648</v>
      </c>
      <c r="BW103" s="13">
        <f t="shared" si="1002"/>
        <v>62.197161878779248</v>
      </c>
      <c r="BX103" s="13">
        <f t="shared" si="1002"/>
        <v>59.058317234576045</v>
      </c>
      <c r="BY103" s="13">
        <f t="shared" si="1002"/>
        <v>61.037317114053799</v>
      </c>
      <c r="BZ103" s="13">
        <f t="shared" si="1002"/>
        <v>64.40833091360237</v>
      </c>
      <c r="CA103" s="13">
        <f t="shared" si="1002"/>
        <v>61.969071235347144</v>
      </c>
      <c r="CB103" s="13">
        <f t="shared" si="1002"/>
        <v>73.151083407539332</v>
      </c>
      <c r="CC103" s="13">
        <f t="shared" si="1002"/>
        <v>95.506841276656601</v>
      </c>
      <c r="CD103" s="13">
        <f t="shared" si="1002"/>
        <v>127.07576984126975</v>
      </c>
      <c r="CE103" s="13">
        <f t="shared" si="1002"/>
        <v>79.85127150172903</v>
      </c>
      <c r="CF103" s="13">
        <f t="shared" si="1002"/>
        <v>83.763871898962662</v>
      </c>
      <c r="CG103" s="13">
        <f t="shared" si="1002"/>
        <v>74.647944307258783</v>
      </c>
      <c r="CH103" s="13">
        <f t="shared" si="1002"/>
        <v>44.646224609862514</v>
      </c>
      <c r="CI103" s="13">
        <f t="shared" ref="CI103:CJ103" si="1003">+CI95/CI85</f>
        <v>59.877047560222358</v>
      </c>
      <c r="CJ103" s="13">
        <f t="shared" si="1003"/>
        <v>72.584004380361463</v>
      </c>
      <c r="CK103" s="13">
        <f t="shared" ref="CK103:CL103" si="1004">+CK95/CK85</f>
        <v>80.816069497923152</v>
      </c>
      <c r="CL103" s="13">
        <f t="shared" si="1004"/>
        <v>100.5052563560904</v>
      </c>
      <c r="CM103" s="60">
        <f t="shared" si="982"/>
        <v>100.5052563560904</v>
      </c>
      <c r="CN103" s="60">
        <f t="shared" si="983"/>
        <v>100.5052563560904</v>
      </c>
      <c r="CO103" s="60">
        <f t="shared" si="984"/>
        <v>100.5052563560904</v>
      </c>
      <c r="CP103" s="60">
        <f t="shared" si="985"/>
        <v>100.5052563560904</v>
      </c>
      <c r="CQ103" s="60">
        <f t="shared" si="986"/>
        <v>100.5052563560904</v>
      </c>
      <c r="CR103" s="60">
        <f t="shared" si="987"/>
        <v>100.5052563560904</v>
      </c>
      <c r="CS103" s="60">
        <f t="shared" si="988"/>
        <v>100.5052563560904</v>
      </c>
      <c r="CT103" s="60">
        <f t="shared" si="989"/>
        <v>100.5052563560904</v>
      </c>
      <c r="CU103" s="60">
        <f t="shared" si="990"/>
        <v>100.5052563560904</v>
      </c>
      <c r="CV103" s="60">
        <f t="shared" si="991"/>
        <v>100.5052563560904</v>
      </c>
      <c r="CW103" s="60">
        <f t="shared" si="992"/>
        <v>100.5052563560904</v>
      </c>
      <c r="CX103" s="60">
        <f t="shared" si="993"/>
        <v>100.5052563560904</v>
      </c>
      <c r="CY103" s="60">
        <f t="shared" si="994"/>
        <v>100.5052563560904</v>
      </c>
      <c r="CZ103" s="60">
        <f t="shared" si="995"/>
        <v>100.5052563560904</v>
      </c>
      <c r="DA103" s="60">
        <f t="shared" si="996"/>
        <v>100.5052563560904</v>
      </c>
      <c r="DB103" s="60">
        <f t="shared" si="997"/>
        <v>100.5052563560904</v>
      </c>
      <c r="DE103" s="136"/>
      <c r="DF103" s="13">
        <v>72.446679717172231</v>
      </c>
    </row>
    <row r="104" spans="1:110" s="13" customFormat="1" x14ac:dyDescent="0.2">
      <c r="AB104" s="60"/>
      <c r="AC104" s="60"/>
      <c r="AD104" s="60"/>
      <c r="AE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E104" s="136"/>
    </row>
    <row r="105" spans="1:110" s="13" customFormat="1" x14ac:dyDescent="0.2">
      <c r="A105" s="13" t="s">
        <v>463</v>
      </c>
      <c r="B105" s="13">
        <f t="shared" ref="B105:AD105" si="1005">+B94/C85</f>
        <v>0.97698662528634228</v>
      </c>
      <c r="C105" s="13">
        <f t="shared" si="1005"/>
        <v>0.76406910617336199</v>
      </c>
      <c r="D105" s="13" t="e">
        <f t="shared" ca="1" si="1005"/>
        <v>#DIV/0!</v>
      </c>
      <c r="E105" s="13" t="e">
        <f t="shared" ca="1" si="1005"/>
        <v>#DIV/0!</v>
      </c>
      <c r="F105" s="13" t="e">
        <f t="shared" ca="1" si="1005"/>
        <v>#DIV/0!</v>
      </c>
      <c r="G105" s="13" t="e">
        <f t="shared" ca="1" si="1005"/>
        <v>#DIV/0!</v>
      </c>
      <c r="H105" s="13" t="e">
        <f t="shared" ca="1" si="1005"/>
        <v>#DIV/0!</v>
      </c>
      <c r="I105" s="13" t="e">
        <f t="shared" ca="1" si="1005"/>
        <v>#DIV/0!</v>
      </c>
      <c r="J105" s="13" t="e">
        <f t="shared" ca="1" si="1005"/>
        <v>#DIV/0!</v>
      </c>
      <c r="K105" s="13" t="e">
        <f t="shared" ca="1" si="1005"/>
        <v>#DIV/0!</v>
      </c>
      <c r="L105" s="13" t="e">
        <f t="shared" ca="1" si="1005"/>
        <v>#DIV/0!</v>
      </c>
      <c r="M105" s="13" t="e">
        <f t="shared" ca="1" si="1005"/>
        <v>#DIV/0!</v>
      </c>
      <c r="N105" s="13" t="e">
        <f t="shared" ca="1" si="1005"/>
        <v>#DIV/0!</v>
      </c>
      <c r="O105" s="13" t="e">
        <f t="shared" ca="1" si="1005"/>
        <v>#DIV/0!</v>
      </c>
      <c r="P105" s="13" t="e">
        <f t="shared" ca="1" si="1005"/>
        <v>#DIV/0!</v>
      </c>
      <c r="Q105" s="13" t="e">
        <f t="shared" ca="1" si="1005"/>
        <v>#DIV/0!</v>
      </c>
      <c r="R105" s="13" t="e">
        <f t="shared" ca="1" si="1005"/>
        <v>#DIV/0!</v>
      </c>
      <c r="S105" s="13" t="e">
        <f t="shared" ca="1" si="1005"/>
        <v>#DIV/0!</v>
      </c>
      <c r="T105" s="13" t="e">
        <f t="shared" ca="1" si="1005"/>
        <v>#DIV/0!</v>
      </c>
      <c r="U105" s="13" t="e">
        <f t="shared" ca="1" si="1005"/>
        <v>#DIV/0!</v>
      </c>
      <c r="V105" s="13" t="e">
        <f t="shared" ca="1" si="1005"/>
        <v>#DIV/0!</v>
      </c>
      <c r="W105" s="13" t="e">
        <f t="shared" ca="1" si="1005"/>
        <v>#DIV/0!</v>
      </c>
      <c r="X105" s="13" t="e">
        <f t="shared" ca="1" si="1005"/>
        <v>#DIV/0!</v>
      </c>
      <c r="Y105" s="13" t="e">
        <f t="shared" ca="1" si="1005"/>
        <v>#DIV/0!</v>
      </c>
      <c r="Z105" s="13" t="e">
        <f t="shared" ref="Z105:AA105" ca="1" si="1006">+Z94/AA85</f>
        <v>#DIV/0!</v>
      </c>
      <c r="AA105" s="13" t="e">
        <f t="shared" ca="1" si="1006"/>
        <v>#DIV/0!</v>
      </c>
      <c r="AB105" s="37" t="e">
        <f t="shared" ca="1" si="1005"/>
        <v>#DIV/0!</v>
      </c>
      <c r="AC105" s="37" t="e">
        <f t="shared" ca="1" si="1005"/>
        <v>#DIV/0!</v>
      </c>
      <c r="AD105" s="37" t="e">
        <f t="shared" ca="1" si="1005"/>
        <v>#DIV/0!</v>
      </c>
      <c r="AE105" s="37"/>
      <c r="AL105" s="13">
        <f t="shared" ref="AL105:BQ105" si="1007">+AL94/AP85</f>
        <v>16.353775355196152</v>
      </c>
      <c r="AM105" s="13">
        <f t="shared" si="1007"/>
        <v>10.978629253567513</v>
      </c>
      <c r="AN105" s="13">
        <f t="shared" si="1007"/>
        <v>9.5866430457599456</v>
      </c>
      <c r="AO105" s="13">
        <f t="shared" si="1007"/>
        <v>13.531097020074267</v>
      </c>
      <c r="AP105" s="13">
        <f t="shared" si="1007"/>
        <v>16.078245697048569</v>
      </c>
      <c r="AQ105" s="13">
        <f t="shared" si="1007"/>
        <v>23.210278488634668</v>
      </c>
      <c r="AR105" s="13">
        <f t="shared" si="1007"/>
        <v>25.623085727366369</v>
      </c>
      <c r="AS105" s="13">
        <f t="shared" si="1007"/>
        <v>27.7718455136846</v>
      </c>
      <c r="AT105" s="13">
        <f t="shared" si="1007"/>
        <v>27.919382926897562</v>
      </c>
      <c r="AU105" s="13">
        <f t="shared" si="1007"/>
        <v>28.953344192944513</v>
      </c>
      <c r="AV105" s="13">
        <f t="shared" si="1007"/>
        <v>25.73711257654266</v>
      </c>
      <c r="AW105" s="13">
        <f t="shared" si="1007"/>
        <v>23.883680632692066</v>
      </c>
      <c r="AX105" s="13">
        <f t="shared" si="1007"/>
        <v>20.789921174442707</v>
      </c>
      <c r="AY105" s="13">
        <f t="shared" si="1007"/>
        <v>21.256102633952406</v>
      </c>
      <c r="AZ105" s="13">
        <f t="shared" si="1007"/>
        <v>23.858765272619625</v>
      </c>
      <c r="BA105" s="13">
        <f t="shared" si="1007"/>
        <v>23.290118960912835</v>
      </c>
      <c r="BB105" s="13">
        <f t="shared" si="1007"/>
        <v>24.581912940065404</v>
      </c>
      <c r="BC105" s="13">
        <f t="shared" si="1007"/>
        <v>29.759683255545649</v>
      </c>
      <c r="BD105" s="13">
        <f t="shared" si="1007"/>
        <v>32.171709416422786</v>
      </c>
      <c r="BE105" s="13">
        <f t="shared" si="1007"/>
        <v>38.893243455086996</v>
      </c>
      <c r="BF105" s="13">
        <f t="shared" si="1007"/>
        <v>42.266625615763559</v>
      </c>
      <c r="BG105" s="13">
        <f t="shared" si="1007"/>
        <v>40.415772928654171</v>
      </c>
      <c r="BH105" s="13">
        <f t="shared" si="1007"/>
        <v>38.114251102914587</v>
      </c>
      <c r="BI105" s="13">
        <f t="shared" si="1007"/>
        <v>35.657858578476151</v>
      </c>
      <c r="BJ105" s="13">
        <f t="shared" si="1007"/>
        <v>36.955057444974265</v>
      </c>
      <c r="BK105" s="13">
        <f t="shared" si="1007"/>
        <v>49.367764156715275</v>
      </c>
      <c r="BL105" s="13">
        <f t="shared" si="1007"/>
        <v>57.227124223144841</v>
      </c>
      <c r="BM105" s="13">
        <f t="shared" si="1007"/>
        <v>53.555950813452739</v>
      </c>
      <c r="BN105" s="13">
        <f t="shared" si="1007"/>
        <v>46.646113417374387</v>
      </c>
      <c r="BO105" s="13">
        <f t="shared" si="1007"/>
        <v>34.328853461531658</v>
      </c>
      <c r="BP105" s="13">
        <f t="shared" si="1007"/>
        <v>39.944498773369411</v>
      </c>
      <c r="BQ105" s="13">
        <f t="shared" si="1007"/>
        <v>49.990960795535841</v>
      </c>
      <c r="BR105" s="13">
        <f t="shared" ref="BR105:CL105" si="1008">+BR94/BV85</f>
        <v>74.232966335376673</v>
      </c>
      <c r="BS105" s="13">
        <f t="shared" si="1008"/>
        <v>75.761329071400951</v>
      </c>
      <c r="BT105" s="13">
        <f t="shared" si="1008"/>
        <v>86.000657651362602</v>
      </c>
      <c r="BU105" s="13">
        <f t="shared" si="1008"/>
        <v>107.48366178970814</v>
      </c>
      <c r="BV105" s="13">
        <f t="shared" si="1008"/>
        <v>116.99769817596275</v>
      </c>
      <c r="BW105" s="13">
        <f t="shared" si="1008"/>
        <v>111.67110009017129</v>
      </c>
      <c r="BX105" s="13">
        <f t="shared" si="1008"/>
        <v>104.41948946274861</v>
      </c>
      <c r="BY105" s="13">
        <f t="shared" si="1008"/>
        <v>110.74603549448972</v>
      </c>
      <c r="BZ105" s="13">
        <f t="shared" si="1008"/>
        <v>122.54039682539674</v>
      </c>
      <c r="CA105" s="13">
        <f t="shared" si="1008"/>
        <v>63.041239550050442</v>
      </c>
      <c r="CB105" s="13">
        <f t="shared" si="1008"/>
        <v>54.55738024357246</v>
      </c>
      <c r="CC105" s="13">
        <f t="shared" si="1008"/>
        <v>45.82714602603275</v>
      </c>
      <c r="CD105" s="13">
        <f t="shared" si="1008"/>
        <v>44.781867668207838</v>
      </c>
      <c r="CE105" s="13">
        <f t="shared" si="1008"/>
        <v>79.200957381099443</v>
      </c>
      <c r="CF105" s="13">
        <f t="shared" si="1008"/>
        <v>117.50373425807642</v>
      </c>
      <c r="CG105" s="13">
        <f t="shared" si="1008"/>
        <v>119.27899698412415</v>
      </c>
      <c r="CH105" s="13">
        <f t="shared" si="1008"/>
        <v>152.88719834977795</v>
      </c>
      <c r="CI105" s="13">
        <f t="shared" si="1008"/>
        <v>119.38076368470608</v>
      </c>
      <c r="CJ105" s="13">
        <f t="shared" si="1008"/>
        <v>111.84507664031108</v>
      </c>
      <c r="CK105" s="13">
        <f t="shared" si="1008"/>
        <v>112.90440793946267</v>
      </c>
      <c r="CL105" s="13">
        <f t="shared" si="1008"/>
        <v>98.629722563421538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4"/>
      <c r="DF105" s="13">
        <v>54.462804309044422</v>
      </c>
    </row>
    <row r="106" spans="1:110" s="98" customFormat="1" x14ac:dyDescent="0.2">
      <c r="A106" s="98" t="s">
        <v>426</v>
      </c>
      <c r="AB106" s="99"/>
      <c r="AC106" s="99"/>
      <c r="AD106" s="99"/>
      <c r="AE106" s="99"/>
      <c r="AL106" s="175"/>
      <c r="AM106" s="175"/>
      <c r="AN106" s="175"/>
      <c r="AO106" s="175">
        <f t="shared" ref="AO106:CI106" si="1009">+CORREL(AL85:AO85,AL102:AO102)</f>
        <v>3.9510756429985992E-2</v>
      </c>
      <c r="AP106" s="175">
        <f t="shared" si="1009"/>
        <v>0.609581874891994</v>
      </c>
      <c r="AQ106" s="175">
        <f t="shared" si="1009"/>
        <v>0.91182197620531191</v>
      </c>
      <c r="AR106" s="175">
        <f t="shared" si="1009"/>
        <v>0.89126969251360888</v>
      </c>
      <c r="AS106" s="175">
        <f t="shared" si="1009"/>
        <v>0.85481351135038264</v>
      </c>
      <c r="AT106" s="175">
        <f t="shared" si="1009"/>
        <v>0.32940693224318301</v>
      </c>
      <c r="AU106" s="175">
        <f t="shared" si="1009"/>
        <v>0.32397085232021056</v>
      </c>
      <c r="AV106" s="175">
        <f t="shared" si="1009"/>
        <v>-2.5575611194864487E-2</v>
      </c>
      <c r="AW106" s="175">
        <f t="shared" si="1009"/>
        <v>-0.56662497137317802</v>
      </c>
      <c r="AX106" s="175">
        <f t="shared" si="1009"/>
        <v>-0.91152158258398375</v>
      </c>
      <c r="AY106" s="175">
        <f t="shared" si="1009"/>
        <v>-0.97157369592871745</v>
      </c>
      <c r="AZ106" s="175">
        <f t="shared" si="1009"/>
        <v>-0.33455407055189734</v>
      </c>
      <c r="BA106" s="175">
        <f t="shared" si="1009"/>
        <v>5.0181911369761668E-2</v>
      </c>
      <c r="BB106" s="175">
        <f t="shared" si="1009"/>
        <v>-0.55125303338073606</v>
      </c>
      <c r="BC106" s="175">
        <f t="shared" si="1009"/>
        <v>-0.25914176690312396</v>
      </c>
      <c r="BD106" s="175">
        <f t="shared" si="1009"/>
        <v>0.50464131663082823</v>
      </c>
      <c r="BE106" s="175">
        <f t="shared" si="1009"/>
        <v>0.98759611740672582</v>
      </c>
      <c r="BF106" s="175">
        <f t="shared" si="1009"/>
        <v>0.98449777926580062</v>
      </c>
      <c r="BG106" s="175">
        <f t="shared" si="1009"/>
        <v>0.97728149372879125</v>
      </c>
      <c r="BH106" s="175">
        <f t="shared" si="1009"/>
        <v>-0.78451584174059819</v>
      </c>
      <c r="BI106" s="175">
        <f t="shared" si="1009"/>
        <v>-0.38955268678601412</v>
      </c>
      <c r="BJ106" s="175">
        <f t="shared" si="1009"/>
        <v>-0.76637019759596525</v>
      </c>
      <c r="BK106" s="175">
        <f t="shared" si="1009"/>
        <v>-0.87373814280772311</v>
      </c>
      <c r="BL106" s="175">
        <f t="shared" si="1009"/>
        <v>-0.66212077230836586</v>
      </c>
      <c r="BM106" s="175">
        <f t="shared" si="1009"/>
        <v>0.53380061290754333</v>
      </c>
      <c r="BN106" s="175">
        <f t="shared" si="1009"/>
        <v>0.44549059797610469</v>
      </c>
      <c r="BO106" s="175">
        <f t="shared" si="1009"/>
        <v>-0.59072163701763658</v>
      </c>
      <c r="BP106" s="175">
        <f t="shared" si="1009"/>
        <v>-0.73752597468058967</v>
      </c>
      <c r="BQ106" s="175">
        <f t="shared" si="1009"/>
        <v>-0.60670910903175068</v>
      </c>
      <c r="BR106" s="175">
        <f t="shared" si="1009"/>
        <v>0.64165718321641352</v>
      </c>
      <c r="BS106" s="175">
        <f t="shared" si="1009"/>
        <v>0.79361767226080127</v>
      </c>
      <c r="BT106" s="175">
        <f t="shared" si="1009"/>
        <v>0.67785575304517864</v>
      </c>
      <c r="BU106" s="175">
        <f t="shared" si="1009"/>
        <v>-0.11131976171704812</v>
      </c>
      <c r="BV106" s="175">
        <f t="shared" si="1009"/>
        <v>-0.81839369120438155</v>
      </c>
      <c r="BW106" s="175">
        <f t="shared" si="1009"/>
        <v>-0.98591839021606686</v>
      </c>
      <c r="BX106" s="175">
        <f t="shared" si="1009"/>
        <v>-6.9994534379580114E-2</v>
      </c>
      <c r="BY106" s="175">
        <f t="shared" si="1009"/>
        <v>0.59512385933008427</v>
      </c>
      <c r="BZ106" s="175">
        <f t="shared" si="1009"/>
        <v>0.17117779208394371</v>
      </c>
      <c r="CA106" s="175">
        <f t="shared" si="1009"/>
        <v>-0.62369647913741777</v>
      </c>
      <c r="CB106" s="175">
        <f t="shared" si="1009"/>
        <v>-0.94543042700026214</v>
      </c>
      <c r="CC106" s="175">
        <f t="shared" si="1009"/>
        <v>-0.98580858487864509</v>
      </c>
      <c r="CD106" s="175">
        <f t="shared" si="1009"/>
        <v>-0.961302077006852</v>
      </c>
      <c r="CE106" s="175">
        <f t="shared" si="1009"/>
        <v>-0.49930541817031276</v>
      </c>
      <c r="CF106" s="175">
        <f t="shared" si="1009"/>
        <v>-0.65318593551526138</v>
      </c>
      <c r="CG106" s="175">
        <f t="shared" si="1009"/>
        <v>-0.96343107507847803</v>
      </c>
      <c r="CH106" s="175">
        <f t="shared" si="1009"/>
        <v>-0.95126126358246466</v>
      </c>
      <c r="CI106" s="175">
        <f t="shared" si="1009"/>
        <v>-0.75807714333499876</v>
      </c>
      <c r="CJ106" s="175">
        <f>+CORREL(CG85:CJ85,CG102:CJ102)</f>
        <v>-0.58870832137442763</v>
      </c>
      <c r="CK106" s="175">
        <f>+CORREL(CH85:CK85,CH102:CK102)</f>
        <v>-0.85995188622430674</v>
      </c>
      <c r="CL106" s="175">
        <f>+CORREL(CI85:CL85,CI102:CL102)</f>
        <v>-0.97531206678175453</v>
      </c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E106" s="137"/>
      <c r="DF106" s="98">
        <v>-0.93190692765641536</v>
      </c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505</v>
      </c>
      <c r="E108" s="162" t="e">
        <f t="shared" ref="E108:AE108" ca="1" si="1010">+E$136/E$81</f>
        <v>#DIV/0!</v>
      </c>
      <c r="F108" s="162" t="e">
        <f t="shared" ca="1" si="1010"/>
        <v>#DIV/0!</v>
      </c>
      <c r="G108" s="162" t="e">
        <f t="shared" ca="1" si="1010"/>
        <v>#DIV/0!</v>
      </c>
      <c r="H108" s="162" t="e">
        <f t="shared" ca="1" si="1010"/>
        <v>#DIV/0!</v>
      </c>
      <c r="I108" s="162" t="e">
        <f t="shared" ca="1" si="1010"/>
        <v>#DIV/0!</v>
      </c>
      <c r="J108" s="162" t="e">
        <f t="shared" ca="1" si="1010"/>
        <v>#DIV/0!</v>
      </c>
      <c r="K108" s="162" t="e">
        <f t="shared" ca="1" si="1010"/>
        <v>#DIV/0!</v>
      </c>
      <c r="L108" s="162" t="e">
        <f t="shared" ca="1" si="1010"/>
        <v>#DIV/0!</v>
      </c>
      <c r="M108" s="162" t="e">
        <f t="shared" ca="1" si="1010"/>
        <v>#DIV/0!</v>
      </c>
      <c r="N108" s="162" t="e">
        <f t="shared" ca="1" si="1010"/>
        <v>#DIV/0!</v>
      </c>
      <c r="O108" s="162" t="e">
        <f t="shared" ca="1" si="1010"/>
        <v>#DIV/0!</v>
      </c>
      <c r="P108" s="162" t="e">
        <f t="shared" ca="1" si="1010"/>
        <v>#DIV/0!</v>
      </c>
      <c r="Q108" s="162" t="e">
        <f t="shared" ca="1" si="1010"/>
        <v>#DIV/0!</v>
      </c>
      <c r="R108" s="162" t="e">
        <f t="shared" ca="1" si="1010"/>
        <v>#DIV/0!</v>
      </c>
      <c r="S108" s="162" t="e">
        <f t="shared" ca="1" si="1010"/>
        <v>#DIV/0!</v>
      </c>
      <c r="T108" s="162" t="e">
        <f t="shared" ca="1" si="1010"/>
        <v>#DIV/0!</v>
      </c>
      <c r="U108" s="162" t="e">
        <f t="shared" ca="1" si="1010"/>
        <v>#DIV/0!</v>
      </c>
      <c r="V108" s="162" t="e">
        <f t="shared" ca="1" si="1010"/>
        <v>#DIV/0!</v>
      </c>
      <c r="W108" s="162" t="e">
        <f t="shared" ca="1" si="1010"/>
        <v>#DIV/0!</v>
      </c>
      <c r="X108" s="162" t="e">
        <f t="shared" ca="1" si="1010"/>
        <v>#DIV/0!</v>
      </c>
      <c r="Y108" s="162" t="e">
        <f t="shared" ca="1" si="1010"/>
        <v>#DIV/0!</v>
      </c>
      <c r="Z108" s="162" t="e">
        <f t="shared" ca="1" si="1010"/>
        <v>#DIV/0!</v>
      </c>
      <c r="AA108" s="162" t="e">
        <f t="shared" ca="1" si="1010"/>
        <v>#DIV/0!</v>
      </c>
      <c r="AB108" s="21" t="e">
        <f t="shared" ca="1" si="1010"/>
        <v>#DIV/0!</v>
      </c>
      <c r="AC108" s="21" t="e">
        <f t="shared" ca="1" si="1010"/>
        <v>#DIV/0!</v>
      </c>
      <c r="AD108" s="21" t="e">
        <f t="shared" ca="1" si="1010"/>
        <v>#DIV/0!</v>
      </c>
      <c r="AE108" s="21" t="e">
        <f t="shared" ca="1" si="1010"/>
        <v>#DIV/0!</v>
      </c>
      <c r="AL108" s="162">
        <f t="shared" ref="AL108:BQ108" si="1011">+AL$136/AL$81</f>
        <v>49.142079806529622</v>
      </c>
      <c r="AM108" s="162">
        <f t="shared" si="1011"/>
        <v>50.373941958887542</v>
      </c>
      <c r="AN108" s="162">
        <f t="shared" si="1011"/>
        <v>52.345525997581618</v>
      </c>
      <c r="AO108" s="162">
        <f t="shared" si="1011"/>
        <v>54.217351874244251</v>
      </c>
      <c r="AP108" s="162">
        <f t="shared" si="1011"/>
        <v>54.997581620314392</v>
      </c>
      <c r="AQ108" s="162">
        <f t="shared" si="1011"/>
        <v>58.292321644498188</v>
      </c>
      <c r="AR108" s="162">
        <f t="shared" si="1011"/>
        <v>59.585247883917773</v>
      </c>
      <c r="AS108" s="162">
        <f t="shared" si="1011"/>
        <v>62.831015719467956</v>
      </c>
      <c r="AT108" s="162">
        <f t="shared" si="1011"/>
        <v>63.545042321644509</v>
      </c>
      <c r="AU108" s="162">
        <f t="shared" si="1011"/>
        <v>66.644800483675951</v>
      </c>
      <c r="AV108" s="162">
        <f t="shared" si="1011"/>
        <v>68.564691656590099</v>
      </c>
      <c r="AW108" s="162">
        <f t="shared" si="1011"/>
        <v>70.282648125755756</v>
      </c>
      <c r="AX108" s="162">
        <f t="shared" si="1011"/>
        <v>84.978536880290221</v>
      </c>
      <c r="AY108" s="162">
        <f t="shared" si="1011"/>
        <v>89.743349455864575</v>
      </c>
      <c r="AZ108" s="162">
        <f t="shared" si="1011"/>
        <v>91.50755743651753</v>
      </c>
      <c r="BA108" s="162">
        <f t="shared" si="1011"/>
        <v>93.931680773881496</v>
      </c>
      <c r="BB108" s="162">
        <f t="shared" si="1011"/>
        <v>99.958282950423225</v>
      </c>
      <c r="BC108" s="162">
        <f t="shared" si="1011"/>
        <v>105.57013301088271</v>
      </c>
      <c r="BD108" s="162">
        <f t="shared" si="1011"/>
        <v>107.00211608222492</v>
      </c>
      <c r="BE108" s="162">
        <f t="shared" si="1011"/>
        <v>110.00937122128175</v>
      </c>
      <c r="BF108" s="162">
        <f t="shared" si="1011"/>
        <v>118.05350665054414</v>
      </c>
      <c r="BG108" s="162">
        <f t="shared" si="1011"/>
        <v>123.61336154776299</v>
      </c>
      <c r="BH108" s="162">
        <f t="shared" si="1011"/>
        <v>117.61064087061669</v>
      </c>
      <c r="BI108" s="162">
        <f t="shared" si="1011"/>
        <v>120.05683192261186</v>
      </c>
      <c r="BJ108" s="162">
        <f t="shared" si="1011"/>
        <v>124.24395405078597</v>
      </c>
      <c r="BK108" s="162">
        <f t="shared" si="1011"/>
        <v>129.23730350665053</v>
      </c>
      <c r="BL108" s="162">
        <f t="shared" si="1011"/>
        <v>123.72097944377268</v>
      </c>
      <c r="BM108" s="162">
        <f t="shared" si="1011"/>
        <v>126.34824667472795</v>
      </c>
      <c r="BN108" s="162">
        <f t="shared" si="1011"/>
        <v>129.38966142684401</v>
      </c>
      <c r="BO108" s="162">
        <f t="shared" si="1011"/>
        <v>131.8428053204353</v>
      </c>
      <c r="BP108" s="162">
        <f t="shared" si="1011"/>
        <v>132.5420193470375</v>
      </c>
      <c r="BQ108" s="162">
        <f t="shared" si="1011"/>
        <v>136.4087061668682</v>
      </c>
      <c r="BR108" s="162">
        <f t="shared" ref="BR108:DB108" si="1012">+BR$136/BR$81</f>
        <v>150.94770253929869</v>
      </c>
      <c r="BS108" s="162">
        <f t="shared" si="1012"/>
        <v>154.62968561064091</v>
      </c>
      <c r="BT108" s="162">
        <f t="shared" si="1012"/>
        <v>154.99002418379686</v>
      </c>
      <c r="BU108" s="162">
        <f t="shared" si="1012"/>
        <v>157.8914752116082</v>
      </c>
      <c r="BV108" s="162">
        <f t="shared" si="1012"/>
        <v>166.25030229746071</v>
      </c>
      <c r="BW108" s="162">
        <f t="shared" si="1012"/>
        <v>169.54171704957679</v>
      </c>
      <c r="BX108" s="162">
        <f t="shared" si="1012"/>
        <v>169.01874244256351</v>
      </c>
      <c r="BY108" s="162">
        <f t="shared" si="1012"/>
        <v>165.68198307134222</v>
      </c>
      <c r="BZ108" s="162">
        <f t="shared" si="1012"/>
        <v>164.81469165659007</v>
      </c>
      <c r="CA108" s="162">
        <f t="shared" si="1012"/>
        <v>168.72309552599759</v>
      </c>
      <c r="CB108" s="162">
        <f t="shared" si="1012"/>
        <v>172.74637243047158</v>
      </c>
      <c r="CC108" s="162">
        <f t="shared" si="1012"/>
        <v>171.82708585247886</v>
      </c>
      <c r="CD108" s="162">
        <f t="shared" si="1012"/>
        <v>175.9522370012092</v>
      </c>
      <c r="CE108" s="162">
        <f t="shared" si="1012"/>
        <v>186.0559250302297</v>
      </c>
      <c r="CF108" s="162">
        <f t="shared" si="1012"/>
        <v>189.80048367593713</v>
      </c>
      <c r="CG108" s="162">
        <f t="shared" si="1012"/>
        <v>193.79474002418382</v>
      </c>
      <c r="CH108" s="162">
        <f t="shared" si="1012"/>
        <v>196.89389359129385</v>
      </c>
      <c r="CI108" s="162">
        <f t="shared" si="1012"/>
        <v>201.13996372430472</v>
      </c>
      <c r="CJ108" s="162">
        <f t="shared" si="1012"/>
        <v>192.53295042321645</v>
      </c>
      <c r="CK108" s="162">
        <f t="shared" si="1012"/>
        <v>195.10096735187423</v>
      </c>
      <c r="CL108" s="162">
        <f t="shared" si="1012"/>
        <v>192.75120918984283</v>
      </c>
      <c r="CM108" s="21">
        <f t="shared" si="1012"/>
        <v>197.02162961400708</v>
      </c>
      <c r="CN108" s="21">
        <f t="shared" si="1012"/>
        <v>199.01260052437726</v>
      </c>
      <c r="CO108" s="21">
        <f t="shared" si="1012"/>
        <v>202.20096729097079</v>
      </c>
      <c r="CP108" s="21">
        <f t="shared" si="1012"/>
        <v>208.79099880785304</v>
      </c>
      <c r="CQ108" s="21">
        <f t="shared" si="1012"/>
        <v>215.0820521059315</v>
      </c>
      <c r="CR108" s="21">
        <f t="shared" si="1012"/>
        <v>217.98019014952834</v>
      </c>
      <c r="CS108" s="21">
        <f t="shared" si="1012"/>
        <v>221.76195606933175</v>
      </c>
      <c r="CT108" s="21">
        <f t="shared" si="1012"/>
        <v>229.6049679881362</v>
      </c>
      <c r="CU108" s="21">
        <f t="shared" si="1012"/>
        <v>237.15340022688468</v>
      </c>
      <c r="CV108" s="21">
        <f t="shared" si="1012"/>
        <v>240.70418348445313</v>
      </c>
      <c r="CW108" s="21">
        <f t="shared" si="1012"/>
        <v>245.14235835470743</v>
      </c>
      <c r="CX108" s="21">
        <f t="shared" si="1012"/>
        <v>254.14683311399543</v>
      </c>
      <c r="CY108" s="21">
        <f t="shared" si="1012"/>
        <v>263.0029568428169</v>
      </c>
      <c r="CZ108" s="21">
        <f t="shared" si="1012"/>
        <v>267.21079597536266</v>
      </c>
      <c r="DA108" s="21">
        <f t="shared" si="1012"/>
        <v>272.40852998814563</v>
      </c>
      <c r="DB108" s="21">
        <f t="shared" si="1012"/>
        <v>282.85379004156994</v>
      </c>
      <c r="DE108" s="22"/>
      <c r="DF108" s="162">
        <v>203.32399566214397</v>
      </c>
    </row>
    <row r="109" spans="1:110" s="162" customFormat="1" x14ac:dyDescent="0.2">
      <c r="A109" s="49" t="s">
        <v>501</v>
      </c>
      <c r="AB109" s="21"/>
      <c r="AC109" s="21"/>
      <c r="AD109" s="21"/>
      <c r="AE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E109" s="22"/>
    </row>
    <row r="110" spans="1:110" s="162" customFormat="1" x14ac:dyDescent="0.2">
      <c r="A110" s="49" t="s">
        <v>502</v>
      </c>
      <c r="E110" s="162" t="e">
        <f t="shared" ref="E110:AE112" ca="1" si="1013">+E93/E$108</f>
        <v>#DIV/0!</v>
      </c>
      <c r="F110" s="162" t="e">
        <f t="shared" ca="1" si="1013"/>
        <v>#DIV/0!</v>
      </c>
      <c r="G110" s="162" t="e">
        <f t="shared" ca="1" si="1013"/>
        <v>#DIV/0!</v>
      </c>
      <c r="H110" s="162" t="e">
        <f t="shared" ca="1" si="1013"/>
        <v>#DIV/0!</v>
      </c>
      <c r="I110" s="162" t="e">
        <f t="shared" ca="1" si="1013"/>
        <v>#DIV/0!</v>
      </c>
      <c r="J110" s="162" t="e">
        <f t="shared" ca="1" si="1013"/>
        <v>#DIV/0!</v>
      </c>
      <c r="K110" s="162" t="e">
        <f t="shared" ca="1" si="1013"/>
        <v>#DIV/0!</v>
      </c>
      <c r="L110" s="162" t="e">
        <f t="shared" ca="1" si="1013"/>
        <v>#DIV/0!</v>
      </c>
      <c r="M110" s="162" t="e">
        <f t="shared" ca="1" si="1013"/>
        <v>#DIV/0!</v>
      </c>
      <c r="N110" s="162" t="e">
        <f t="shared" ca="1" si="1013"/>
        <v>#DIV/0!</v>
      </c>
      <c r="O110" s="162" t="e">
        <f t="shared" ca="1" si="1013"/>
        <v>#DIV/0!</v>
      </c>
      <c r="P110" s="162" t="e">
        <f t="shared" ca="1" si="1013"/>
        <v>#DIV/0!</v>
      </c>
      <c r="Q110" s="162" t="e">
        <f t="shared" ca="1" si="1013"/>
        <v>#DIV/0!</v>
      </c>
      <c r="R110" s="162" t="e">
        <f t="shared" ca="1" si="1013"/>
        <v>#DIV/0!</v>
      </c>
      <c r="S110" s="162" t="e">
        <f t="shared" ca="1" si="1013"/>
        <v>#DIV/0!</v>
      </c>
      <c r="T110" s="162" t="e">
        <f t="shared" ca="1" si="1013"/>
        <v>#DIV/0!</v>
      </c>
      <c r="U110" s="162" t="e">
        <f t="shared" ca="1" si="1013"/>
        <v>#DIV/0!</v>
      </c>
      <c r="V110" s="162" t="e">
        <f t="shared" ca="1" si="1013"/>
        <v>#DIV/0!</v>
      </c>
      <c r="W110" s="162" t="e">
        <f t="shared" ca="1" si="1013"/>
        <v>#DIV/0!</v>
      </c>
      <c r="X110" s="162" t="e">
        <f t="shared" ca="1" si="1013"/>
        <v>#DIV/0!</v>
      </c>
      <c r="Y110" s="162" t="e">
        <f t="shared" ca="1" si="1013"/>
        <v>#DIV/0!</v>
      </c>
      <c r="Z110" s="162" t="e">
        <f t="shared" ca="1" si="1013"/>
        <v>#DIV/0!</v>
      </c>
      <c r="AA110" s="162" t="e">
        <f t="shared" ref="AA110" ca="1" si="1014">+AA93/AA$108</f>
        <v>#DIV/0!</v>
      </c>
      <c r="AB110" s="21" t="e">
        <f t="shared" ca="1" si="1013"/>
        <v>#DIV/0!</v>
      </c>
      <c r="AC110" s="21" t="e">
        <f t="shared" ca="1" si="1013"/>
        <v>#DIV/0!</v>
      </c>
      <c r="AD110" s="21" t="e">
        <f t="shared" ca="1" si="1013"/>
        <v>#DIV/0!</v>
      </c>
      <c r="AE110" s="21" t="e">
        <f t="shared" ca="1" si="1013"/>
        <v>#DIV/0!</v>
      </c>
      <c r="AL110" s="162">
        <f t="shared" ref="AL110:CI112" si="1015">+AL93/AL$108</f>
        <v>1.5353440533458005</v>
      </c>
      <c r="AM110" s="162">
        <f t="shared" si="1015"/>
        <v>1.6069816427324066</v>
      </c>
      <c r="AN110" s="162">
        <f t="shared" si="1015"/>
        <v>1.412728186233462</v>
      </c>
      <c r="AO110" s="162">
        <f t="shared" si="1015"/>
        <v>2.1358475837882143</v>
      </c>
      <c r="AP110" s="162">
        <f t="shared" si="1015"/>
        <v>2.9264923158103024</v>
      </c>
      <c r="AQ110" s="162">
        <f t="shared" si="1015"/>
        <v>3.7432031156816068</v>
      </c>
      <c r="AR110" s="162">
        <f t="shared" si="1015"/>
        <v>4.0580514235850398</v>
      </c>
      <c r="AS110" s="162">
        <f t="shared" si="1015"/>
        <v>3.8531925232745556</v>
      </c>
      <c r="AT110" s="162">
        <f t="shared" si="1015"/>
        <v>4.3960943260690648</v>
      </c>
      <c r="AU110" s="162">
        <f t="shared" si="1015"/>
        <v>4.7205483055960009</v>
      </c>
      <c r="AV110" s="162">
        <f t="shared" si="1015"/>
        <v>3.9130927816870353</v>
      </c>
      <c r="AW110" s="162">
        <f t="shared" si="1015"/>
        <v>4.6056887244886981</v>
      </c>
      <c r="AX110" s="162">
        <f t="shared" si="1015"/>
        <v>3.2590582300815689</v>
      </c>
      <c r="AY110" s="162">
        <f t="shared" si="1015"/>
        <v>3.5802095859817902</v>
      </c>
      <c r="AZ110" s="162">
        <f t="shared" si="1015"/>
        <v>4.1471984460220614</v>
      </c>
      <c r="BA110" s="162">
        <f t="shared" si="1015"/>
        <v>3.4945611245920847</v>
      </c>
      <c r="BB110" s="162">
        <f t="shared" si="1015"/>
        <v>4.1232200857673389</v>
      </c>
      <c r="BC110" s="162">
        <f t="shared" si="1015"/>
        <v>4.3369273765412659</v>
      </c>
      <c r="BD110" s="162">
        <f t="shared" si="1015"/>
        <v>4.7167291496568851</v>
      </c>
      <c r="BE110" s="162">
        <f t="shared" si="1015"/>
        <v>5.9604013069129538</v>
      </c>
      <c r="BF110" s="162">
        <f t="shared" si="1015"/>
        <v>5.2569382952517278</v>
      </c>
      <c r="BG110" s="162">
        <f t="shared" si="1015"/>
        <v>4.2200130590125529</v>
      </c>
      <c r="BH110" s="162">
        <f t="shared" si="1015"/>
        <v>4.4991677290672802</v>
      </c>
      <c r="BI110" s="162">
        <f t="shared" si="1015"/>
        <v>4.6015706990844718</v>
      </c>
      <c r="BJ110" s="162">
        <f t="shared" si="1015"/>
        <v>5.0742911783240352</v>
      </c>
      <c r="BK110" s="162">
        <f t="shared" si="1015"/>
        <v>4.9795994077428505</v>
      </c>
      <c r="BL110" s="162">
        <f t="shared" si="1015"/>
        <v>5.4950260097881829</v>
      </c>
      <c r="BM110" s="162">
        <f t="shared" si="1015"/>
        <v>5.2181175232079617</v>
      </c>
      <c r="BN110" s="162">
        <f t="shared" si="1015"/>
        <v>3.7008366411928391</v>
      </c>
      <c r="BO110" s="162">
        <f t="shared" si="1015"/>
        <v>4.1424330942641747</v>
      </c>
      <c r="BP110" s="162">
        <f t="shared" si="1015"/>
        <v>5.1364842889366829</v>
      </c>
      <c r="BQ110" s="162">
        <f t="shared" si="1015"/>
        <v>6.0553319741157701</v>
      </c>
      <c r="BR110" s="162">
        <f t="shared" si="1015"/>
        <v>6.637066898975637</v>
      </c>
      <c r="BS110" s="162">
        <f t="shared" si="1015"/>
        <v>6.6116023968016568</v>
      </c>
      <c r="BT110" s="162">
        <f t="shared" si="1015"/>
        <v>7.8656675255067698</v>
      </c>
      <c r="BU110" s="162">
        <f t="shared" si="1015"/>
        <v>7.7227095279578029</v>
      </c>
      <c r="BV110" s="162">
        <f t="shared" si="1015"/>
        <v>7.4857006742357566</v>
      </c>
      <c r="BW110" s="162">
        <f t="shared" si="1015"/>
        <v>5.7381157683776589</v>
      </c>
      <c r="BX110" s="162">
        <f t="shared" si="1015"/>
        <v>5.3627188730741846</v>
      </c>
      <c r="BY110" s="162">
        <f t="shared" si="1015"/>
        <v>4.8490486720819739</v>
      </c>
      <c r="BZ110" s="162">
        <f t="shared" si="1015"/>
        <v>4.9646666312061294</v>
      </c>
      <c r="CA110" s="162">
        <f t="shared" si="1015"/>
        <v>4.5032364871644184</v>
      </c>
      <c r="CB110" s="162">
        <f t="shared" si="1015"/>
        <v>4.9957633718030605</v>
      </c>
      <c r="CC110" s="162">
        <f t="shared" si="1015"/>
        <v>5.694387442734393</v>
      </c>
      <c r="CD110" s="162">
        <f t="shared" si="1015"/>
        <v>6.2718725195429936</v>
      </c>
      <c r="CE110" s="162">
        <f t="shared" si="1015"/>
        <v>7.9110622236881252</v>
      </c>
      <c r="CF110" s="162">
        <f t="shared" si="1015"/>
        <v>9.7246854394291713</v>
      </c>
      <c r="CG110" s="162">
        <f t="shared" si="1015"/>
        <v>9.247413009126884</v>
      </c>
      <c r="CH110" s="162">
        <f t="shared" si="1015"/>
        <v>7.4075430852492987</v>
      </c>
      <c r="CI110" s="162">
        <f t="shared" si="1015"/>
        <v>6.5342559263929445</v>
      </c>
      <c r="CJ110" s="162">
        <f>+CJ93/CJ$108</f>
        <v>7.0219149347070733</v>
      </c>
      <c r="CK110" s="162">
        <f>+CK93/CK$108</f>
        <v>6.9738249813292343</v>
      </c>
      <c r="CL110" s="162">
        <f>+CL93/CL$108</f>
        <v>6.5901013297868163</v>
      </c>
      <c r="CM110" s="21">
        <f t="shared" ref="CM110:DB110" si="1016">+CM93/CM$108</f>
        <v>7.0499873679922613</v>
      </c>
      <c r="CN110" s="21">
        <f t="shared" si="1016"/>
        <v>6.9794575636926064</v>
      </c>
      <c r="CO110" s="21">
        <f t="shared" si="1016"/>
        <v>6.8694033397041281</v>
      </c>
      <c r="CP110" s="21">
        <f t="shared" si="1016"/>
        <v>6.6525856379387029</v>
      </c>
      <c r="CQ110" s="21">
        <f t="shared" si="1016"/>
        <v>6.4580004998087626</v>
      </c>
      <c r="CR110" s="21">
        <f t="shared" si="1016"/>
        <v>6.3721386748363908</v>
      </c>
      <c r="CS110" s="21">
        <f t="shared" si="1016"/>
        <v>6.2634728905698438</v>
      </c>
      <c r="CT110" s="21">
        <f t="shared" si="1016"/>
        <v>6.0495206709628793</v>
      </c>
      <c r="CU110" s="21">
        <f t="shared" si="1016"/>
        <v>5.8569685219404128</v>
      </c>
      <c r="CV110" s="21">
        <f t="shared" si="1016"/>
        <v>5.7705685871044041</v>
      </c>
      <c r="CW110" s="21">
        <f t="shared" si="1016"/>
        <v>5.6660954447953618</v>
      </c>
      <c r="CX110" s="21">
        <f t="shared" si="1016"/>
        <v>5.4653445135669889</v>
      </c>
      <c r="CY110" s="21">
        <f t="shared" si="1016"/>
        <v>5.281309444859712</v>
      </c>
      <c r="CZ110" s="21">
        <f t="shared" si="1016"/>
        <v>5.1981432671158556</v>
      </c>
      <c r="DA110" s="21">
        <f t="shared" si="1016"/>
        <v>5.0989592728995854</v>
      </c>
      <c r="DB110" s="21">
        <f t="shared" si="1016"/>
        <v>4.9106642686168849</v>
      </c>
      <c r="DE110" s="22"/>
      <c r="DF110" s="162">
        <v>6.2474180475516912</v>
      </c>
    </row>
    <row r="111" spans="1:110" s="162" customFormat="1" x14ac:dyDescent="0.2">
      <c r="A111" s="49" t="s">
        <v>503</v>
      </c>
      <c r="E111" s="162" t="e">
        <f t="shared" ca="1" si="1013"/>
        <v>#DIV/0!</v>
      </c>
      <c r="F111" s="162" t="e">
        <f t="shared" ca="1" si="1013"/>
        <v>#DIV/0!</v>
      </c>
      <c r="G111" s="162" t="e">
        <f t="shared" ca="1" si="1013"/>
        <v>#DIV/0!</v>
      </c>
      <c r="H111" s="162" t="e">
        <f t="shared" ca="1" si="1013"/>
        <v>#DIV/0!</v>
      </c>
      <c r="I111" s="162" t="e">
        <f t="shared" ca="1" si="1013"/>
        <v>#DIV/0!</v>
      </c>
      <c r="J111" s="162" t="e">
        <f t="shared" ca="1" si="1013"/>
        <v>#DIV/0!</v>
      </c>
      <c r="K111" s="162" t="e">
        <f t="shared" ca="1" si="1013"/>
        <v>#DIV/0!</v>
      </c>
      <c r="L111" s="162" t="e">
        <f t="shared" ca="1" si="1013"/>
        <v>#DIV/0!</v>
      </c>
      <c r="M111" s="162" t="e">
        <f t="shared" ca="1" si="1013"/>
        <v>#DIV/0!</v>
      </c>
      <c r="N111" s="162" t="e">
        <f t="shared" ca="1" si="1013"/>
        <v>#DIV/0!</v>
      </c>
      <c r="O111" s="162" t="e">
        <f t="shared" ca="1" si="1013"/>
        <v>#DIV/0!</v>
      </c>
      <c r="P111" s="162" t="e">
        <f t="shared" ca="1" si="1013"/>
        <v>#DIV/0!</v>
      </c>
      <c r="Q111" s="162" t="e">
        <f t="shared" ca="1" si="1013"/>
        <v>#DIV/0!</v>
      </c>
      <c r="R111" s="162" t="e">
        <f t="shared" ca="1" si="1013"/>
        <v>#DIV/0!</v>
      </c>
      <c r="S111" s="162" t="e">
        <f t="shared" ca="1" si="1013"/>
        <v>#DIV/0!</v>
      </c>
      <c r="T111" s="162" t="e">
        <f t="shared" ca="1" si="1013"/>
        <v>#DIV/0!</v>
      </c>
      <c r="U111" s="162" t="e">
        <f t="shared" ca="1" si="1013"/>
        <v>#DIV/0!</v>
      </c>
      <c r="V111" s="162" t="e">
        <f t="shared" ca="1" si="1013"/>
        <v>#DIV/0!</v>
      </c>
      <c r="W111" s="162" t="e">
        <f t="shared" ca="1" si="1013"/>
        <v>#DIV/0!</v>
      </c>
      <c r="X111" s="162" t="e">
        <f t="shared" ca="1" si="1013"/>
        <v>#DIV/0!</v>
      </c>
      <c r="Y111" s="162" t="e">
        <f t="shared" ca="1" si="1013"/>
        <v>#DIV/0!</v>
      </c>
      <c r="Z111" s="162" t="e">
        <f t="shared" ca="1" si="1013"/>
        <v>#DIV/0!</v>
      </c>
      <c r="AA111" s="162" t="e">
        <f t="shared" ref="AA111" ca="1" si="1017">+AA94/AA$108</f>
        <v>#DIV/0!</v>
      </c>
      <c r="AB111" s="21" t="e">
        <f t="shared" ca="1" si="1013"/>
        <v>#DIV/0!</v>
      </c>
      <c r="AC111" s="21" t="e">
        <f t="shared" ca="1" si="1013"/>
        <v>#DIV/0!</v>
      </c>
      <c r="AD111" s="21" t="e">
        <f t="shared" ca="1" si="1013"/>
        <v>#DIV/0!</v>
      </c>
      <c r="AE111" s="21" t="e">
        <f t="shared" ca="1" si="1013"/>
        <v>#DIV/0!</v>
      </c>
      <c r="AL111" s="162">
        <f t="shared" si="1015"/>
        <v>2.2516344533162735</v>
      </c>
      <c r="AM111" s="162">
        <f t="shared" si="1015"/>
        <v>1.9206358731854272</v>
      </c>
      <c r="AN111" s="162">
        <f t="shared" si="1015"/>
        <v>1.6563020114461278</v>
      </c>
      <c r="AO111" s="162">
        <f t="shared" si="1015"/>
        <v>2.2963128167671218</v>
      </c>
      <c r="AP111" s="162">
        <f t="shared" si="1015"/>
        <v>2.9883132159268295</v>
      </c>
      <c r="AQ111" s="162">
        <f t="shared" si="1015"/>
        <v>3.9979536485316158</v>
      </c>
      <c r="AR111" s="162">
        <f t="shared" si="1015"/>
        <v>4.5430708038232845</v>
      </c>
      <c r="AS111" s="162">
        <f t="shared" si="1015"/>
        <v>4.5598498881377951</v>
      </c>
      <c r="AT111" s="162">
        <f t="shared" si="1015"/>
        <v>4.7438791286684072</v>
      </c>
      <c r="AU111" s="162">
        <f t="shared" si="1015"/>
        <v>5.4017717419407507</v>
      </c>
      <c r="AV111" s="162">
        <f t="shared" si="1015"/>
        <v>4.8180775267622513</v>
      </c>
      <c r="AW111" s="162">
        <f t="shared" si="1015"/>
        <v>4.6241854663541142</v>
      </c>
      <c r="AX111" s="162">
        <f t="shared" si="1015"/>
        <v>3.8186112860136099</v>
      </c>
      <c r="AY111" s="162">
        <f t="shared" si="1015"/>
        <v>3.8899818439658977</v>
      </c>
      <c r="AZ111" s="162">
        <f t="shared" si="1015"/>
        <v>4.3930797768138827</v>
      </c>
      <c r="BA111" s="162">
        <f t="shared" si="1015"/>
        <v>4.3222903780179323</v>
      </c>
      <c r="BB111" s="162">
        <f t="shared" si="1015"/>
        <v>4.2507732972037902</v>
      </c>
      <c r="BC111" s="162">
        <f t="shared" si="1015"/>
        <v>4.874958336435431</v>
      </c>
      <c r="BD111" s="162">
        <f t="shared" si="1015"/>
        <v>5.2798021262109316</v>
      </c>
      <c r="BE111" s="162">
        <f t="shared" si="1015"/>
        <v>6.1358409061556252</v>
      </c>
      <c r="BF111" s="162">
        <f t="shared" si="1015"/>
        <v>5.6245682050389094</v>
      </c>
      <c r="BG111" s="162">
        <f t="shared" si="1015"/>
        <v>5.3764414435344445</v>
      </c>
      <c r="BH111" s="162">
        <f t="shared" si="1015"/>
        <v>5.4183022495476223</v>
      </c>
      <c r="BI111" s="162">
        <f t="shared" si="1015"/>
        <v>4.913922769345433</v>
      </c>
      <c r="BJ111" s="162">
        <f t="shared" si="1015"/>
        <v>5.1105102445504738</v>
      </c>
      <c r="BK111" s="162">
        <f t="shared" si="1015"/>
        <v>5.0960518529087739</v>
      </c>
      <c r="BL111" s="162">
        <f t="shared" si="1015"/>
        <v>5.6922439764555826</v>
      </c>
      <c r="BM111" s="162">
        <f t="shared" si="1015"/>
        <v>5.7416704947841897</v>
      </c>
      <c r="BN111" s="162">
        <f t="shared" si="1015"/>
        <v>5.7230229357905333</v>
      </c>
      <c r="BO111" s="162">
        <f t="shared" si="1015"/>
        <v>4.4534094869490248</v>
      </c>
      <c r="BP111" s="162">
        <f t="shared" si="1015"/>
        <v>5.3847074574237821</v>
      </c>
      <c r="BQ111" s="162">
        <f t="shared" si="1015"/>
        <v>6.1942527258221789</v>
      </c>
      <c r="BR111" s="162">
        <f t="shared" si="1015"/>
        <v>7.4939862016481911</v>
      </c>
      <c r="BS111" s="162">
        <f t="shared" si="1015"/>
        <v>7.2747997614928197</v>
      </c>
      <c r="BT111" s="162">
        <f t="shared" si="1015"/>
        <v>8.1618156178870187</v>
      </c>
      <c r="BU111" s="162">
        <f t="shared" si="1015"/>
        <v>8.5938775236691232</v>
      </c>
      <c r="BV111" s="162">
        <f t="shared" si="1015"/>
        <v>8.0592334659500029</v>
      </c>
      <c r="BW111" s="162">
        <f t="shared" si="1015"/>
        <v>7.9493709480711212</v>
      </c>
      <c r="BX111" s="162">
        <f t="shared" si="1015"/>
        <v>6.2919057651927863</v>
      </c>
      <c r="BY111" s="162">
        <f t="shared" si="1015"/>
        <v>5.6472646129368913</v>
      </c>
      <c r="BZ111" s="162">
        <f t="shared" si="1015"/>
        <v>5.6639368166586275</v>
      </c>
      <c r="CA111" s="162">
        <f t="shared" si="1015"/>
        <v>5.1611191537546395</v>
      </c>
      <c r="CB111" s="162">
        <f t="shared" si="1015"/>
        <v>5.2915727672829407</v>
      </c>
      <c r="CC111" s="162">
        <f t="shared" si="1015"/>
        <v>5.7790655941900475</v>
      </c>
      <c r="CD111" s="162">
        <f t="shared" si="1015"/>
        <v>6.4733476505454854</v>
      </c>
      <c r="CE111" s="162">
        <f t="shared" si="1015"/>
        <v>8.3335158487862202</v>
      </c>
      <c r="CF111" s="162">
        <f t="shared" si="1015"/>
        <v>10.253925397381582</v>
      </c>
      <c r="CG111" s="162">
        <f t="shared" si="1015"/>
        <v>9.8093477653870913</v>
      </c>
      <c r="CH111" s="162">
        <f t="shared" si="1015"/>
        <v>9.4449348635473847</v>
      </c>
      <c r="CI111" s="162">
        <f t="shared" si="1015"/>
        <v>7.233768829720562</v>
      </c>
      <c r="CJ111" s="162">
        <f t="shared" ref="CJ111:CK112" si="1018">+CJ94/CJ$108</f>
        <v>7.6345373442256941</v>
      </c>
      <c r="CK111" s="162">
        <f t="shared" si="1018"/>
        <v>7.5009879236559378</v>
      </c>
      <c r="CL111" s="162">
        <f t="shared" ref="CL111" si="1019">+CL94/CL$108</f>
        <v>8.2074712093861386</v>
      </c>
      <c r="CM111" s="94">
        <f t="shared" ref="CM111:DB111" si="1020">+CL111</f>
        <v>8.2074712093861386</v>
      </c>
      <c r="CN111" s="94">
        <f t="shared" si="1020"/>
        <v>8.2074712093861386</v>
      </c>
      <c r="CO111" s="94">
        <f t="shared" si="1020"/>
        <v>8.2074712093861386</v>
      </c>
      <c r="CP111" s="94">
        <f t="shared" si="1020"/>
        <v>8.2074712093861386</v>
      </c>
      <c r="CQ111" s="94">
        <f t="shared" si="1020"/>
        <v>8.2074712093861386</v>
      </c>
      <c r="CR111" s="94">
        <f t="shared" si="1020"/>
        <v>8.2074712093861386</v>
      </c>
      <c r="CS111" s="94">
        <f t="shared" si="1020"/>
        <v>8.2074712093861386</v>
      </c>
      <c r="CT111" s="94">
        <f t="shared" si="1020"/>
        <v>8.2074712093861386</v>
      </c>
      <c r="CU111" s="94">
        <f t="shared" si="1020"/>
        <v>8.2074712093861386</v>
      </c>
      <c r="CV111" s="94">
        <f t="shared" si="1020"/>
        <v>8.2074712093861386</v>
      </c>
      <c r="CW111" s="94">
        <f t="shared" si="1020"/>
        <v>8.2074712093861386</v>
      </c>
      <c r="CX111" s="94">
        <f t="shared" si="1020"/>
        <v>8.2074712093861386</v>
      </c>
      <c r="CY111" s="94">
        <f t="shared" si="1020"/>
        <v>8.2074712093861386</v>
      </c>
      <c r="CZ111" s="94">
        <f t="shared" si="1020"/>
        <v>8.2074712093861386</v>
      </c>
      <c r="DA111" s="94">
        <f t="shared" si="1020"/>
        <v>8.2074712093861386</v>
      </c>
      <c r="DB111" s="94">
        <f t="shared" si="1020"/>
        <v>8.2074712093861386</v>
      </c>
      <c r="DC111" s="94"/>
      <c r="DE111" s="22"/>
      <c r="DF111" s="162">
        <v>7.7806851810484359</v>
      </c>
    </row>
    <row r="112" spans="1:110" s="162" customFormat="1" x14ac:dyDescent="0.2">
      <c r="A112" s="49" t="s">
        <v>504</v>
      </c>
      <c r="E112" s="162" t="e">
        <f t="shared" ca="1" si="1013"/>
        <v>#DIV/0!</v>
      </c>
      <c r="F112" s="162" t="e">
        <f t="shared" ca="1" si="1013"/>
        <v>#DIV/0!</v>
      </c>
      <c r="G112" s="162" t="e">
        <f t="shared" ca="1" si="1013"/>
        <v>#DIV/0!</v>
      </c>
      <c r="H112" s="162" t="e">
        <f t="shared" ca="1" si="1013"/>
        <v>#DIV/0!</v>
      </c>
      <c r="I112" s="162" t="e">
        <f t="shared" ca="1" si="1013"/>
        <v>#DIV/0!</v>
      </c>
      <c r="J112" s="162" t="e">
        <f t="shared" ca="1" si="1013"/>
        <v>#DIV/0!</v>
      </c>
      <c r="K112" s="162" t="e">
        <f t="shared" ca="1" si="1013"/>
        <v>#DIV/0!</v>
      </c>
      <c r="L112" s="162" t="e">
        <f t="shared" ca="1" si="1013"/>
        <v>#DIV/0!</v>
      </c>
      <c r="M112" s="162" t="e">
        <f t="shared" ca="1" si="1013"/>
        <v>#DIV/0!</v>
      </c>
      <c r="N112" s="162" t="e">
        <f t="shared" ca="1" si="1013"/>
        <v>#DIV/0!</v>
      </c>
      <c r="O112" s="162" t="e">
        <f t="shared" ca="1" si="1013"/>
        <v>#DIV/0!</v>
      </c>
      <c r="P112" s="162" t="e">
        <f t="shared" ca="1" si="1013"/>
        <v>#DIV/0!</v>
      </c>
      <c r="Q112" s="162" t="e">
        <f t="shared" ca="1" si="1013"/>
        <v>#DIV/0!</v>
      </c>
      <c r="R112" s="162" t="e">
        <f t="shared" ca="1" si="1013"/>
        <v>#DIV/0!</v>
      </c>
      <c r="S112" s="162" t="e">
        <f t="shared" ca="1" si="1013"/>
        <v>#DIV/0!</v>
      </c>
      <c r="T112" s="162" t="e">
        <f t="shared" ca="1" si="1013"/>
        <v>#DIV/0!</v>
      </c>
      <c r="U112" s="162" t="e">
        <f t="shared" ca="1" si="1013"/>
        <v>#DIV/0!</v>
      </c>
      <c r="V112" s="162" t="e">
        <f t="shared" ca="1" si="1013"/>
        <v>#DIV/0!</v>
      </c>
      <c r="W112" s="162" t="e">
        <f t="shared" ca="1" si="1013"/>
        <v>#DIV/0!</v>
      </c>
      <c r="X112" s="162" t="e">
        <f t="shared" ca="1" si="1013"/>
        <v>#DIV/0!</v>
      </c>
      <c r="Y112" s="162" t="e">
        <f t="shared" ca="1" si="1013"/>
        <v>#DIV/0!</v>
      </c>
      <c r="Z112" s="162" t="e">
        <f t="shared" ca="1" si="1013"/>
        <v>#DIV/0!</v>
      </c>
      <c r="AA112" s="162" t="e">
        <f t="shared" ref="AA112" ca="1" si="1021">+AA95/AA$108</f>
        <v>#DIV/0!</v>
      </c>
      <c r="AB112" s="21" t="e">
        <f t="shared" ca="1" si="1013"/>
        <v>#DIV/0!</v>
      </c>
      <c r="AC112" s="21" t="e">
        <f t="shared" ca="1" si="1013"/>
        <v>#DIV/0!</v>
      </c>
      <c r="AD112" s="21" t="e">
        <f t="shared" ca="1" si="1013"/>
        <v>#DIV/0!</v>
      </c>
      <c r="AE112" s="21" t="e">
        <f t="shared" ca="1" si="1013"/>
        <v>#DIV/0!</v>
      </c>
      <c r="AL112" s="162">
        <f t="shared" si="1015"/>
        <v>1.490575903347646</v>
      </c>
      <c r="AM112" s="162">
        <f t="shared" si="1015"/>
        <v>1.4908501713304969</v>
      </c>
      <c r="AN112" s="162">
        <f t="shared" si="1015"/>
        <v>1.1978101051634626</v>
      </c>
      <c r="AO112" s="162">
        <f t="shared" si="1015"/>
        <v>1.3648766943033495</v>
      </c>
      <c r="AP112" s="162">
        <f t="shared" si="1015"/>
        <v>1.7646230459732206</v>
      </c>
      <c r="AQ112" s="162">
        <f t="shared" si="1015"/>
        <v>2.5475053285000855</v>
      </c>
      <c r="AR112" s="162">
        <f t="shared" si="1015"/>
        <v>3.0586429774539847</v>
      </c>
      <c r="AS112" s="162">
        <f t="shared" si="1015"/>
        <v>3.4871312757102646</v>
      </c>
      <c r="AT112" s="162">
        <f t="shared" si="1015"/>
        <v>3.5722692393688122</v>
      </c>
      <c r="AU112" s="162">
        <f t="shared" si="1015"/>
        <v>3.8832736855951842</v>
      </c>
      <c r="AV112" s="162">
        <f t="shared" si="1015"/>
        <v>3.5470151491102753</v>
      </c>
      <c r="AW112" s="162">
        <f t="shared" si="1015"/>
        <v>3.5890793350394627</v>
      </c>
      <c r="AX112" s="162">
        <f t="shared" si="1015"/>
        <v>2.4853334471681796</v>
      </c>
      <c r="AY112" s="162">
        <f t="shared" si="1015"/>
        <v>2.972922245689205</v>
      </c>
      <c r="AZ112" s="162">
        <f t="shared" si="1015"/>
        <v>3.4095544536465958</v>
      </c>
      <c r="BA112" s="162">
        <f t="shared" si="1015"/>
        <v>3.055412163771297</v>
      </c>
      <c r="BB112" s="162">
        <f t="shared" si="1015"/>
        <v>3.212340093509384</v>
      </c>
      <c r="BC112" s="162">
        <f t="shared" si="1015"/>
        <v>3.8007908918579942</v>
      </c>
      <c r="BD112" s="162">
        <f t="shared" si="1015"/>
        <v>4.1601980998013914</v>
      </c>
      <c r="BE112" s="162">
        <f t="shared" si="1015"/>
        <v>4.6177884152993443</v>
      </c>
      <c r="BF112" s="162">
        <f t="shared" si="1015"/>
        <v>4.6745752469137383</v>
      </c>
      <c r="BG112" s="162">
        <f t="shared" si="1015"/>
        <v>3.9918823808487383</v>
      </c>
      <c r="BH112" s="162">
        <f t="shared" si="1015"/>
        <v>4.3431444316499421</v>
      </c>
      <c r="BI112" s="162">
        <f t="shared" si="1015"/>
        <v>3.9231420024776655</v>
      </c>
      <c r="BJ112" s="162">
        <f t="shared" si="1015"/>
        <v>4.0376210161095285</v>
      </c>
      <c r="BK112" s="162">
        <f t="shared" si="1015"/>
        <v>4.155147046784105</v>
      </c>
      <c r="BL112" s="162">
        <f t="shared" si="1015"/>
        <v>4.5036824191424225</v>
      </c>
      <c r="BM112" s="162">
        <f t="shared" si="1015"/>
        <v>5.0570547420805818</v>
      </c>
      <c r="BN112" s="162">
        <f t="shared" si="1015"/>
        <v>3.4716838659785383</v>
      </c>
      <c r="BO112" s="162">
        <f t="shared" si="1015"/>
        <v>3.2462901480272208</v>
      </c>
      <c r="BP112" s="162">
        <f t="shared" si="1015"/>
        <v>3.9942050272665686</v>
      </c>
      <c r="BQ112" s="162">
        <f t="shared" si="1015"/>
        <v>4.8131092101764024</v>
      </c>
      <c r="BR112" s="162">
        <f t="shared" si="1015"/>
        <v>5.4475820841719473</v>
      </c>
      <c r="BS112" s="162">
        <f t="shared" si="1015"/>
        <v>5.9367643177619414</v>
      </c>
      <c r="BT112" s="162">
        <f t="shared" si="1015"/>
        <v>6.1629772950242536</v>
      </c>
      <c r="BU112" s="162">
        <f t="shared" si="1015"/>
        <v>7.1666313743885288</v>
      </c>
      <c r="BV112" s="162">
        <f t="shared" si="1015"/>
        <v>6.6183338303427908</v>
      </c>
      <c r="BW112" s="162">
        <f t="shared" si="1015"/>
        <v>5.4470369657159567</v>
      </c>
      <c r="BX112" s="162">
        <f t="shared" si="1015"/>
        <v>5.1396666869368319</v>
      </c>
      <c r="BY112" s="162">
        <f t="shared" si="1015"/>
        <v>4.6507772644669707</v>
      </c>
      <c r="BZ112" s="162">
        <f t="shared" si="1015"/>
        <v>4.475329186895987</v>
      </c>
      <c r="CA112" s="162">
        <f t="shared" si="1015"/>
        <v>4.4327067238092503</v>
      </c>
      <c r="CB112" s="162">
        <f t="shared" si="1015"/>
        <v>4.3126810104209508</v>
      </c>
      <c r="CC112" s="162">
        <f t="shared" si="1015"/>
        <v>4.6960000281489922</v>
      </c>
      <c r="CD112" s="162">
        <f t="shared" si="1015"/>
        <v>5.5017771669100588</v>
      </c>
      <c r="CE112" s="162">
        <f t="shared" si="1015"/>
        <v>5.9283250443155113</v>
      </c>
      <c r="CF112" s="162">
        <f t="shared" si="1015"/>
        <v>7.3943436434874013</v>
      </c>
      <c r="CG112" s="162">
        <f t="shared" si="1015"/>
        <v>8.3464597635526676</v>
      </c>
      <c r="CH112" s="162">
        <f t="shared" si="1015"/>
        <v>5.7673195409357838</v>
      </c>
      <c r="CI112" s="162">
        <f t="shared" si="1015"/>
        <v>5.8277826956690326</v>
      </c>
      <c r="CJ112" s="162">
        <f t="shared" si="1018"/>
        <v>6.244125991719252</v>
      </c>
      <c r="CK112" s="162">
        <f t="shared" si="1018"/>
        <v>6.6017099632162681</v>
      </c>
      <c r="CL112" s="162">
        <f t="shared" ref="CL112" si="1022">+CL95/CL$108</f>
        <v>6.3423726633846744</v>
      </c>
      <c r="CM112" s="94">
        <f t="shared" ref="CM112:DB112" si="1023">+CL112</f>
        <v>6.3423726633846744</v>
      </c>
      <c r="CN112" s="94">
        <f t="shared" si="1023"/>
        <v>6.3423726633846744</v>
      </c>
      <c r="CO112" s="94">
        <f t="shared" si="1023"/>
        <v>6.3423726633846744</v>
      </c>
      <c r="CP112" s="94">
        <f t="shared" si="1023"/>
        <v>6.3423726633846744</v>
      </c>
      <c r="CQ112" s="94">
        <f t="shared" si="1023"/>
        <v>6.3423726633846744</v>
      </c>
      <c r="CR112" s="94">
        <f t="shared" si="1023"/>
        <v>6.3423726633846744</v>
      </c>
      <c r="CS112" s="94">
        <f t="shared" si="1023"/>
        <v>6.3423726633846744</v>
      </c>
      <c r="CT112" s="94">
        <f t="shared" si="1023"/>
        <v>6.3423726633846744</v>
      </c>
      <c r="CU112" s="94">
        <f t="shared" si="1023"/>
        <v>6.3423726633846744</v>
      </c>
      <c r="CV112" s="94">
        <f t="shared" si="1023"/>
        <v>6.3423726633846744</v>
      </c>
      <c r="CW112" s="94">
        <f t="shared" si="1023"/>
        <v>6.3423726633846744</v>
      </c>
      <c r="CX112" s="94">
        <f t="shared" si="1023"/>
        <v>6.3423726633846744</v>
      </c>
      <c r="CY112" s="94">
        <f t="shared" si="1023"/>
        <v>6.3423726633846744</v>
      </c>
      <c r="CZ112" s="94">
        <f t="shared" si="1023"/>
        <v>6.3423726633846744</v>
      </c>
      <c r="DA112" s="94">
        <f t="shared" si="1023"/>
        <v>6.3423726633846744</v>
      </c>
      <c r="DB112" s="94">
        <f t="shared" si="1023"/>
        <v>6.3423726633846744</v>
      </c>
      <c r="DC112" s="94"/>
      <c r="DE112" s="22"/>
      <c r="DF112" s="162">
        <v>6.0125711971123339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177" customFormat="1" x14ac:dyDescent="0.2">
      <c r="A114" s="177" t="s">
        <v>510</v>
      </c>
      <c r="E114" s="177">
        <f t="shared" ref="E114:Y114" si="1024">+E26</f>
        <v>1359.9536000000001</v>
      </c>
      <c r="F114" s="177">
        <f t="shared" si="1024"/>
        <v>1477.0676000000001</v>
      </c>
      <c r="G114" s="177">
        <f t="shared" si="1024"/>
        <v>1954.4372000000001</v>
      </c>
      <c r="H114" s="177">
        <f t="shared" si="1024"/>
        <v>2526.7370000000001</v>
      </c>
      <c r="I114" s="177">
        <f t="shared" si="1024"/>
        <v>3202.9267</v>
      </c>
      <c r="J114" s="177">
        <f t="shared" si="1024"/>
        <v>4325.8977999999997</v>
      </c>
      <c r="K114" s="177">
        <f t="shared" si="1024"/>
        <v>4757.4675000000007</v>
      </c>
      <c r="L114" s="177">
        <f t="shared" si="1024"/>
        <v>5191.3779999999997</v>
      </c>
      <c r="M114" s="177">
        <f t="shared" si="1024"/>
        <v>5185.7362999999996</v>
      </c>
      <c r="N114" s="177">
        <f t="shared" si="1024"/>
        <v>5530.9600999999993</v>
      </c>
      <c r="O114" s="177">
        <f t="shared" si="1024"/>
        <v>5266.0448999999999</v>
      </c>
      <c r="P114" s="177">
        <f t="shared" si="1024"/>
        <v>5183.0865999999996</v>
      </c>
      <c r="Q114" s="177">
        <f t="shared" si="1024"/>
        <v>5719.8051000000005</v>
      </c>
      <c r="R114" s="177">
        <f t="shared" si="1024"/>
        <v>6032.8</v>
      </c>
      <c r="S114" s="177">
        <f t="shared" si="1024"/>
        <v>6404.38</v>
      </c>
      <c r="T114" s="177">
        <f t="shared" si="1024"/>
        <v>7124.07</v>
      </c>
      <c r="U114" s="177">
        <f t="shared" si="1024"/>
        <v>7658.08</v>
      </c>
      <c r="V114" s="177">
        <f t="shared" si="1024"/>
        <v>7555.78</v>
      </c>
      <c r="W114" s="177">
        <f t="shared" si="1024"/>
        <v>7934.45</v>
      </c>
      <c r="X114" s="177">
        <f t="shared" si="1024"/>
        <v>9498.77</v>
      </c>
      <c r="Y114" s="177">
        <f t="shared" si="1024"/>
        <v>12481.21</v>
      </c>
      <c r="Z114" s="177">
        <f>+Z26</f>
        <v>15412.79</v>
      </c>
      <c r="AA114" s="177">
        <f>+AA26</f>
        <v>14244.5</v>
      </c>
      <c r="AB114" s="178">
        <f t="shared" ref="AA114:AE114" si="1025">+AB26</f>
        <v>17093.400000000001</v>
      </c>
      <c r="AC114" s="178">
        <f t="shared" si="1025"/>
        <v>19657.41</v>
      </c>
      <c r="AD114" s="178">
        <f t="shared" si="1025"/>
        <v>22606.021499999999</v>
      </c>
      <c r="AE114" s="178">
        <f t="shared" si="1025"/>
        <v>25996.924725000001</v>
      </c>
      <c r="AL114" s="177">
        <f t="shared" ref="AL114:BQ114" si="1026">+SUM(AI24:AL24)</f>
        <v>5530.96</v>
      </c>
      <c r="AM114" s="177">
        <f t="shared" si="1026"/>
        <v>5517.44</v>
      </c>
      <c r="AN114" s="177">
        <f t="shared" si="1026"/>
        <v>5433.48</v>
      </c>
      <c r="AO114" s="177">
        <f t="shared" si="1026"/>
        <v>5400.34</v>
      </c>
      <c r="AP114" s="177">
        <f t="shared" si="1026"/>
        <v>5266.04</v>
      </c>
      <c r="AQ114" s="177">
        <f t="shared" si="1026"/>
        <v>5420.08</v>
      </c>
      <c r="AR114" s="177">
        <f t="shared" si="1026"/>
        <v>5324.2</v>
      </c>
      <c r="AS114" s="177">
        <f t="shared" si="1026"/>
        <v>5155.9299999999994</v>
      </c>
      <c r="AT114" s="177">
        <f t="shared" si="1026"/>
        <v>5183.09</v>
      </c>
      <c r="AU114" s="177">
        <f t="shared" si="1026"/>
        <v>4990.0200000000004</v>
      </c>
      <c r="AV114" s="177">
        <f t="shared" si="1026"/>
        <v>5052.05</v>
      </c>
      <c r="AW114" s="177">
        <f t="shared" si="1026"/>
        <v>5373.27</v>
      </c>
      <c r="AX114" s="177">
        <f t="shared" si="1026"/>
        <v>5746.66</v>
      </c>
      <c r="AY114" s="177">
        <f t="shared" si="1026"/>
        <v>6037.57</v>
      </c>
      <c r="AZ114" s="177">
        <f t="shared" si="1026"/>
        <v>5972.3499999999995</v>
      </c>
      <c r="BA114" s="177">
        <f t="shared" si="1026"/>
        <v>5900.12</v>
      </c>
      <c r="BB114" s="177">
        <f t="shared" si="1026"/>
        <v>6095.02</v>
      </c>
      <c r="BC114" s="177">
        <f t="shared" si="1026"/>
        <v>6207.95</v>
      </c>
      <c r="BD114" s="177">
        <f t="shared" si="1026"/>
        <v>6263.2</v>
      </c>
      <c r="BE114" s="177">
        <f t="shared" si="1026"/>
        <v>6437.75</v>
      </c>
      <c r="BF114" s="177">
        <f t="shared" si="1026"/>
        <v>6427.87</v>
      </c>
      <c r="BG114" s="177">
        <f t="shared" si="1026"/>
        <v>6607.85</v>
      </c>
      <c r="BH114" s="177">
        <f t="shared" si="1026"/>
        <v>6992.5</v>
      </c>
      <c r="BI114" s="177">
        <f t="shared" si="1026"/>
        <v>7109.61</v>
      </c>
      <c r="BJ114" s="177">
        <f t="shared" si="1026"/>
        <v>7124.07</v>
      </c>
      <c r="BK114" s="177">
        <f t="shared" si="1026"/>
        <v>7629.9800000000005</v>
      </c>
      <c r="BL114" s="177">
        <f t="shared" si="1026"/>
        <v>7630.5599999999995</v>
      </c>
      <c r="BM114" s="177">
        <f t="shared" si="1026"/>
        <v>7631.2900000000009</v>
      </c>
      <c r="BN114" s="177">
        <f t="shared" si="1026"/>
        <v>7658.08</v>
      </c>
      <c r="BO114" s="177">
        <f t="shared" si="1026"/>
        <v>6301.02</v>
      </c>
      <c r="BP114" s="177">
        <f t="shared" si="1026"/>
        <v>6491.62</v>
      </c>
      <c r="BQ114" s="177">
        <f t="shared" si="1026"/>
        <v>6993.75</v>
      </c>
      <c r="BR114" s="177">
        <f t="shared" ref="BR114:CW114" si="1027">+SUM(BO24:BR24)</f>
        <v>7555.7800000000007</v>
      </c>
      <c r="BS114" s="177">
        <f t="shared" si="1027"/>
        <v>8044.04</v>
      </c>
      <c r="BT114" s="177">
        <f t="shared" si="1027"/>
        <v>8120.58</v>
      </c>
      <c r="BU114" s="177">
        <f t="shared" si="1027"/>
        <v>7919.5300000000007</v>
      </c>
      <c r="BV114" s="177">
        <f t="shared" si="1027"/>
        <v>7934.45</v>
      </c>
      <c r="BW114" s="177">
        <f t="shared" si="1027"/>
        <v>8917.25</v>
      </c>
      <c r="BX114" s="177">
        <f t="shared" si="1027"/>
        <v>8996.5300000000007</v>
      </c>
      <c r="BY114" s="177">
        <f t="shared" si="1027"/>
        <v>9208.5499999999993</v>
      </c>
      <c r="BZ114" s="177">
        <f t="shared" si="1027"/>
        <v>9498.77</v>
      </c>
      <c r="CA114" s="177">
        <f t="shared" si="1027"/>
        <v>10090.630000000001</v>
      </c>
      <c r="CB114" s="177">
        <f t="shared" si="1027"/>
        <v>10615.02</v>
      </c>
      <c r="CC114" s="177">
        <f t="shared" si="1027"/>
        <v>11235.13</v>
      </c>
      <c r="CD114" s="177">
        <f t="shared" si="1027"/>
        <v>12481.21</v>
      </c>
      <c r="CE114" s="177">
        <f t="shared" si="1027"/>
        <v>14042.369999999999</v>
      </c>
      <c r="CF114" s="177">
        <f t="shared" si="1027"/>
        <v>14368.73</v>
      </c>
      <c r="CG114" s="177">
        <f t="shared" si="1027"/>
        <v>14848.12</v>
      </c>
      <c r="CH114" s="177">
        <f t="shared" si="1027"/>
        <v>15412.8</v>
      </c>
      <c r="CI114" s="177">
        <f t="shared" si="1027"/>
        <v>14430.36</v>
      </c>
      <c r="CJ114" s="177">
        <f t="shared" si="1027"/>
        <v>14158.57</v>
      </c>
      <c r="CK114" s="177">
        <f t="shared" si="1027"/>
        <v>14124.23</v>
      </c>
      <c r="CL114" s="177">
        <f t="shared" si="1027"/>
        <v>14244.5</v>
      </c>
      <c r="CM114" s="178">
        <f t="shared" si="1027"/>
        <v>15032.216</v>
      </c>
      <c r="CN114" s="178">
        <f t="shared" si="1027"/>
        <v>15501.68</v>
      </c>
      <c r="CO114" s="178">
        <f t="shared" si="1027"/>
        <v>16115.833999999999</v>
      </c>
      <c r="CP114" s="178">
        <f t="shared" si="1027"/>
        <v>17093.400000000001</v>
      </c>
      <c r="CQ114" s="178">
        <f t="shared" si="1027"/>
        <v>17802.344400000002</v>
      </c>
      <c r="CR114" s="178">
        <f t="shared" si="1027"/>
        <v>18224.862000000001</v>
      </c>
      <c r="CS114" s="178">
        <f t="shared" si="1027"/>
        <v>18777.600599999998</v>
      </c>
      <c r="CT114" s="178">
        <f t="shared" si="1027"/>
        <v>19657.41</v>
      </c>
      <c r="CU114" s="178">
        <f t="shared" si="1027"/>
        <v>20472.696060000002</v>
      </c>
      <c r="CV114" s="178">
        <f t="shared" si="1027"/>
        <v>20958.5913</v>
      </c>
      <c r="CW114" s="178">
        <f t="shared" si="1027"/>
        <v>21594.240689999999</v>
      </c>
      <c r="CX114" s="178">
        <f t="shared" ref="CX114:DB114" si="1028">+SUM(CU24:CX24)</f>
        <v>22606.021499999999</v>
      </c>
      <c r="CY114" s="178">
        <f t="shared" si="1028"/>
        <v>23543.600468999997</v>
      </c>
      <c r="CZ114" s="178">
        <f t="shared" si="1028"/>
        <v>24102.379994999999</v>
      </c>
      <c r="DA114" s="178">
        <f t="shared" si="1028"/>
        <v>24833.3767935</v>
      </c>
      <c r="DB114" s="178">
        <f t="shared" si="1028"/>
        <v>25996.924725000001</v>
      </c>
      <c r="DE114" s="179"/>
      <c r="DF114" s="177">
        <v>14624.8238</v>
      </c>
    </row>
    <row r="115" spans="1:110" s="163" customFormat="1" x14ac:dyDescent="0.2">
      <c r="A115" s="163" t="s">
        <v>511</v>
      </c>
      <c r="E115" s="163" t="e">
        <f t="shared" ref="E115:AE115" ca="1" si="1029">+E114/E81</f>
        <v>#DIV/0!</v>
      </c>
      <c r="F115" s="163" t="e">
        <f t="shared" ca="1" si="1029"/>
        <v>#DIV/0!</v>
      </c>
      <c r="G115" s="163" t="e">
        <f t="shared" ca="1" si="1029"/>
        <v>#DIV/0!</v>
      </c>
      <c r="H115" s="163" t="e">
        <f t="shared" ca="1" si="1029"/>
        <v>#DIV/0!</v>
      </c>
      <c r="I115" s="163" t="e">
        <f t="shared" ca="1" si="1029"/>
        <v>#DIV/0!</v>
      </c>
      <c r="J115" s="163" t="e">
        <f t="shared" ca="1" si="1029"/>
        <v>#DIV/0!</v>
      </c>
      <c r="K115" s="163" t="e">
        <f t="shared" ca="1" si="1029"/>
        <v>#DIV/0!</v>
      </c>
      <c r="L115" s="163" t="e">
        <f t="shared" ca="1" si="1029"/>
        <v>#DIV/0!</v>
      </c>
      <c r="M115" s="163" t="e">
        <f t="shared" ca="1" si="1029"/>
        <v>#DIV/0!</v>
      </c>
      <c r="N115" s="163" t="e">
        <f t="shared" ca="1" si="1029"/>
        <v>#DIV/0!</v>
      </c>
      <c r="O115" s="163" t="e">
        <f t="shared" ca="1" si="1029"/>
        <v>#DIV/0!</v>
      </c>
      <c r="P115" s="163" t="e">
        <f t="shared" ca="1" si="1029"/>
        <v>#DIV/0!</v>
      </c>
      <c r="Q115" s="163" t="e">
        <f t="shared" ca="1" si="1029"/>
        <v>#DIV/0!</v>
      </c>
      <c r="R115" s="163" t="e">
        <f t="shared" ca="1" si="1029"/>
        <v>#DIV/0!</v>
      </c>
      <c r="S115" s="163" t="e">
        <f t="shared" ca="1" si="1029"/>
        <v>#DIV/0!</v>
      </c>
      <c r="T115" s="163" t="e">
        <f t="shared" ca="1" si="1029"/>
        <v>#DIV/0!</v>
      </c>
      <c r="U115" s="163" t="e">
        <f t="shared" ca="1" si="1029"/>
        <v>#DIV/0!</v>
      </c>
      <c r="V115" s="163" t="e">
        <f t="shared" ca="1" si="1029"/>
        <v>#DIV/0!</v>
      </c>
      <c r="W115" s="163" t="e">
        <f t="shared" ca="1" si="1029"/>
        <v>#DIV/0!</v>
      </c>
      <c r="X115" s="163" t="e">
        <f t="shared" ca="1" si="1029"/>
        <v>#DIV/0!</v>
      </c>
      <c r="Y115" s="163" t="e">
        <f t="shared" ca="1" si="1029"/>
        <v>#DIV/0!</v>
      </c>
      <c r="Z115" s="163" t="e">
        <f t="shared" ref="Z115:AA115" ca="1" si="1030">+Z114/Z81</f>
        <v>#DIV/0!</v>
      </c>
      <c r="AA115" s="163" t="e">
        <f t="shared" ca="1" si="1030"/>
        <v>#DIV/0!</v>
      </c>
      <c r="AB115" s="94" t="e">
        <f t="shared" ca="1" si="1029"/>
        <v>#DIV/0!</v>
      </c>
      <c r="AC115" s="94" t="e">
        <f t="shared" ca="1" si="1029"/>
        <v>#DIV/0!</v>
      </c>
      <c r="AD115" s="94" t="e">
        <f t="shared" ca="1" si="1029"/>
        <v>#DIV/0!</v>
      </c>
      <c r="AE115" s="94" t="e">
        <f t="shared" ca="1" si="1029"/>
        <v>#DIV/0!</v>
      </c>
      <c r="AL115" s="163">
        <f t="shared" ref="AL115:BQ115" si="1031">+AL114/AL81</f>
        <v>167.1995163240629</v>
      </c>
      <c r="AM115" s="163">
        <f t="shared" si="1031"/>
        <v>166.79081015719467</v>
      </c>
      <c r="AN115" s="163">
        <f t="shared" si="1031"/>
        <v>164.2527206771463</v>
      </c>
      <c r="AO115" s="163">
        <f t="shared" si="1031"/>
        <v>163.25090689238212</v>
      </c>
      <c r="AP115" s="163">
        <f t="shared" si="1031"/>
        <v>159.19105199516324</v>
      </c>
      <c r="AQ115" s="163">
        <f t="shared" si="1031"/>
        <v>163.84764207980655</v>
      </c>
      <c r="AR115" s="163">
        <f t="shared" si="1031"/>
        <v>160.94921402660219</v>
      </c>
      <c r="AS115" s="163">
        <f t="shared" si="1031"/>
        <v>155.86245465538087</v>
      </c>
      <c r="AT115" s="163">
        <f t="shared" si="1031"/>
        <v>156.68349455864572</v>
      </c>
      <c r="AU115" s="163">
        <f t="shared" si="1031"/>
        <v>150.84703748488513</v>
      </c>
      <c r="AV115" s="163">
        <f t="shared" si="1031"/>
        <v>152.7221886336155</v>
      </c>
      <c r="AW115" s="163">
        <f t="shared" si="1031"/>
        <v>162.43258766626363</v>
      </c>
      <c r="AX115" s="163">
        <f t="shared" si="1031"/>
        <v>173.72007255139059</v>
      </c>
      <c r="AY115" s="163">
        <f t="shared" si="1031"/>
        <v>182.51420798065297</v>
      </c>
      <c r="AZ115" s="163">
        <f t="shared" si="1031"/>
        <v>180.54262394195888</v>
      </c>
      <c r="BA115" s="163">
        <f t="shared" si="1031"/>
        <v>178.35912938331319</v>
      </c>
      <c r="BB115" s="163">
        <f t="shared" si="1031"/>
        <v>184.25090689238212</v>
      </c>
      <c r="BC115" s="163">
        <f t="shared" si="1031"/>
        <v>187.66475211608224</v>
      </c>
      <c r="BD115" s="163">
        <f t="shared" si="1031"/>
        <v>189.33494558645708</v>
      </c>
      <c r="BE115" s="163">
        <f t="shared" si="1031"/>
        <v>194.61154776299881</v>
      </c>
      <c r="BF115" s="163">
        <f t="shared" si="1031"/>
        <v>194.31287787182589</v>
      </c>
      <c r="BG115" s="163">
        <f t="shared" si="1031"/>
        <v>199.75362756952845</v>
      </c>
      <c r="BH115" s="163">
        <f t="shared" si="1031"/>
        <v>211.38149939540509</v>
      </c>
      <c r="BI115" s="163">
        <f t="shared" si="1031"/>
        <v>214.92170495767834</v>
      </c>
      <c r="BJ115" s="163">
        <f t="shared" si="1031"/>
        <v>215.35882708585248</v>
      </c>
      <c r="BK115" s="163">
        <f t="shared" si="1031"/>
        <v>230.65235792019351</v>
      </c>
      <c r="BL115" s="163">
        <f t="shared" si="1031"/>
        <v>230.66989117291413</v>
      </c>
      <c r="BM115" s="163">
        <f t="shared" si="1031"/>
        <v>230.69195888754538</v>
      </c>
      <c r="BN115" s="163">
        <f t="shared" si="1031"/>
        <v>231.50181378476421</v>
      </c>
      <c r="BO115" s="163">
        <f t="shared" si="1031"/>
        <v>190.47823458282951</v>
      </c>
      <c r="BP115" s="163">
        <f t="shared" si="1031"/>
        <v>196.24002418379686</v>
      </c>
      <c r="BQ115" s="163">
        <f t="shared" si="1031"/>
        <v>211.41928657799275</v>
      </c>
      <c r="BR115" s="163">
        <f t="shared" ref="BR115:CW115" si="1032">+BR114/BR81</f>
        <v>228.40931076178964</v>
      </c>
      <c r="BS115" s="163">
        <f t="shared" si="1032"/>
        <v>243.16928657799275</v>
      </c>
      <c r="BT115" s="163">
        <f t="shared" si="1032"/>
        <v>245.48307134220073</v>
      </c>
      <c r="BU115" s="163">
        <f t="shared" si="1032"/>
        <v>239.40538089480052</v>
      </c>
      <c r="BV115" s="163">
        <f t="shared" si="1032"/>
        <v>239.85640870616689</v>
      </c>
      <c r="BW115" s="163">
        <f t="shared" si="1032"/>
        <v>269.56620314389363</v>
      </c>
      <c r="BX115" s="163">
        <f t="shared" si="1032"/>
        <v>271.96281741233378</v>
      </c>
      <c r="BY115" s="163">
        <f t="shared" si="1032"/>
        <v>278.3721281741233</v>
      </c>
      <c r="BZ115" s="163">
        <f t="shared" si="1032"/>
        <v>287.14540507859738</v>
      </c>
      <c r="CA115" s="163">
        <f t="shared" si="1032"/>
        <v>305.03718258766634</v>
      </c>
      <c r="CB115" s="163">
        <f t="shared" si="1032"/>
        <v>320.88935912938337</v>
      </c>
      <c r="CC115" s="163">
        <f t="shared" si="1032"/>
        <v>339.63512696493348</v>
      </c>
      <c r="CD115" s="163">
        <f t="shared" si="1032"/>
        <v>377.30380894800481</v>
      </c>
      <c r="CE115" s="163">
        <f t="shared" si="1032"/>
        <v>424.49727932285367</v>
      </c>
      <c r="CF115" s="163">
        <f t="shared" si="1032"/>
        <v>434.36305925030229</v>
      </c>
      <c r="CG115" s="163">
        <f t="shared" si="1032"/>
        <v>448.85489721886341</v>
      </c>
      <c r="CH115" s="163">
        <f t="shared" si="1032"/>
        <v>465.92503022974608</v>
      </c>
      <c r="CI115" s="163">
        <f t="shared" si="1032"/>
        <v>436.22611850060463</v>
      </c>
      <c r="CJ115" s="163">
        <f t="shared" si="1032"/>
        <v>428.00997581620317</v>
      </c>
      <c r="CK115" s="163">
        <f t="shared" ref="CK115:CL115" si="1033">+CK114/CK81</f>
        <v>426.9718863361548</v>
      </c>
      <c r="CL115" s="163">
        <f t="shared" si="1033"/>
        <v>430.60761789600969</v>
      </c>
      <c r="CM115" s="50">
        <f t="shared" si="1032"/>
        <v>454.4200725513906</v>
      </c>
      <c r="CN115" s="50">
        <f t="shared" si="1032"/>
        <v>468.61185006045952</v>
      </c>
      <c r="CO115" s="50">
        <f t="shared" si="1032"/>
        <v>487.17756952841597</v>
      </c>
      <c r="CP115" s="50">
        <f t="shared" si="1032"/>
        <v>516.72914147521169</v>
      </c>
      <c r="CQ115" s="50">
        <f t="shared" si="1032"/>
        <v>538.16035066505447</v>
      </c>
      <c r="CR115" s="50">
        <f t="shared" si="1032"/>
        <v>550.93295042321654</v>
      </c>
      <c r="CS115" s="50">
        <f t="shared" si="1032"/>
        <v>567.64209794437727</v>
      </c>
      <c r="CT115" s="50">
        <f t="shared" si="1032"/>
        <v>594.23851269649333</v>
      </c>
      <c r="CU115" s="50">
        <f t="shared" si="1032"/>
        <v>618.8844032648127</v>
      </c>
      <c r="CV115" s="50">
        <f t="shared" si="1032"/>
        <v>633.57289298669889</v>
      </c>
      <c r="CW115" s="50">
        <f t="shared" si="1032"/>
        <v>652.78841263603385</v>
      </c>
      <c r="CX115" s="50">
        <f t="shared" ref="CX115:DB115" si="1034">+CX114/CX81</f>
        <v>683.37428960096736</v>
      </c>
      <c r="CY115" s="50">
        <f t="shared" si="1034"/>
        <v>711.71706375453437</v>
      </c>
      <c r="CZ115" s="50">
        <f t="shared" si="1034"/>
        <v>728.60882693470376</v>
      </c>
      <c r="DA115" s="50">
        <f t="shared" si="1034"/>
        <v>750.70667453143892</v>
      </c>
      <c r="DB115" s="50">
        <f t="shared" si="1034"/>
        <v>785.8804330411125</v>
      </c>
      <c r="DE115" s="164"/>
      <c r="DF115" s="163">
        <v>442.10470979443778</v>
      </c>
    </row>
    <row r="116" spans="1:110" s="163" customFormat="1" x14ac:dyDescent="0.2"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506</v>
      </c>
      <c r="AB117" s="94"/>
      <c r="AC117" s="94"/>
      <c r="AD117" s="94"/>
      <c r="AE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E117" s="164"/>
    </row>
    <row r="118" spans="1:110" s="163" customFormat="1" x14ac:dyDescent="0.2">
      <c r="A118" s="163" t="s">
        <v>507</v>
      </c>
      <c r="E118" s="163" t="e">
        <f t="shared" ref="E118:AE120" ca="1" si="1035">+E93/E$115</f>
        <v>#DIV/0!</v>
      </c>
      <c r="F118" s="163" t="e">
        <f t="shared" ca="1" si="1035"/>
        <v>#DIV/0!</v>
      </c>
      <c r="G118" s="163" t="e">
        <f t="shared" ca="1" si="1035"/>
        <v>#DIV/0!</v>
      </c>
      <c r="H118" s="163" t="e">
        <f t="shared" ca="1" si="1035"/>
        <v>#DIV/0!</v>
      </c>
      <c r="I118" s="163" t="e">
        <f t="shared" ca="1" si="1035"/>
        <v>#DIV/0!</v>
      </c>
      <c r="J118" s="163" t="e">
        <f t="shared" ca="1" si="1035"/>
        <v>#DIV/0!</v>
      </c>
      <c r="K118" s="163" t="e">
        <f t="shared" ca="1" si="1035"/>
        <v>#DIV/0!</v>
      </c>
      <c r="L118" s="163" t="e">
        <f t="shared" ca="1" si="1035"/>
        <v>#DIV/0!</v>
      </c>
      <c r="M118" s="163" t="e">
        <f t="shared" ca="1" si="1035"/>
        <v>#DIV/0!</v>
      </c>
      <c r="N118" s="163" t="e">
        <f t="shared" ca="1" si="1035"/>
        <v>#DIV/0!</v>
      </c>
      <c r="O118" s="163" t="e">
        <f t="shared" ca="1" si="1035"/>
        <v>#DIV/0!</v>
      </c>
      <c r="P118" s="163" t="e">
        <f t="shared" ca="1" si="1035"/>
        <v>#DIV/0!</v>
      </c>
      <c r="Q118" s="163" t="e">
        <f t="shared" ca="1" si="1035"/>
        <v>#DIV/0!</v>
      </c>
      <c r="R118" s="163" t="e">
        <f t="shared" ca="1" si="1035"/>
        <v>#DIV/0!</v>
      </c>
      <c r="S118" s="163" t="e">
        <f t="shared" ca="1" si="1035"/>
        <v>#DIV/0!</v>
      </c>
      <c r="T118" s="163" t="e">
        <f t="shared" ca="1" si="1035"/>
        <v>#DIV/0!</v>
      </c>
      <c r="U118" s="163" t="e">
        <f t="shared" ca="1" si="1035"/>
        <v>#DIV/0!</v>
      </c>
      <c r="V118" s="163" t="e">
        <f t="shared" ca="1" si="1035"/>
        <v>#DIV/0!</v>
      </c>
      <c r="W118" s="163" t="e">
        <f t="shared" ca="1" si="1035"/>
        <v>#DIV/0!</v>
      </c>
      <c r="X118" s="163" t="e">
        <f t="shared" ca="1" si="1035"/>
        <v>#DIV/0!</v>
      </c>
      <c r="Y118" s="163" t="e">
        <f t="shared" ca="1" si="1035"/>
        <v>#DIV/0!</v>
      </c>
      <c r="Z118" s="163" t="e">
        <f ca="1">+Z93/Z$115</f>
        <v>#DIV/0!</v>
      </c>
      <c r="AA118" s="163" t="e">
        <f ca="1">+AA93/AA$115</f>
        <v>#DIV/0!</v>
      </c>
      <c r="AB118" s="50" t="e">
        <f t="shared" ref="AA118:AE118" ca="1" si="1036">+AB93/AB$115</f>
        <v>#DIV/0!</v>
      </c>
      <c r="AC118" s="50" t="e">
        <f t="shared" ca="1" si="1036"/>
        <v>#DIV/0!</v>
      </c>
      <c r="AD118" s="50" t="e">
        <f t="shared" ca="1" si="1036"/>
        <v>#DIV/0!</v>
      </c>
      <c r="AE118" s="50" t="e">
        <f t="shared" ca="1" si="1036"/>
        <v>#DIV/0!</v>
      </c>
      <c r="AL118" s="163">
        <f t="shared" ref="AL118:BQ118" si="1037">+AL93/AL115</f>
        <v>0.45125728625772016</v>
      </c>
      <c r="AM118" s="163">
        <f t="shared" si="1037"/>
        <v>0.48533849031434873</v>
      </c>
      <c r="AN118" s="163">
        <f t="shared" si="1037"/>
        <v>0.4502208529340313</v>
      </c>
      <c r="AO118" s="163">
        <f t="shared" si="1037"/>
        <v>0.70933756022768923</v>
      </c>
      <c r="AP118" s="163">
        <f t="shared" si="1037"/>
        <v>1.0110492894091194</v>
      </c>
      <c r="AQ118" s="163">
        <f t="shared" si="1037"/>
        <v>1.3317249929890331</v>
      </c>
      <c r="AR118" s="163">
        <f t="shared" si="1037"/>
        <v>1.5023372525449832</v>
      </c>
      <c r="AS118" s="163">
        <f t="shared" si="1037"/>
        <v>1.5532926164629854</v>
      </c>
      <c r="AT118" s="163">
        <f t="shared" si="1037"/>
        <v>1.7828936020790687</v>
      </c>
      <c r="AU118" s="163">
        <f t="shared" si="1037"/>
        <v>2.0855563705155489</v>
      </c>
      <c r="AV118" s="163">
        <f t="shared" si="1037"/>
        <v>1.7567846715689668</v>
      </c>
      <c r="AW118" s="163">
        <f t="shared" si="1037"/>
        <v>1.9928267144587928</v>
      </c>
      <c r="AX118" s="163">
        <f t="shared" si="1037"/>
        <v>1.5942314318230064</v>
      </c>
      <c r="AY118" s="163">
        <f t="shared" si="1037"/>
        <v>1.7604108937867387</v>
      </c>
      <c r="AZ118" s="163">
        <f t="shared" si="1037"/>
        <v>2.1019967014659224</v>
      </c>
      <c r="BA118" s="163">
        <f t="shared" si="1037"/>
        <v>1.840387992108635</v>
      </c>
      <c r="BB118" s="163">
        <f t="shared" si="1037"/>
        <v>2.2368953670373517</v>
      </c>
      <c r="BC118" s="163">
        <f t="shared" si="1037"/>
        <v>2.4397229359128212</v>
      </c>
      <c r="BD118" s="163">
        <f t="shared" si="1037"/>
        <v>2.6656463149827561</v>
      </c>
      <c r="BE118" s="163">
        <f t="shared" si="1037"/>
        <v>3.369275911615083</v>
      </c>
      <c r="BF118" s="163">
        <f t="shared" si="1037"/>
        <v>3.1938181699380976</v>
      </c>
      <c r="BG118" s="163">
        <f t="shared" si="1037"/>
        <v>2.6114669673191728</v>
      </c>
      <c r="BH118" s="163">
        <f t="shared" si="1037"/>
        <v>2.5032938148015731</v>
      </c>
      <c r="BI118" s="163">
        <f t="shared" si="1037"/>
        <v>2.570470954102968</v>
      </c>
      <c r="BJ118" s="163">
        <f t="shared" si="1037"/>
        <v>2.92743979214129</v>
      </c>
      <c r="BK118" s="163">
        <f t="shared" si="1037"/>
        <v>2.7901297251106811</v>
      </c>
      <c r="BL118" s="163">
        <f t="shared" si="1037"/>
        <v>2.9472853892768032</v>
      </c>
      <c r="BM118" s="163">
        <f t="shared" si="1037"/>
        <v>2.8579236275911404</v>
      </c>
      <c r="BN118" s="163">
        <f t="shared" si="1037"/>
        <v>2.0684503165284251</v>
      </c>
      <c r="BO118" s="163">
        <f t="shared" si="1037"/>
        <v>2.8672567298627838</v>
      </c>
      <c r="BP118" s="163">
        <f t="shared" si="1037"/>
        <v>3.4692209340657643</v>
      </c>
      <c r="BQ118" s="163">
        <f t="shared" si="1037"/>
        <v>3.906928328865058</v>
      </c>
      <c r="BR118" s="163">
        <f t="shared" ref="BR118:DB118" si="1038">+BR93/BR115</f>
        <v>4.3862047333299801</v>
      </c>
      <c r="BS118" s="163">
        <f t="shared" si="1038"/>
        <v>4.2042727286288981</v>
      </c>
      <c r="BT118" s="163">
        <f t="shared" si="1038"/>
        <v>4.9661265574626441</v>
      </c>
      <c r="BU118" s="163">
        <f t="shared" si="1038"/>
        <v>5.0932439172526642</v>
      </c>
      <c r="BV118" s="163">
        <f t="shared" si="1038"/>
        <v>5.1885209434806443</v>
      </c>
      <c r="BW118" s="163">
        <f t="shared" si="1038"/>
        <v>3.608946480136813</v>
      </c>
      <c r="BX118" s="163">
        <f t="shared" si="1038"/>
        <v>3.3328085384031394</v>
      </c>
      <c r="BY118" s="163">
        <f t="shared" si="1038"/>
        <v>2.88606479847533</v>
      </c>
      <c r="BZ118" s="163">
        <f t="shared" si="1038"/>
        <v>2.8496015799940411</v>
      </c>
      <c r="CA118" s="163">
        <f t="shared" si="1038"/>
        <v>2.4908438818983543</v>
      </c>
      <c r="CB118" s="163">
        <f t="shared" si="1038"/>
        <v>2.6894004910023717</v>
      </c>
      <c r="CC118" s="163">
        <f t="shared" si="1038"/>
        <v>2.880885757441169</v>
      </c>
      <c r="CD118" s="163">
        <f t="shared" si="1038"/>
        <v>2.9248313264499197</v>
      </c>
      <c r="CE118" s="163">
        <f t="shared" si="1038"/>
        <v>3.4673956034487059</v>
      </c>
      <c r="CF118" s="163">
        <f t="shared" si="1038"/>
        <v>4.2493254449071003</v>
      </c>
      <c r="CG118" s="163">
        <f t="shared" si="1038"/>
        <v>3.9926043162366676</v>
      </c>
      <c r="CH118" s="163">
        <f t="shared" si="1038"/>
        <v>3.1303319319007579</v>
      </c>
      <c r="CI118" s="163">
        <f t="shared" si="1038"/>
        <v>3.0128869965822056</v>
      </c>
      <c r="CJ118" s="163">
        <f t="shared" si="1038"/>
        <v>3.158688059599239</v>
      </c>
      <c r="CK118" s="163">
        <f t="shared" ref="CK118:CL118" si="1039">+CK93/CK115</f>
        <v>3.1866266692060377</v>
      </c>
      <c r="CL118" s="163">
        <f t="shared" si="1039"/>
        <v>2.9499013654392923</v>
      </c>
      <c r="CM118" s="50">
        <f t="shared" si="1038"/>
        <v>3.0566431456280294</v>
      </c>
      <c r="CN118" s="50">
        <f t="shared" si="1038"/>
        <v>2.9640735713806503</v>
      </c>
      <c r="CO118" s="50">
        <f t="shared" si="1038"/>
        <v>2.8511164858114073</v>
      </c>
      <c r="CP118" s="50">
        <f t="shared" si="1038"/>
        <v>2.6880620590403308</v>
      </c>
      <c r="CQ118" s="50">
        <f t="shared" si="1038"/>
        <v>2.5810151161888539</v>
      </c>
      <c r="CR118" s="50">
        <f t="shared" si="1038"/>
        <v>2.5211779381374737</v>
      </c>
      <c r="CS118" s="50">
        <f t="shared" si="1038"/>
        <v>2.4469643901148905</v>
      </c>
      <c r="CT118" s="50">
        <f t="shared" si="1038"/>
        <v>2.3374452687307228</v>
      </c>
      <c r="CU118" s="50">
        <f t="shared" si="1038"/>
        <v>2.2443609705990033</v>
      </c>
      <c r="CV118" s="50">
        <f t="shared" si="1038"/>
        <v>2.1923286418586732</v>
      </c>
      <c r="CW118" s="50">
        <f t="shared" si="1038"/>
        <v>2.1277951218390352</v>
      </c>
      <c r="CX118" s="50">
        <f t="shared" si="1038"/>
        <v>2.0325611032441069</v>
      </c>
      <c r="CY118" s="50">
        <f t="shared" si="1038"/>
        <v>1.9516182353034819</v>
      </c>
      <c r="CZ118" s="50">
        <f t="shared" si="1038"/>
        <v>1.90637273205102</v>
      </c>
      <c r="DA118" s="50">
        <f t="shared" si="1038"/>
        <v>1.8502566276861176</v>
      </c>
      <c r="DB118" s="50">
        <f t="shared" si="1038"/>
        <v>1.7674444376035712</v>
      </c>
      <c r="DE118" s="106"/>
      <c r="DF118" s="163">
        <v>2.8731881200510596</v>
      </c>
    </row>
    <row r="119" spans="1:110" s="163" customFormat="1" x14ac:dyDescent="0.2">
      <c r="A119" s="163" t="s">
        <v>508</v>
      </c>
      <c r="E119" s="163" t="e">
        <f t="shared" ca="1" si="1035"/>
        <v>#DIV/0!</v>
      </c>
      <c r="F119" s="163" t="e">
        <f t="shared" ca="1" si="1035"/>
        <v>#DIV/0!</v>
      </c>
      <c r="G119" s="163" t="e">
        <f t="shared" ca="1" si="1035"/>
        <v>#DIV/0!</v>
      </c>
      <c r="H119" s="163" t="e">
        <f t="shared" ca="1" si="1035"/>
        <v>#DIV/0!</v>
      </c>
      <c r="I119" s="163" t="e">
        <f t="shared" ca="1" si="1035"/>
        <v>#DIV/0!</v>
      </c>
      <c r="J119" s="163" t="e">
        <f t="shared" ca="1" si="1035"/>
        <v>#DIV/0!</v>
      </c>
      <c r="K119" s="163" t="e">
        <f t="shared" ca="1" si="1035"/>
        <v>#DIV/0!</v>
      </c>
      <c r="L119" s="163" t="e">
        <f t="shared" ca="1" si="1035"/>
        <v>#DIV/0!</v>
      </c>
      <c r="M119" s="163" t="e">
        <f t="shared" ca="1" si="1035"/>
        <v>#DIV/0!</v>
      </c>
      <c r="N119" s="163" t="e">
        <f t="shared" ca="1" si="1035"/>
        <v>#DIV/0!</v>
      </c>
      <c r="O119" s="163" t="e">
        <f t="shared" ca="1" si="1035"/>
        <v>#DIV/0!</v>
      </c>
      <c r="P119" s="163" t="e">
        <f t="shared" ca="1" si="1035"/>
        <v>#DIV/0!</v>
      </c>
      <c r="Q119" s="163" t="e">
        <f t="shared" ca="1" si="1035"/>
        <v>#DIV/0!</v>
      </c>
      <c r="R119" s="163" t="e">
        <f t="shared" ca="1" si="1035"/>
        <v>#DIV/0!</v>
      </c>
      <c r="S119" s="163" t="e">
        <f t="shared" ca="1" si="1035"/>
        <v>#DIV/0!</v>
      </c>
      <c r="T119" s="163" t="e">
        <f t="shared" ca="1" si="1035"/>
        <v>#DIV/0!</v>
      </c>
      <c r="U119" s="163" t="e">
        <f t="shared" ca="1" si="1035"/>
        <v>#DIV/0!</v>
      </c>
      <c r="V119" s="163" t="e">
        <f t="shared" ca="1" si="1035"/>
        <v>#DIV/0!</v>
      </c>
      <c r="W119" s="163" t="e">
        <f t="shared" ca="1" si="1035"/>
        <v>#DIV/0!</v>
      </c>
      <c r="X119" s="163" t="e">
        <f t="shared" ca="1" si="1035"/>
        <v>#DIV/0!</v>
      </c>
      <c r="Y119" s="163" t="e">
        <f t="shared" ca="1" si="1035"/>
        <v>#DIV/0!</v>
      </c>
      <c r="Z119" s="163" t="e">
        <f t="shared" ref="Z119:AA120" ca="1" si="1040">+Z94/Z$115</f>
        <v>#DIV/0!</v>
      </c>
      <c r="AA119" s="163" t="e">
        <f t="shared" ca="1" si="1040"/>
        <v>#DIV/0!</v>
      </c>
      <c r="AB119" s="94" t="e">
        <f t="shared" ca="1" si="1035"/>
        <v>#DIV/0!</v>
      </c>
      <c r="AC119" s="94" t="e">
        <f t="shared" ca="1" si="1035"/>
        <v>#DIV/0!</v>
      </c>
      <c r="AD119" s="94" t="e">
        <f t="shared" ca="1" si="1035"/>
        <v>#DIV/0!</v>
      </c>
      <c r="AE119" s="94" t="e">
        <f t="shared" ca="1" si="1035"/>
        <v>#DIV/0!</v>
      </c>
      <c r="AL119" s="163">
        <f t="shared" ref="AL119:BQ119" si="1041">+AL94/AL115</f>
        <v>0.66178421105920127</v>
      </c>
      <c r="AM119" s="163">
        <f t="shared" si="1041"/>
        <v>0.58006793005451807</v>
      </c>
      <c r="AN119" s="163">
        <f t="shared" si="1041"/>
        <v>0.5278451379226573</v>
      </c>
      <c r="AO119" s="163">
        <f t="shared" si="1041"/>
        <v>0.76262976034842245</v>
      </c>
      <c r="AP119" s="163">
        <f t="shared" si="1041"/>
        <v>1.0324072737768797</v>
      </c>
      <c r="AQ119" s="163">
        <f t="shared" si="1041"/>
        <v>1.4223579725760505</v>
      </c>
      <c r="AR119" s="163">
        <f t="shared" si="1041"/>
        <v>1.6818969986101195</v>
      </c>
      <c r="AS119" s="163">
        <f t="shared" si="1041"/>
        <v>1.8381591681811043</v>
      </c>
      <c r="AT119" s="163">
        <f t="shared" si="1041"/>
        <v>1.92394228153476</v>
      </c>
      <c r="AU119" s="163">
        <f t="shared" si="1041"/>
        <v>2.3865235009078121</v>
      </c>
      <c r="AV119" s="163">
        <f t="shared" si="1041"/>
        <v>2.1630779584525093</v>
      </c>
      <c r="AW119" s="163">
        <f t="shared" si="1041"/>
        <v>2.0008300345971817</v>
      </c>
      <c r="AX119" s="163">
        <f t="shared" si="1041"/>
        <v>1.8679476426306758</v>
      </c>
      <c r="AY119" s="163">
        <f t="shared" si="1041"/>
        <v>1.9127278027418315</v>
      </c>
      <c r="AZ119" s="163">
        <f t="shared" si="1041"/>
        <v>2.2266210118295144</v>
      </c>
      <c r="BA119" s="163">
        <f t="shared" si="1041"/>
        <v>2.2763062446187532</v>
      </c>
      <c r="BB119" s="163">
        <f t="shared" si="1041"/>
        <v>2.3060944836932444</v>
      </c>
      <c r="BC119" s="163">
        <f t="shared" si="1041"/>
        <v>2.742390322087001</v>
      </c>
      <c r="BD119" s="163">
        <f t="shared" si="1041"/>
        <v>2.9838654361987484</v>
      </c>
      <c r="BE119" s="163">
        <f t="shared" si="1041"/>
        <v>3.4684478272688435</v>
      </c>
      <c r="BF119" s="163">
        <f t="shared" si="1041"/>
        <v>3.4171692955831401</v>
      </c>
      <c r="BG119" s="163">
        <f t="shared" si="1041"/>
        <v>3.3270985267522715</v>
      </c>
      <c r="BH119" s="163">
        <f t="shared" si="1041"/>
        <v>3.0146914551304969</v>
      </c>
      <c r="BI119" s="163">
        <f t="shared" si="1041"/>
        <v>2.7449530986931778</v>
      </c>
      <c r="BJ119" s="163">
        <f t="shared" si="1041"/>
        <v>2.9483351511144615</v>
      </c>
      <c r="BK119" s="163">
        <f t="shared" si="1041"/>
        <v>2.8553794374297174</v>
      </c>
      <c r="BL119" s="163">
        <f t="shared" si="1041"/>
        <v>3.0530642574070579</v>
      </c>
      <c r="BM119" s="163">
        <f t="shared" si="1041"/>
        <v>3.1446696430092418</v>
      </c>
      <c r="BN119" s="163">
        <f t="shared" si="1041"/>
        <v>3.1986790422664688</v>
      </c>
      <c r="BO119" s="163">
        <f t="shared" si="1041"/>
        <v>3.0825044199193146</v>
      </c>
      <c r="BP119" s="163">
        <f t="shared" si="1041"/>
        <v>3.63687276827664</v>
      </c>
      <c r="BQ119" s="163">
        <f t="shared" si="1041"/>
        <v>3.9965606434316356</v>
      </c>
      <c r="BR119" s="163">
        <f t="shared" ref="BR119:CJ119" si="1042">+BR94/BR115</f>
        <v>4.9525126459478699</v>
      </c>
      <c r="BS119" s="163">
        <f t="shared" si="1042"/>
        <v>4.6259953953486059</v>
      </c>
      <c r="BT119" s="163">
        <f t="shared" si="1042"/>
        <v>5.1531048274876916</v>
      </c>
      <c r="BU119" s="163">
        <f t="shared" si="1042"/>
        <v>5.6677924068726293</v>
      </c>
      <c r="BV119" s="163">
        <f t="shared" si="1042"/>
        <v>5.5860504508819124</v>
      </c>
      <c r="BW119" s="163">
        <f t="shared" si="1042"/>
        <v>4.9996994589139021</v>
      </c>
      <c r="BX119" s="163">
        <f t="shared" si="1042"/>
        <v>3.9102771846478581</v>
      </c>
      <c r="BY119" s="163">
        <f t="shared" si="1042"/>
        <v>3.3611482806739392</v>
      </c>
      <c r="BZ119" s="163">
        <f t="shared" si="1042"/>
        <v>3.2509661777261685</v>
      </c>
      <c r="CA119" s="163">
        <f t="shared" si="1042"/>
        <v>2.8547339462451791</v>
      </c>
      <c r="CB119" s="163">
        <f t="shared" si="1042"/>
        <v>2.8486454099945169</v>
      </c>
      <c r="CC119" s="163">
        <f t="shared" si="1042"/>
        <v>2.9237258491891063</v>
      </c>
      <c r="CD119" s="163">
        <f t="shared" si="1042"/>
        <v>3.0187874412817348</v>
      </c>
      <c r="CE119" s="163">
        <f t="shared" si="1042"/>
        <v>3.6525558007658252</v>
      </c>
      <c r="CF119" s="163">
        <f t="shared" si="1042"/>
        <v>4.4805836006383304</v>
      </c>
      <c r="CG119" s="163">
        <f t="shared" si="1042"/>
        <v>4.2352216981005002</v>
      </c>
      <c r="CH119" s="163">
        <f t="shared" si="1042"/>
        <v>3.9913073549257763</v>
      </c>
      <c r="CI119" s="163">
        <f t="shared" si="1042"/>
        <v>3.3354261432147219</v>
      </c>
      <c r="CJ119" s="163">
        <f t="shared" si="1042"/>
        <v>3.4342657485890173</v>
      </c>
      <c r="CK119" s="163">
        <f t="shared" ref="CK119:CL119" si="1043">+CK94/CK115</f>
        <v>3.4275090394308219</v>
      </c>
      <c r="CL119" s="163">
        <f t="shared" si="1043"/>
        <v>3.6738783390080383</v>
      </c>
      <c r="CM119" s="94">
        <f t="shared" ref="CM119:DB119" si="1044">+CL119</f>
        <v>3.6738783390080383</v>
      </c>
      <c r="CN119" s="94">
        <f t="shared" si="1044"/>
        <v>3.6738783390080383</v>
      </c>
      <c r="CO119" s="94">
        <f t="shared" si="1044"/>
        <v>3.6738783390080383</v>
      </c>
      <c r="CP119" s="94">
        <f t="shared" si="1044"/>
        <v>3.6738783390080383</v>
      </c>
      <c r="CQ119" s="94">
        <f t="shared" si="1044"/>
        <v>3.6738783390080383</v>
      </c>
      <c r="CR119" s="94">
        <f t="shared" si="1044"/>
        <v>3.6738783390080383</v>
      </c>
      <c r="CS119" s="94">
        <f t="shared" si="1044"/>
        <v>3.6738783390080383</v>
      </c>
      <c r="CT119" s="94">
        <f t="shared" si="1044"/>
        <v>3.6738783390080383</v>
      </c>
      <c r="CU119" s="94">
        <f t="shared" si="1044"/>
        <v>3.6738783390080383</v>
      </c>
      <c r="CV119" s="94">
        <f t="shared" si="1044"/>
        <v>3.6738783390080383</v>
      </c>
      <c r="CW119" s="94">
        <f t="shared" si="1044"/>
        <v>3.6738783390080383</v>
      </c>
      <c r="CX119" s="94">
        <f t="shared" si="1044"/>
        <v>3.6738783390080383</v>
      </c>
      <c r="CY119" s="94">
        <f t="shared" si="1044"/>
        <v>3.6738783390080383</v>
      </c>
      <c r="CZ119" s="94">
        <f t="shared" si="1044"/>
        <v>3.6738783390080383</v>
      </c>
      <c r="DA119" s="94">
        <f t="shared" si="1044"/>
        <v>3.6738783390080383</v>
      </c>
      <c r="DB119" s="94">
        <f t="shared" si="1044"/>
        <v>3.6738783390080383</v>
      </c>
      <c r="DE119" s="164"/>
      <c r="DF119" s="163">
        <v>3.5783378121793161</v>
      </c>
    </row>
    <row r="120" spans="1:110" s="163" customFormat="1" x14ac:dyDescent="0.2">
      <c r="A120" s="163" t="s">
        <v>509</v>
      </c>
      <c r="E120" s="163" t="e">
        <f t="shared" ca="1" si="1035"/>
        <v>#DIV/0!</v>
      </c>
      <c r="F120" s="163" t="e">
        <f t="shared" ca="1" si="1035"/>
        <v>#DIV/0!</v>
      </c>
      <c r="G120" s="163" t="e">
        <f t="shared" ca="1" si="1035"/>
        <v>#DIV/0!</v>
      </c>
      <c r="H120" s="163" t="e">
        <f t="shared" ca="1" si="1035"/>
        <v>#DIV/0!</v>
      </c>
      <c r="I120" s="163" t="e">
        <f t="shared" ca="1" si="1035"/>
        <v>#DIV/0!</v>
      </c>
      <c r="J120" s="163" t="e">
        <f t="shared" ca="1" si="1035"/>
        <v>#DIV/0!</v>
      </c>
      <c r="K120" s="163" t="e">
        <f t="shared" ca="1" si="1035"/>
        <v>#DIV/0!</v>
      </c>
      <c r="L120" s="163" t="e">
        <f t="shared" ca="1" si="1035"/>
        <v>#DIV/0!</v>
      </c>
      <c r="M120" s="163" t="e">
        <f t="shared" ca="1" si="1035"/>
        <v>#DIV/0!</v>
      </c>
      <c r="N120" s="163" t="e">
        <f t="shared" ca="1" si="1035"/>
        <v>#DIV/0!</v>
      </c>
      <c r="O120" s="163" t="e">
        <f t="shared" ca="1" si="1035"/>
        <v>#DIV/0!</v>
      </c>
      <c r="P120" s="163" t="e">
        <f t="shared" ca="1" si="1035"/>
        <v>#DIV/0!</v>
      </c>
      <c r="Q120" s="163" t="e">
        <f t="shared" ca="1" si="1035"/>
        <v>#DIV/0!</v>
      </c>
      <c r="R120" s="163" t="e">
        <f t="shared" ca="1" si="1035"/>
        <v>#DIV/0!</v>
      </c>
      <c r="S120" s="163" t="e">
        <f t="shared" ca="1" si="1035"/>
        <v>#DIV/0!</v>
      </c>
      <c r="T120" s="163" t="e">
        <f t="shared" ca="1" si="1035"/>
        <v>#DIV/0!</v>
      </c>
      <c r="U120" s="163" t="e">
        <f t="shared" ca="1" si="1035"/>
        <v>#DIV/0!</v>
      </c>
      <c r="V120" s="163" t="e">
        <f t="shared" ca="1" si="1035"/>
        <v>#DIV/0!</v>
      </c>
      <c r="W120" s="163" t="e">
        <f t="shared" ca="1" si="1035"/>
        <v>#DIV/0!</v>
      </c>
      <c r="X120" s="163" t="e">
        <f t="shared" ca="1" si="1035"/>
        <v>#DIV/0!</v>
      </c>
      <c r="Y120" s="163" t="e">
        <f t="shared" ca="1" si="1035"/>
        <v>#DIV/0!</v>
      </c>
      <c r="Z120" s="163" t="e">
        <f t="shared" ca="1" si="1040"/>
        <v>#DIV/0!</v>
      </c>
      <c r="AA120" s="163" t="e">
        <f t="shared" ca="1" si="1040"/>
        <v>#DIV/0!</v>
      </c>
      <c r="AB120" s="94" t="e">
        <f t="shared" ca="1" si="1035"/>
        <v>#DIV/0!</v>
      </c>
      <c r="AC120" s="94" t="e">
        <f t="shared" ca="1" si="1035"/>
        <v>#DIV/0!</v>
      </c>
      <c r="AD120" s="94" t="e">
        <f t="shared" ca="1" si="1035"/>
        <v>#DIV/0!</v>
      </c>
      <c r="AE120" s="94" t="e">
        <f t="shared" ca="1" si="1035"/>
        <v>#DIV/0!</v>
      </c>
      <c r="AL120" s="163">
        <f t="shared" ref="AL120:BQ120" si="1045">+AL95/AL115</f>
        <v>0.43809935345762757</v>
      </c>
      <c r="AM120" s="163">
        <f t="shared" si="1045"/>
        <v>0.45026461547384294</v>
      </c>
      <c r="AN120" s="163">
        <f t="shared" si="1045"/>
        <v>0.3817288367675965</v>
      </c>
      <c r="AO120" s="163">
        <f t="shared" si="1045"/>
        <v>0.45328997803841975</v>
      </c>
      <c r="AP120" s="163">
        <f t="shared" si="1045"/>
        <v>0.60964481849739083</v>
      </c>
      <c r="AQ120" s="163">
        <f t="shared" si="1045"/>
        <v>0.9063297958701716</v>
      </c>
      <c r="AR120" s="163">
        <f t="shared" si="1045"/>
        <v>1.1323447654107659</v>
      </c>
      <c r="AS120" s="163">
        <f t="shared" si="1045"/>
        <v>1.4057266099423384</v>
      </c>
      <c r="AT120" s="163">
        <f t="shared" si="1045"/>
        <v>1.4487805536851568</v>
      </c>
      <c r="AU120" s="163">
        <f t="shared" si="1045"/>
        <v>1.7156452278748382</v>
      </c>
      <c r="AV120" s="163">
        <f t="shared" si="1045"/>
        <v>1.5924339624508859</v>
      </c>
      <c r="AW120" s="163">
        <f t="shared" si="1045"/>
        <v>1.5529519268527356</v>
      </c>
      <c r="AX120" s="163">
        <f t="shared" si="1045"/>
        <v>1.2157489741867449</v>
      </c>
      <c r="AY120" s="163">
        <f t="shared" si="1045"/>
        <v>1.461804003928733</v>
      </c>
      <c r="AZ120" s="163">
        <f t="shared" si="1045"/>
        <v>1.7281237703751455</v>
      </c>
      <c r="BA120" s="163">
        <f t="shared" si="1045"/>
        <v>1.6091130349891187</v>
      </c>
      <c r="BB120" s="163">
        <f t="shared" si="1045"/>
        <v>1.7427322633887994</v>
      </c>
      <c r="BC120" s="163">
        <f t="shared" si="1045"/>
        <v>2.1381212799716489</v>
      </c>
      <c r="BD120" s="163">
        <f t="shared" si="1045"/>
        <v>2.3511243453825519</v>
      </c>
      <c r="BE120" s="163">
        <f t="shared" si="1045"/>
        <v>2.6103281425964036</v>
      </c>
      <c r="BF120" s="163">
        <f t="shared" si="1045"/>
        <v>2.8400073430234274</v>
      </c>
      <c r="BG120" s="163">
        <f t="shared" si="1045"/>
        <v>2.4702930605264948</v>
      </c>
      <c r="BH120" s="163">
        <f t="shared" si="1045"/>
        <v>2.4164839470861637</v>
      </c>
      <c r="BI120" s="163">
        <f t="shared" si="1045"/>
        <v>2.1914957360530325</v>
      </c>
      <c r="BJ120" s="163">
        <f t="shared" si="1045"/>
        <v>2.3293681841980778</v>
      </c>
      <c r="BK120" s="163">
        <f t="shared" si="1045"/>
        <v>2.3281791040081359</v>
      </c>
      <c r="BL120" s="163">
        <f t="shared" si="1045"/>
        <v>2.4155731689417292</v>
      </c>
      <c r="BM120" s="163">
        <f t="shared" si="1045"/>
        <v>2.7697107566348542</v>
      </c>
      <c r="BN120" s="163">
        <f t="shared" si="1045"/>
        <v>1.9403735662202535</v>
      </c>
      <c r="BO120" s="163">
        <f t="shared" si="1045"/>
        <v>2.2469758864437819</v>
      </c>
      <c r="BP120" s="163">
        <f t="shared" si="1045"/>
        <v>2.6977167486698233</v>
      </c>
      <c r="BQ120" s="163">
        <f t="shared" si="1045"/>
        <v>3.1054404289544233</v>
      </c>
      <c r="BR120" s="163">
        <f t="shared" ref="BR120:CJ120" si="1046">+BR95/BR115</f>
        <v>3.6001159377324372</v>
      </c>
      <c r="BS120" s="163">
        <f t="shared" si="1046"/>
        <v>3.7751478112988002</v>
      </c>
      <c r="BT120" s="163">
        <f t="shared" si="1046"/>
        <v>3.891103344834975</v>
      </c>
      <c r="BU120" s="163">
        <f t="shared" si="1046"/>
        <v>4.7265019515046971</v>
      </c>
      <c r="BV120" s="163">
        <f t="shared" si="1046"/>
        <v>4.5873279181291702</v>
      </c>
      <c r="BW120" s="163">
        <f t="shared" si="1046"/>
        <v>3.4258745689534322</v>
      </c>
      <c r="BX120" s="163">
        <f t="shared" si="1046"/>
        <v>3.194186647518543</v>
      </c>
      <c r="BY120" s="163">
        <f t="shared" si="1046"/>
        <v>2.7680572945794943</v>
      </c>
      <c r="BZ120" s="163">
        <f t="shared" si="1046"/>
        <v>2.5687334254856151</v>
      </c>
      <c r="CA120" s="163">
        <f t="shared" si="1046"/>
        <v>2.4518322443692804</v>
      </c>
      <c r="CB120" s="163">
        <f t="shared" si="1046"/>
        <v>2.321672498026381</v>
      </c>
      <c r="CC120" s="163">
        <f t="shared" si="1046"/>
        <v>2.3757848818838769</v>
      </c>
      <c r="CD120" s="163">
        <f t="shared" si="1046"/>
        <v>2.5657042866837432</v>
      </c>
      <c r="CE120" s="163">
        <f t="shared" si="1046"/>
        <v>2.5983676544628862</v>
      </c>
      <c r="CF120" s="163">
        <f t="shared" si="1046"/>
        <v>3.2310528487903944</v>
      </c>
      <c r="CG120" s="163">
        <f t="shared" si="1046"/>
        <v>3.6036144643227557</v>
      </c>
      <c r="CH120" s="163">
        <f t="shared" si="1046"/>
        <v>2.4371946693657218</v>
      </c>
      <c r="CI120" s="163">
        <f t="shared" si="1046"/>
        <v>2.6871385052070771</v>
      </c>
      <c r="CJ120" s="163">
        <f t="shared" si="1046"/>
        <v>2.8088130369098008</v>
      </c>
      <c r="CK120" s="163">
        <f t="shared" ref="CK120:CL120" si="1047">+CK95/CK115</f>
        <v>3.01659205492972</v>
      </c>
      <c r="CL120" s="163">
        <f t="shared" si="1047"/>
        <v>2.8390115483168943</v>
      </c>
      <c r="CM120" s="94">
        <f t="shared" ref="CM120:DB120" si="1048">+CL120</f>
        <v>2.8390115483168943</v>
      </c>
      <c r="CN120" s="94">
        <f t="shared" si="1048"/>
        <v>2.8390115483168943</v>
      </c>
      <c r="CO120" s="94">
        <f t="shared" si="1048"/>
        <v>2.8390115483168943</v>
      </c>
      <c r="CP120" s="94">
        <f t="shared" si="1048"/>
        <v>2.8390115483168943</v>
      </c>
      <c r="CQ120" s="94">
        <f t="shared" si="1048"/>
        <v>2.8390115483168943</v>
      </c>
      <c r="CR120" s="94">
        <f t="shared" si="1048"/>
        <v>2.8390115483168943</v>
      </c>
      <c r="CS120" s="94">
        <f t="shared" si="1048"/>
        <v>2.8390115483168943</v>
      </c>
      <c r="CT120" s="94">
        <f t="shared" si="1048"/>
        <v>2.8390115483168943</v>
      </c>
      <c r="CU120" s="94">
        <f t="shared" si="1048"/>
        <v>2.8390115483168943</v>
      </c>
      <c r="CV120" s="94">
        <f t="shared" si="1048"/>
        <v>2.8390115483168943</v>
      </c>
      <c r="CW120" s="94">
        <f t="shared" si="1048"/>
        <v>2.8390115483168943</v>
      </c>
      <c r="CX120" s="94">
        <f t="shared" si="1048"/>
        <v>2.8390115483168943</v>
      </c>
      <c r="CY120" s="94">
        <f t="shared" si="1048"/>
        <v>2.8390115483168943</v>
      </c>
      <c r="CZ120" s="94">
        <f t="shared" si="1048"/>
        <v>2.8390115483168943</v>
      </c>
      <c r="DA120" s="94">
        <f t="shared" si="1048"/>
        <v>2.8390115483168943</v>
      </c>
      <c r="DB120" s="94">
        <f t="shared" si="1048"/>
        <v>2.8390115483168943</v>
      </c>
      <c r="DE120" s="164"/>
      <c r="DF120" s="163">
        <v>2.7651820324837004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2" customFormat="1" x14ac:dyDescent="0.2">
      <c r="A123" s="49" t="s">
        <v>340</v>
      </c>
      <c r="B123" s="162">
        <f t="shared" ref="B123:AE123" si="1049">+B94*B81</f>
        <v>19.832340000000002</v>
      </c>
      <c r="C123" s="162">
        <f t="shared" si="1049"/>
        <v>18.6754535</v>
      </c>
      <c r="D123" s="162">
        <f t="shared" si="1049"/>
        <v>21.650304500000001</v>
      </c>
      <c r="E123" s="162" t="e">
        <f t="shared" ca="1" si="1049"/>
        <v>#DIV/0!</v>
      </c>
      <c r="F123" s="162" t="e">
        <f t="shared" ca="1" si="1049"/>
        <v>#DIV/0!</v>
      </c>
      <c r="G123" s="162" t="e">
        <f t="shared" ca="1" si="1049"/>
        <v>#DIV/0!</v>
      </c>
      <c r="H123" s="162" t="e">
        <f t="shared" ca="1" si="1049"/>
        <v>#DIV/0!</v>
      </c>
      <c r="I123" s="162" t="e">
        <f t="shared" ca="1" si="1049"/>
        <v>#DIV/0!</v>
      </c>
      <c r="J123" s="162" t="e">
        <f t="shared" ca="1" si="1049"/>
        <v>#DIV/0!</v>
      </c>
      <c r="K123" s="162" t="e">
        <f t="shared" ca="1" si="1049"/>
        <v>#DIV/0!</v>
      </c>
      <c r="L123" s="162" t="e">
        <f t="shared" ca="1" si="1049"/>
        <v>#DIV/0!</v>
      </c>
      <c r="M123" s="162" t="e">
        <f t="shared" ca="1" si="1049"/>
        <v>#DIV/0!</v>
      </c>
      <c r="N123" s="162" t="e">
        <f t="shared" ca="1" si="1049"/>
        <v>#DIV/0!</v>
      </c>
      <c r="O123" s="162" t="e">
        <f t="shared" ca="1" si="1049"/>
        <v>#DIV/0!</v>
      </c>
      <c r="P123" s="162" t="e">
        <f t="shared" ca="1" si="1049"/>
        <v>#DIV/0!</v>
      </c>
      <c r="Q123" s="162" t="e">
        <f t="shared" ca="1" si="1049"/>
        <v>#DIV/0!</v>
      </c>
      <c r="R123" s="162" t="e">
        <f t="shared" ca="1" si="1049"/>
        <v>#DIV/0!</v>
      </c>
      <c r="S123" s="162" t="e">
        <f t="shared" ca="1" si="1049"/>
        <v>#DIV/0!</v>
      </c>
      <c r="T123" s="162" t="e">
        <f t="shared" ca="1" si="1049"/>
        <v>#DIV/0!</v>
      </c>
      <c r="U123" s="162" t="e">
        <f t="shared" ca="1" si="1049"/>
        <v>#DIV/0!</v>
      </c>
      <c r="V123" s="162" t="e">
        <f t="shared" ca="1" si="1049"/>
        <v>#DIV/0!</v>
      </c>
      <c r="W123" s="162" t="e">
        <f t="shared" ca="1" si="1049"/>
        <v>#DIV/0!</v>
      </c>
      <c r="X123" s="162" t="e">
        <f t="shared" ca="1" si="1049"/>
        <v>#DIV/0!</v>
      </c>
      <c r="Y123" s="162" t="e">
        <f t="shared" ca="1" si="1049"/>
        <v>#DIV/0!</v>
      </c>
      <c r="Z123" s="162" t="e">
        <f t="shared" ca="1" si="1049"/>
        <v>#DIV/0!</v>
      </c>
      <c r="AA123" s="162" t="e">
        <f t="shared" ref="AA123" ca="1" si="1050">+AA94*AA81</f>
        <v>#DIV/0!</v>
      </c>
      <c r="AB123" s="21" t="e">
        <f t="shared" ca="1" si="1049"/>
        <v>#DIV/0!</v>
      </c>
      <c r="AC123" s="21" t="e">
        <f t="shared" ca="1" si="1049"/>
        <v>#DIV/0!</v>
      </c>
      <c r="AD123" s="21" t="e">
        <f t="shared" ca="1" si="1049"/>
        <v>#DIV/0!</v>
      </c>
      <c r="AE123" s="21" t="e">
        <f t="shared" ca="1" si="1049"/>
        <v>#DIV/0!</v>
      </c>
      <c r="AL123" s="162">
        <f t="shared" ref="AL123:BQ123" si="1051">+AL94*AL81</f>
        <v>3660.3020000000001</v>
      </c>
      <c r="AM123" s="162">
        <f t="shared" si="1051"/>
        <v>3200.49</v>
      </c>
      <c r="AN123" s="162">
        <f t="shared" si="1051"/>
        <v>2868.0360000000001</v>
      </c>
      <c r="AO123" s="162">
        <f t="shared" si="1051"/>
        <v>4118.46</v>
      </c>
      <c r="AP123" s="162">
        <f t="shared" si="1051"/>
        <v>5436.6979999999994</v>
      </c>
      <c r="AQ123" s="162">
        <f t="shared" si="1051"/>
        <v>7709.2939999999999</v>
      </c>
      <c r="AR123" s="162">
        <f t="shared" si="1051"/>
        <v>8954.7559999999994</v>
      </c>
      <c r="AS123" s="162">
        <f t="shared" si="1051"/>
        <v>9477.42</v>
      </c>
      <c r="AT123" s="162">
        <f t="shared" si="1051"/>
        <v>9971.9659999999985</v>
      </c>
      <c r="AU123" s="162">
        <f t="shared" si="1051"/>
        <v>11908.8</v>
      </c>
      <c r="AV123" s="162">
        <f t="shared" si="1051"/>
        <v>10927.978000000001</v>
      </c>
      <c r="AW123" s="162">
        <f t="shared" si="1051"/>
        <v>10751</v>
      </c>
      <c r="AX123" s="162">
        <f t="shared" si="1051"/>
        <v>10734.46</v>
      </c>
      <c r="AY123" s="162">
        <f t="shared" si="1051"/>
        <v>11548.228000000001</v>
      </c>
      <c r="AZ123" s="162">
        <f t="shared" si="1051"/>
        <v>13298.16</v>
      </c>
      <c r="BA123" s="162">
        <f t="shared" si="1051"/>
        <v>13430.48</v>
      </c>
      <c r="BB123" s="162">
        <f t="shared" si="1051"/>
        <v>14055.691999999999</v>
      </c>
      <c r="BC123" s="162">
        <f t="shared" si="1051"/>
        <v>17024.621999999999</v>
      </c>
      <c r="BD123" s="162">
        <f t="shared" si="1051"/>
        <v>18688.546000000002</v>
      </c>
      <c r="BE123" s="162">
        <f t="shared" si="1051"/>
        <v>22329</v>
      </c>
      <c r="BF123" s="162">
        <f t="shared" si="1051"/>
        <v>21965.119999999999</v>
      </c>
      <c r="BG123" s="162">
        <f t="shared" si="1051"/>
        <v>21984.968000000001</v>
      </c>
      <c r="BH123" s="162">
        <f t="shared" si="1051"/>
        <v>21080.23</v>
      </c>
      <c r="BI123" s="162">
        <f t="shared" si="1051"/>
        <v>19515.546000000002</v>
      </c>
      <c r="BJ123" s="162">
        <f t="shared" si="1051"/>
        <v>21004.146000000001</v>
      </c>
      <c r="BK123" s="162">
        <f t="shared" si="1051"/>
        <v>21786.488000000001</v>
      </c>
      <c r="BL123" s="162">
        <f t="shared" si="1051"/>
        <v>23296.59</v>
      </c>
      <c r="BM123" s="162">
        <f t="shared" si="1051"/>
        <v>23997.885999999999</v>
      </c>
      <c r="BN123" s="162">
        <f t="shared" si="1051"/>
        <v>24495.739999999998</v>
      </c>
      <c r="BO123" s="162">
        <f t="shared" si="1051"/>
        <v>19422.921999999999</v>
      </c>
      <c r="BP123" s="162">
        <f t="shared" si="1051"/>
        <v>23609.196</v>
      </c>
      <c r="BQ123" s="162">
        <f t="shared" si="1051"/>
        <v>27950.946</v>
      </c>
      <c r="BR123" s="162">
        <f t="shared" ref="BR123:CJ123" si="1052">+BR94*BR81</f>
        <v>37420.095999999998</v>
      </c>
      <c r="BS123" s="162">
        <f t="shared" si="1052"/>
        <v>37211.692000000003</v>
      </c>
      <c r="BT123" s="162">
        <f t="shared" si="1052"/>
        <v>41846.199999999997</v>
      </c>
      <c r="BU123" s="162">
        <f t="shared" si="1052"/>
        <v>44886.252</v>
      </c>
      <c r="BV123" s="162">
        <f t="shared" si="1052"/>
        <v>44322.237999999998</v>
      </c>
      <c r="BW123" s="162">
        <f t="shared" si="1052"/>
        <v>44583.57</v>
      </c>
      <c r="BX123" s="162">
        <f t="shared" si="1052"/>
        <v>35178.925999999999</v>
      </c>
      <c r="BY123" s="162">
        <f t="shared" si="1052"/>
        <v>30951.301999999996</v>
      </c>
      <c r="BZ123" s="162">
        <f t="shared" si="1052"/>
        <v>30880.179999999997</v>
      </c>
      <c r="CA123" s="162">
        <f t="shared" si="1052"/>
        <v>28806.063999999998</v>
      </c>
      <c r="CB123" s="162">
        <f t="shared" si="1052"/>
        <v>30238.428</v>
      </c>
      <c r="CC123" s="162">
        <f t="shared" si="1052"/>
        <v>32848.439999999995</v>
      </c>
      <c r="CD123" s="162">
        <f t="shared" si="1052"/>
        <v>37678.119999999995</v>
      </c>
      <c r="CE123" s="162">
        <f t="shared" si="1052"/>
        <v>51290.54</v>
      </c>
      <c r="CF123" s="162">
        <f t="shared" si="1052"/>
        <v>64380.295999999995</v>
      </c>
      <c r="CG123" s="162">
        <f t="shared" si="1052"/>
        <v>62885.079999999994</v>
      </c>
      <c r="CH123" s="162">
        <f t="shared" si="1052"/>
        <v>61517.222000000002</v>
      </c>
      <c r="CI123" s="162">
        <f t="shared" si="1052"/>
        <v>48131.399999999994</v>
      </c>
      <c r="CJ123" s="162">
        <f t="shared" si="1052"/>
        <v>48624.292000000001</v>
      </c>
      <c r="CK123" s="162">
        <f t="shared" ref="CK123:CL123" si="1053">+CK94*CK81</f>
        <v>48410.925999999999</v>
      </c>
      <c r="CL123" s="162">
        <f t="shared" si="1053"/>
        <v>52332.56</v>
      </c>
      <c r="CM123" s="21">
        <f t="shared" ref="CM123:DB123" si="1054">+CM94*CM81</f>
        <v>52437.324958740217</v>
      </c>
      <c r="CN123" s="21">
        <f t="shared" si="1054"/>
        <v>56543.515476427245</v>
      </c>
      <c r="CO123" s="21">
        <f t="shared" si="1054"/>
        <v>55767.205075543352</v>
      </c>
      <c r="CP123" s="21">
        <f t="shared" si="1054"/>
        <v>69009.766123414927</v>
      </c>
      <c r="CQ123" s="21">
        <f t="shared" si="1054"/>
        <v>77703.359080115959</v>
      </c>
      <c r="CR123" s="21">
        <f t="shared" si="1054"/>
        <v>81606.364866957898</v>
      </c>
      <c r="CS123" s="21">
        <f t="shared" si="1054"/>
        <v>84159.411867952498</v>
      </c>
      <c r="CT123" s="21">
        <f t="shared" si="1054"/>
        <v>89550.248440820156</v>
      </c>
      <c r="CU123" s="21">
        <f t="shared" si="1054"/>
        <v>94960.009334860661</v>
      </c>
      <c r="CV123" s="21">
        <f t="shared" si="1054"/>
        <v>97767.957235073263</v>
      </c>
      <c r="CW123" s="21">
        <f t="shared" si="1054"/>
        <v>100592.09827624187</v>
      </c>
      <c r="CX123" s="21">
        <f t="shared" si="1054"/>
        <v>105589.18869274021</v>
      </c>
      <c r="CY123" s="21">
        <f t="shared" si="1054"/>
        <v>111215.41484910973</v>
      </c>
      <c r="CZ123" s="21">
        <f t="shared" si="1054"/>
        <v>114042.33922543001</v>
      </c>
      <c r="DA123" s="21">
        <f t="shared" si="1054"/>
        <v>117310.27478014266</v>
      </c>
      <c r="DB123" s="21">
        <f t="shared" si="1054"/>
        <v>123509.12517346436</v>
      </c>
      <c r="DE123" s="22"/>
      <c r="DF123" s="162">
        <v>52332.56</v>
      </c>
    </row>
    <row r="124" spans="1:110" s="162" customFormat="1" x14ac:dyDescent="0.2">
      <c r="A124" s="49" t="s">
        <v>341</v>
      </c>
      <c r="B124" s="162">
        <f t="shared" ref="B124:AE124" si="1055">+B95*B81</f>
        <v>8.5940139999999996</v>
      </c>
      <c r="C124" s="162">
        <f t="shared" si="1055"/>
        <v>10.26323595</v>
      </c>
      <c r="D124" s="162">
        <f t="shared" si="1055"/>
        <v>13.750422400000001</v>
      </c>
      <c r="E124" s="162" t="e">
        <f t="shared" ca="1" si="1055"/>
        <v>#DIV/0!</v>
      </c>
      <c r="F124" s="162" t="e">
        <f t="shared" ca="1" si="1055"/>
        <v>#DIV/0!</v>
      </c>
      <c r="G124" s="162" t="e">
        <f t="shared" ca="1" si="1055"/>
        <v>#DIV/0!</v>
      </c>
      <c r="H124" s="162" t="e">
        <f t="shared" ca="1" si="1055"/>
        <v>#DIV/0!</v>
      </c>
      <c r="I124" s="162" t="e">
        <f t="shared" ca="1" si="1055"/>
        <v>#DIV/0!</v>
      </c>
      <c r="J124" s="162" t="e">
        <f t="shared" ca="1" si="1055"/>
        <v>#DIV/0!</v>
      </c>
      <c r="K124" s="162" t="e">
        <f t="shared" ca="1" si="1055"/>
        <v>#DIV/0!</v>
      </c>
      <c r="L124" s="162" t="e">
        <f t="shared" ca="1" si="1055"/>
        <v>#DIV/0!</v>
      </c>
      <c r="M124" s="162" t="e">
        <f t="shared" ca="1" si="1055"/>
        <v>#DIV/0!</v>
      </c>
      <c r="N124" s="162" t="e">
        <f t="shared" ca="1" si="1055"/>
        <v>#DIV/0!</v>
      </c>
      <c r="O124" s="162" t="e">
        <f t="shared" ca="1" si="1055"/>
        <v>#DIV/0!</v>
      </c>
      <c r="P124" s="162" t="e">
        <f t="shared" ca="1" si="1055"/>
        <v>#DIV/0!</v>
      </c>
      <c r="Q124" s="162" t="e">
        <f t="shared" ca="1" si="1055"/>
        <v>#DIV/0!</v>
      </c>
      <c r="R124" s="162" t="e">
        <f t="shared" ca="1" si="1055"/>
        <v>#DIV/0!</v>
      </c>
      <c r="S124" s="162" t="e">
        <f t="shared" ca="1" si="1055"/>
        <v>#DIV/0!</v>
      </c>
      <c r="T124" s="162" t="e">
        <f t="shared" ca="1" si="1055"/>
        <v>#DIV/0!</v>
      </c>
      <c r="U124" s="162" t="e">
        <f t="shared" ca="1" si="1055"/>
        <v>#DIV/0!</v>
      </c>
      <c r="V124" s="162" t="e">
        <f t="shared" ca="1" si="1055"/>
        <v>#DIV/0!</v>
      </c>
      <c r="W124" s="162" t="e">
        <f t="shared" ca="1" si="1055"/>
        <v>#DIV/0!</v>
      </c>
      <c r="X124" s="162" t="e">
        <f t="shared" ca="1" si="1055"/>
        <v>#DIV/0!</v>
      </c>
      <c r="Y124" s="162" t="e">
        <f t="shared" ca="1" si="1055"/>
        <v>#DIV/0!</v>
      </c>
      <c r="Z124" s="162" t="e">
        <f t="shared" ca="1" si="1055"/>
        <v>#DIV/0!</v>
      </c>
      <c r="AA124" s="162" t="e">
        <f t="shared" ref="AA124" ca="1" si="1056">+AA95*AA81</f>
        <v>#DIV/0!</v>
      </c>
      <c r="AB124" s="21" t="e">
        <f t="shared" ca="1" si="1055"/>
        <v>#DIV/0!</v>
      </c>
      <c r="AC124" s="21" t="e">
        <f t="shared" ca="1" si="1055"/>
        <v>#DIV/0!</v>
      </c>
      <c r="AD124" s="21" t="e">
        <f t="shared" ca="1" si="1055"/>
        <v>#DIV/0!</v>
      </c>
      <c r="AE124" s="21" t="e">
        <f t="shared" ca="1" si="1055"/>
        <v>#DIV/0!</v>
      </c>
      <c r="AL124" s="162">
        <f t="shared" ref="AL124:BQ124" si="1057">+AL95*AL81</f>
        <v>2423.1099999999997</v>
      </c>
      <c r="AM124" s="162">
        <f t="shared" si="1057"/>
        <v>2484.3079999999995</v>
      </c>
      <c r="AN124" s="162">
        <f t="shared" si="1057"/>
        <v>2074.116</v>
      </c>
      <c r="AO124" s="162">
        <f t="shared" si="1057"/>
        <v>2447.92</v>
      </c>
      <c r="AP124" s="162">
        <f t="shared" si="1057"/>
        <v>3210.4139999999998</v>
      </c>
      <c r="AQ124" s="162">
        <f t="shared" si="1057"/>
        <v>4912.38</v>
      </c>
      <c r="AR124" s="162">
        <f t="shared" si="1057"/>
        <v>6028.83</v>
      </c>
      <c r="AS124" s="162">
        <f t="shared" si="1057"/>
        <v>7247.8279999999995</v>
      </c>
      <c r="AT124" s="162">
        <f t="shared" si="1057"/>
        <v>7509.16</v>
      </c>
      <c r="AU124" s="162">
        <f t="shared" si="1057"/>
        <v>8561.1039999999994</v>
      </c>
      <c r="AV124" s="162">
        <f t="shared" si="1057"/>
        <v>8045.0559999999996</v>
      </c>
      <c r="AW124" s="162">
        <f t="shared" si="1057"/>
        <v>8344.43</v>
      </c>
      <c r="AX124" s="162">
        <f t="shared" si="1057"/>
        <v>6986.4959999999992</v>
      </c>
      <c r="AY124" s="162">
        <f t="shared" si="1057"/>
        <v>8825.7440000000006</v>
      </c>
      <c r="AZ124" s="162">
        <f t="shared" si="1057"/>
        <v>10320.959999999999</v>
      </c>
      <c r="BA124" s="162">
        <f t="shared" si="1057"/>
        <v>9493.9599999999991</v>
      </c>
      <c r="BB124" s="162">
        <f t="shared" si="1057"/>
        <v>10621.987999999999</v>
      </c>
      <c r="BC124" s="162">
        <f t="shared" si="1057"/>
        <v>13273.349999999999</v>
      </c>
      <c r="BD124" s="162">
        <f t="shared" si="1057"/>
        <v>14725.561999999998</v>
      </c>
      <c r="BE124" s="162">
        <f t="shared" si="1057"/>
        <v>16804.64</v>
      </c>
      <c r="BF124" s="162">
        <f t="shared" si="1057"/>
        <v>18255.198</v>
      </c>
      <c r="BG124" s="162">
        <f t="shared" si="1057"/>
        <v>16323.325999999999</v>
      </c>
      <c r="BH124" s="162">
        <f t="shared" si="1057"/>
        <v>16897.263999999999</v>
      </c>
      <c r="BI124" s="162">
        <f t="shared" si="1057"/>
        <v>15580.679999999998</v>
      </c>
      <c r="BJ124" s="162">
        <f t="shared" si="1057"/>
        <v>16594.581999999999</v>
      </c>
      <c r="BK124" s="162">
        <f t="shared" si="1057"/>
        <v>17763.96</v>
      </c>
      <c r="BL124" s="162">
        <f t="shared" si="1057"/>
        <v>18432.175999999999</v>
      </c>
      <c r="BM124" s="162">
        <f t="shared" si="1057"/>
        <v>21136.466</v>
      </c>
      <c r="BN124" s="162">
        <f t="shared" si="1057"/>
        <v>14859.535999999998</v>
      </c>
      <c r="BO124" s="162">
        <f t="shared" si="1057"/>
        <v>14158.24</v>
      </c>
      <c r="BP124" s="162">
        <f t="shared" si="1057"/>
        <v>17512.552</v>
      </c>
      <c r="BQ124" s="162">
        <f t="shared" si="1057"/>
        <v>21718.673999999999</v>
      </c>
      <c r="BR124" s="162">
        <f t="shared" ref="BR124:CJ124" si="1058">+BR95*BR81</f>
        <v>27201.683999999997</v>
      </c>
      <c r="BS124" s="162">
        <f t="shared" si="1058"/>
        <v>30367.439999999999</v>
      </c>
      <c r="BT124" s="162">
        <f t="shared" si="1058"/>
        <v>31598.016</v>
      </c>
      <c r="BU124" s="162">
        <f t="shared" si="1058"/>
        <v>37431.673999999999</v>
      </c>
      <c r="BV124" s="162">
        <f t="shared" si="1058"/>
        <v>36397.923999999999</v>
      </c>
      <c r="BW124" s="162">
        <f t="shared" si="1058"/>
        <v>30549.379999999997</v>
      </c>
      <c r="BX124" s="162">
        <f t="shared" si="1058"/>
        <v>28736.596000000001</v>
      </c>
      <c r="BY124" s="162">
        <f t="shared" si="1058"/>
        <v>25489.793999999998</v>
      </c>
      <c r="BZ124" s="162">
        <f t="shared" si="1058"/>
        <v>24399.808000000001</v>
      </c>
      <c r="CA124" s="162">
        <f t="shared" si="1058"/>
        <v>24740.531999999999</v>
      </c>
      <c r="CB124" s="162">
        <f t="shared" si="1058"/>
        <v>24644.6</v>
      </c>
      <c r="CC124" s="162">
        <f t="shared" si="1058"/>
        <v>26692.251999999997</v>
      </c>
      <c r="CD124" s="162">
        <f t="shared" si="1058"/>
        <v>32023.093999999997</v>
      </c>
      <c r="CE124" s="162">
        <f t="shared" si="1058"/>
        <v>36487.24</v>
      </c>
      <c r="CF124" s="162">
        <f t="shared" si="1058"/>
        <v>46426.125999999997</v>
      </c>
      <c r="CG124" s="162">
        <f t="shared" si="1058"/>
        <v>53506.899999999994</v>
      </c>
      <c r="CH124" s="162">
        <f t="shared" si="1058"/>
        <v>37563.993999999999</v>
      </c>
      <c r="CI124" s="162">
        <f t="shared" si="1058"/>
        <v>38776.375999999997</v>
      </c>
      <c r="CJ124" s="162">
        <f t="shared" si="1058"/>
        <v>39768.775999999998</v>
      </c>
      <c r="CK124" s="162">
        <f t="shared" ref="CK124:CL124" si="1059">+CK95*CK81</f>
        <v>42607.040000000001</v>
      </c>
      <c r="CL124" s="162">
        <f t="shared" si="1059"/>
        <v>40440.299999999996</v>
      </c>
      <c r="CM124" s="21">
        <f t="shared" ref="CM124:DB124" si="1060">+CM95*CM81</f>
        <v>40521.257750986042</v>
      </c>
      <c r="CN124" s="21">
        <f t="shared" si="1060"/>
        <v>43694.341131436355</v>
      </c>
      <c r="CO124" s="21">
        <f t="shared" si="1060"/>
        <v>43094.442607365199</v>
      </c>
      <c r="CP124" s="21">
        <f t="shared" si="1060"/>
        <v>53327.711179440419</v>
      </c>
      <c r="CQ124" s="21">
        <f t="shared" si="1060"/>
        <v>60045.737342251428</v>
      </c>
      <c r="CR124" s="21">
        <f t="shared" si="1060"/>
        <v>63061.808501805332</v>
      </c>
      <c r="CS124" s="21">
        <f t="shared" si="1060"/>
        <v>65034.690903016395</v>
      </c>
      <c r="CT124" s="21">
        <f t="shared" si="1060"/>
        <v>69200.492236980179</v>
      </c>
      <c r="CU124" s="21">
        <f t="shared" si="1060"/>
        <v>73380.917453771923</v>
      </c>
      <c r="CV124" s="21">
        <f t="shared" si="1060"/>
        <v>75550.776055548078</v>
      </c>
      <c r="CW124" s="21">
        <f t="shared" si="1060"/>
        <v>77733.148004238741</v>
      </c>
      <c r="CX124" s="21">
        <f t="shared" si="1060"/>
        <v>81594.679631400068</v>
      </c>
      <c r="CY124" s="21">
        <f t="shared" si="1060"/>
        <v>85942.379679542762</v>
      </c>
      <c r="CZ124" s="21">
        <f t="shared" si="1060"/>
        <v>88126.902467185966</v>
      </c>
      <c r="DA124" s="21">
        <f t="shared" si="1060"/>
        <v>90652.219291229077</v>
      </c>
      <c r="DB124" s="21">
        <f t="shared" si="1060"/>
        <v>95442.418157117689</v>
      </c>
      <c r="DE124" s="22"/>
      <c r="DF124" s="162">
        <v>40440.299999999996</v>
      </c>
    </row>
    <row r="125" spans="1:110" s="162" customFormat="1" x14ac:dyDescent="0.2">
      <c r="A125" s="49" t="s">
        <v>80</v>
      </c>
      <c r="B125" s="162">
        <f>+B184</f>
        <v>114.7637</v>
      </c>
      <c r="C125" s="162">
        <f t="shared" ref="C125:W125" si="1061">+C184</f>
        <v>16.877499999999998</v>
      </c>
      <c r="D125" s="162">
        <f t="shared" si="1061"/>
        <v>9.5285999999999831</v>
      </c>
      <c r="E125" s="162">
        <f t="shared" si="1061"/>
        <v>-1.6813999999999965</v>
      </c>
      <c r="F125" s="162">
        <f t="shared" si="1061"/>
        <v>-36.225999999999985</v>
      </c>
      <c r="G125" s="162">
        <f t="shared" si="1061"/>
        <v>-57.262</v>
      </c>
      <c r="H125" s="162">
        <f t="shared" si="1061"/>
        <v>-151.55549999999999</v>
      </c>
      <c r="I125" s="162">
        <f t="shared" si="1061"/>
        <v>-453.72820000000002</v>
      </c>
      <c r="J125" s="162">
        <f t="shared" si="1061"/>
        <v>-400.02710000000002</v>
      </c>
      <c r="K125" s="162">
        <f t="shared" si="1061"/>
        <v>-642.75520000000006</v>
      </c>
      <c r="L125" s="162">
        <f t="shared" si="1061"/>
        <v>-575.62040000000002</v>
      </c>
      <c r="M125" s="162">
        <f t="shared" si="1061"/>
        <v>-269.22709999999995</v>
      </c>
      <c r="N125" s="162">
        <f t="shared" si="1061"/>
        <v>-355.41460000000001</v>
      </c>
      <c r="O125" s="162">
        <f t="shared" si="1061"/>
        <v>-610.44219999999996</v>
      </c>
      <c r="P125" s="162">
        <f t="shared" si="1061"/>
        <v>-596.55450000000008</v>
      </c>
      <c r="Q125" s="162">
        <f t="shared" si="1061"/>
        <v>-582.39530000000002</v>
      </c>
      <c r="R125" s="162">
        <f t="shared" si="1061"/>
        <v>-360.03000000000003</v>
      </c>
      <c r="S125" s="162">
        <f t="shared" si="1061"/>
        <v>-629.04</v>
      </c>
      <c r="T125" s="162">
        <f t="shared" si="1061"/>
        <v>-1242.1500000000001</v>
      </c>
      <c r="U125" s="162">
        <f t="shared" si="1061"/>
        <v>-610.94999999999993</v>
      </c>
      <c r="V125" s="162">
        <f t="shared" si="1061"/>
        <v>-447.5</v>
      </c>
      <c r="W125" s="162">
        <f t="shared" si="1061"/>
        <v>-645.1099999999999</v>
      </c>
      <c r="X125" s="162">
        <f t="shared" ref="X125:Y125" si="1062">+X184</f>
        <v>-399.56999999999994</v>
      </c>
      <c r="Y125" s="162">
        <f t="shared" si="1062"/>
        <v>-640.47</v>
      </c>
      <c r="Z125" s="162">
        <f t="shared" ref="Z125:AA125" si="1063">+Z184</f>
        <v>-213.60000000000014</v>
      </c>
      <c r="AA125" s="162">
        <f t="shared" si="1063"/>
        <v>-91.6099999999999</v>
      </c>
      <c r="AB125" s="21">
        <f t="shared" ref="AA125:AD125" si="1064">+AB184</f>
        <v>-170.14559813529968</v>
      </c>
      <c r="AC125" s="21">
        <f t="shared" si="1064"/>
        <v>-452.10450515491971</v>
      </c>
      <c r="AD125" s="21">
        <f t="shared" si="1064"/>
        <v>-776.12618395719483</v>
      </c>
      <c r="AE125" s="21">
        <f t="shared" ref="AE125" si="1065">+AE184</f>
        <v>-1146.4476959645767</v>
      </c>
      <c r="AL125" s="162">
        <f t="shared" ref="AL125:AM125" si="1066">+AL184</f>
        <v>-356.63</v>
      </c>
      <c r="AM125" s="162">
        <f t="shared" si="1066"/>
        <v>-394.97284883320503</v>
      </c>
      <c r="AN125" s="162">
        <f t="shared" ref="AN125:AO125" si="1067">+AN184</f>
        <v>-548.28</v>
      </c>
      <c r="AO125" s="162">
        <f t="shared" si="1067"/>
        <v>-589.75361665108721</v>
      </c>
      <c r="AP125" s="162">
        <f t="shared" ref="AP125:CD125" si="1068">+AP184</f>
        <v>-611.62</v>
      </c>
      <c r="AQ125" s="162">
        <f t="shared" si="1068"/>
        <v>-597.90812668767683</v>
      </c>
      <c r="AR125" s="162">
        <f t="shared" si="1068"/>
        <v>-642.49</v>
      </c>
      <c r="AS125" s="162">
        <f t="shared" si="1068"/>
        <v>-770.96672340425516</v>
      </c>
      <c r="AT125" s="162">
        <f t="shared" si="1068"/>
        <v>-596.93000000000006</v>
      </c>
      <c r="AU125" s="162">
        <f t="shared" si="1068"/>
        <v>-668.93801418820499</v>
      </c>
      <c r="AV125" s="162">
        <f t="shared" si="1068"/>
        <v>-505.6</v>
      </c>
      <c r="AW125" s="162">
        <f t="shared" si="1068"/>
        <v>-420.17786830741022</v>
      </c>
      <c r="AX125" s="162">
        <f t="shared" si="1068"/>
        <v>-582.39</v>
      </c>
      <c r="AY125" s="162">
        <f t="shared" si="1068"/>
        <v>-742.46275115919605</v>
      </c>
      <c r="AZ125" s="162">
        <f t="shared" si="1068"/>
        <v>-255.63</v>
      </c>
      <c r="BA125" s="162">
        <f t="shared" si="1068"/>
        <v>-301.94567909033481</v>
      </c>
      <c r="BB125" s="162">
        <f t="shared" si="1068"/>
        <v>-360.03000000000003</v>
      </c>
      <c r="BC125" s="162">
        <f t="shared" si="1068"/>
        <v>-565.90894687745981</v>
      </c>
      <c r="BD125" s="162">
        <f t="shared" si="1068"/>
        <v>-93.140000000000015</v>
      </c>
      <c r="BE125" s="162">
        <f t="shared" si="1068"/>
        <v>-30.790652159235577</v>
      </c>
      <c r="BF125" s="162">
        <f t="shared" si="1068"/>
        <v>-629.04</v>
      </c>
      <c r="BG125" s="162">
        <f t="shared" si="1068"/>
        <v>-802.89057411222484</v>
      </c>
      <c r="BH125" s="162">
        <f t="shared" si="1068"/>
        <v>252.92000000000002</v>
      </c>
      <c r="BI125" s="162">
        <f t="shared" si="1068"/>
        <v>207.73368112230537</v>
      </c>
      <c r="BJ125" s="162">
        <f t="shared" si="1068"/>
        <v>-1242.1500000000001</v>
      </c>
      <c r="BK125" s="162">
        <f t="shared" si="1068"/>
        <v>-1258.4997298869521</v>
      </c>
      <c r="BL125" s="162">
        <f t="shared" si="1068"/>
        <v>-1330.38</v>
      </c>
      <c r="BM125" s="162">
        <f t="shared" si="1068"/>
        <v>-1392.1120231514703</v>
      </c>
      <c r="BN125" s="162">
        <f t="shared" si="1068"/>
        <v>-610.94999999999993</v>
      </c>
      <c r="BO125" s="162">
        <f t="shared" si="1068"/>
        <v>-922.47601728535562</v>
      </c>
      <c r="BP125" s="162">
        <f t="shared" si="1068"/>
        <v>-65.080000000000041</v>
      </c>
      <c r="BQ125" s="162">
        <f t="shared" si="1068"/>
        <v>47.635800910365901</v>
      </c>
      <c r="BR125" s="162">
        <f t="shared" si="1068"/>
        <v>-456.71000000000004</v>
      </c>
      <c r="BS125" s="162">
        <f t="shared" si="1068"/>
        <v>-779.79499128847567</v>
      </c>
      <c r="BT125" s="162">
        <f t="shared" si="1068"/>
        <v>-188.83999999999997</v>
      </c>
      <c r="BU125" s="162">
        <f t="shared" si="1068"/>
        <v>-210.31513853695543</v>
      </c>
      <c r="BV125" s="162">
        <f t="shared" si="1068"/>
        <v>-662.75</v>
      </c>
      <c r="BW125" s="162">
        <f t="shared" si="1068"/>
        <v>-740.09965243870465</v>
      </c>
      <c r="BX125" s="162">
        <f t="shared" si="1068"/>
        <v>-860.05000000000018</v>
      </c>
      <c r="BY125" s="162">
        <f t="shared" si="1068"/>
        <v>-603.73326341921256</v>
      </c>
      <c r="BZ125" s="162">
        <f t="shared" si="1068"/>
        <v>-399.56999999999994</v>
      </c>
      <c r="CA125" s="162">
        <f t="shared" si="1068"/>
        <v>-423.734241950757</v>
      </c>
      <c r="CB125" s="162">
        <f t="shared" si="1068"/>
        <v>-367.20000000000005</v>
      </c>
      <c r="CC125" s="162">
        <f t="shared" si="1068"/>
        <v>-251.02308563951465</v>
      </c>
      <c r="CD125" s="162">
        <f t="shared" si="1068"/>
        <v>-640.47</v>
      </c>
      <c r="CE125" s="162">
        <f t="shared" ref="CE125:CF125" si="1069">+CE184</f>
        <v>-844.79889561443451</v>
      </c>
      <c r="CF125" s="162">
        <f t="shared" si="1069"/>
        <v>-134.20000000000005</v>
      </c>
      <c r="CG125" s="162">
        <f t="shared" ref="CG125:CH125" si="1070">+CG184</f>
        <v>-106.0272483019038</v>
      </c>
      <c r="CH125" s="162">
        <f t="shared" si="1070"/>
        <v>-213.60000000000014</v>
      </c>
      <c r="CI125" s="162">
        <f t="shared" ref="CI125:CJ125" si="1071">+CI184</f>
        <v>-796.84244171022533</v>
      </c>
      <c r="CJ125" s="162">
        <f t="shared" si="1071"/>
        <v>909.87</v>
      </c>
      <c r="CK125" s="162">
        <f t="shared" ref="CK125:CL125" si="1072">+CK184</f>
        <v>1936.2262441848575</v>
      </c>
      <c r="CL125" s="162">
        <f t="shared" si="1072"/>
        <v>-91.6099999999999</v>
      </c>
      <c r="CM125" s="21">
        <f t="shared" ref="CM125:DB125" si="1073">+CM184</f>
        <v>-346.20671922672454</v>
      </c>
      <c r="CN125" s="21">
        <f t="shared" si="1073"/>
        <v>-1495.7182371331787</v>
      </c>
      <c r="CO125" s="21">
        <f t="shared" si="1073"/>
        <v>-1141.4171281602817</v>
      </c>
      <c r="CP125" s="21">
        <f t="shared" si="1073"/>
        <v>-170.14559813529968</v>
      </c>
      <c r="CQ125" s="21">
        <f t="shared" si="1073"/>
        <v>-638.50431723165639</v>
      </c>
      <c r="CR125" s="21">
        <f t="shared" si="1073"/>
        <v>-1974.8917459915078</v>
      </c>
      <c r="CS125" s="21">
        <f t="shared" si="1073"/>
        <v>-1565.716556641964</v>
      </c>
      <c r="CT125" s="21">
        <f t="shared" si="1073"/>
        <v>-452.10450515491971</v>
      </c>
      <c r="CU125" s="21">
        <f t="shared" si="1073"/>
        <v>-995.83200791828767</v>
      </c>
      <c r="CV125" s="21">
        <f t="shared" si="1073"/>
        <v>-2534.7559021220354</v>
      </c>
      <c r="CW125" s="21">
        <f t="shared" si="1073"/>
        <v>-2062.151723033267</v>
      </c>
      <c r="CX125" s="21">
        <f t="shared" si="1073"/>
        <v>-776.12618395719483</v>
      </c>
      <c r="CY125" s="21">
        <f t="shared" si="1073"/>
        <v>-1402.462670130622</v>
      </c>
      <c r="CZ125" s="21">
        <f t="shared" si="1073"/>
        <v>-3171.7078221351253</v>
      </c>
      <c r="DA125" s="21">
        <f t="shared" si="1073"/>
        <v>-2626.7997636488449</v>
      </c>
      <c r="DB125" s="21">
        <f t="shared" si="1073"/>
        <v>-1146.4476959645767</v>
      </c>
      <c r="DE125" s="22"/>
      <c r="DF125" s="162">
        <v>5082.171332765829</v>
      </c>
    </row>
    <row r="126" spans="1:110" s="162" customFormat="1" x14ac:dyDescent="0.2">
      <c r="A126" s="49" t="s">
        <v>342</v>
      </c>
      <c r="B126" s="162">
        <f>+B123+B125</f>
        <v>134.59604000000002</v>
      </c>
      <c r="C126" s="162">
        <f t="shared" ref="C126:W126" si="1074">+C123+C125</f>
        <v>35.552953500000001</v>
      </c>
      <c r="D126" s="162">
        <f t="shared" si="1074"/>
        <v>31.178904499999984</v>
      </c>
      <c r="E126" s="162" t="e">
        <f t="shared" ca="1" si="1074"/>
        <v>#DIV/0!</v>
      </c>
      <c r="F126" s="162" t="e">
        <f t="shared" ca="1" si="1074"/>
        <v>#DIV/0!</v>
      </c>
      <c r="G126" s="162" t="e">
        <f t="shared" ca="1" si="1074"/>
        <v>#DIV/0!</v>
      </c>
      <c r="H126" s="162" t="e">
        <f t="shared" ca="1" si="1074"/>
        <v>#DIV/0!</v>
      </c>
      <c r="I126" s="162" t="e">
        <f t="shared" ca="1" si="1074"/>
        <v>#DIV/0!</v>
      </c>
      <c r="J126" s="162" t="e">
        <f t="shared" ca="1" si="1074"/>
        <v>#DIV/0!</v>
      </c>
      <c r="K126" s="162" t="e">
        <f t="shared" ca="1" si="1074"/>
        <v>#DIV/0!</v>
      </c>
      <c r="L126" s="162" t="e">
        <f t="shared" ca="1" si="1074"/>
        <v>#DIV/0!</v>
      </c>
      <c r="M126" s="162" t="e">
        <f t="shared" ca="1" si="1074"/>
        <v>#DIV/0!</v>
      </c>
      <c r="N126" s="162" t="e">
        <f t="shared" ca="1" si="1074"/>
        <v>#DIV/0!</v>
      </c>
      <c r="O126" s="162" t="e">
        <f t="shared" ca="1" si="1074"/>
        <v>#DIV/0!</v>
      </c>
      <c r="P126" s="162" t="e">
        <f t="shared" ca="1" si="1074"/>
        <v>#DIV/0!</v>
      </c>
      <c r="Q126" s="162" t="e">
        <f t="shared" ca="1" si="1074"/>
        <v>#DIV/0!</v>
      </c>
      <c r="R126" s="162" t="e">
        <f t="shared" ca="1" si="1074"/>
        <v>#DIV/0!</v>
      </c>
      <c r="S126" s="162" t="e">
        <f t="shared" ca="1" si="1074"/>
        <v>#DIV/0!</v>
      </c>
      <c r="T126" s="162" t="e">
        <f t="shared" ca="1" si="1074"/>
        <v>#DIV/0!</v>
      </c>
      <c r="U126" s="162" t="e">
        <f t="shared" ca="1" si="1074"/>
        <v>#DIV/0!</v>
      </c>
      <c r="V126" s="162" t="e">
        <f t="shared" ca="1" si="1074"/>
        <v>#DIV/0!</v>
      </c>
      <c r="W126" s="162" t="e">
        <f t="shared" ca="1" si="1074"/>
        <v>#DIV/0!</v>
      </c>
      <c r="X126" s="162" t="e">
        <f t="shared" ref="X126:Y126" ca="1" si="1075">+X123+X125</f>
        <v>#DIV/0!</v>
      </c>
      <c r="Y126" s="162" t="e">
        <f t="shared" ca="1" si="1075"/>
        <v>#DIV/0!</v>
      </c>
      <c r="Z126" s="162" t="e">
        <f t="shared" ref="Z126:AA126" ca="1" si="1076">+Z123+Z125</f>
        <v>#DIV/0!</v>
      </c>
      <c r="AA126" s="162" t="e">
        <f t="shared" ca="1" si="1076"/>
        <v>#DIV/0!</v>
      </c>
      <c r="AB126" s="21" t="e">
        <f t="shared" ref="AA126:AD126" ca="1" si="1077">+AB123+AB125</f>
        <v>#DIV/0!</v>
      </c>
      <c r="AC126" s="21" t="e">
        <f t="shared" ca="1" si="1077"/>
        <v>#DIV/0!</v>
      </c>
      <c r="AD126" s="21" t="e">
        <f t="shared" ca="1" si="1077"/>
        <v>#DIV/0!</v>
      </c>
      <c r="AE126" s="21" t="e">
        <f t="shared" ref="AE126" ca="1" si="1078">+AE123+AE125</f>
        <v>#DIV/0!</v>
      </c>
      <c r="AL126" s="162">
        <f t="shared" ref="AL126" si="1079">+AL123+AL125</f>
        <v>3303.672</v>
      </c>
      <c r="AM126" s="162">
        <f t="shared" ref="AM126:AO126" si="1080">+AM123+AM125</f>
        <v>2805.517151166795</v>
      </c>
      <c r="AN126" s="162">
        <f t="shared" si="1080"/>
        <v>2319.7560000000003</v>
      </c>
      <c r="AO126" s="162">
        <f t="shared" si="1080"/>
        <v>3528.7063833489128</v>
      </c>
      <c r="AP126" s="162">
        <f t="shared" ref="AP126:CD126" si="1081">+AP123+AP125</f>
        <v>4825.0779999999995</v>
      </c>
      <c r="AQ126" s="162">
        <f t="shared" si="1081"/>
        <v>7111.3858733123234</v>
      </c>
      <c r="AR126" s="162">
        <f t="shared" si="1081"/>
        <v>8312.2659999999996</v>
      </c>
      <c r="AS126" s="162">
        <f t="shared" si="1081"/>
        <v>8706.4532765957447</v>
      </c>
      <c r="AT126" s="162">
        <f t="shared" si="1081"/>
        <v>9375.0359999999982</v>
      </c>
      <c r="AU126" s="162">
        <f t="shared" si="1081"/>
        <v>11239.861985811795</v>
      </c>
      <c r="AV126" s="162">
        <f t="shared" si="1081"/>
        <v>10422.378000000001</v>
      </c>
      <c r="AW126" s="162">
        <f t="shared" si="1081"/>
        <v>10330.82213169259</v>
      </c>
      <c r="AX126" s="162">
        <f t="shared" si="1081"/>
        <v>10152.07</v>
      </c>
      <c r="AY126" s="162">
        <f t="shared" si="1081"/>
        <v>10805.765248840806</v>
      </c>
      <c r="AZ126" s="162">
        <f t="shared" si="1081"/>
        <v>13042.53</v>
      </c>
      <c r="BA126" s="162">
        <f t="shared" si="1081"/>
        <v>13128.534320909665</v>
      </c>
      <c r="BB126" s="162">
        <f t="shared" si="1081"/>
        <v>13695.661999999998</v>
      </c>
      <c r="BC126" s="162">
        <f t="shared" si="1081"/>
        <v>16458.713053122541</v>
      </c>
      <c r="BD126" s="162">
        <f t="shared" si="1081"/>
        <v>18595.406000000003</v>
      </c>
      <c r="BE126" s="162">
        <f t="shared" si="1081"/>
        <v>22298.209347840766</v>
      </c>
      <c r="BF126" s="162">
        <f t="shared" si="1081"/>
        <v>21336.079999999998</v>
      </c>
      <c r="BG126" s="162">
        <f t="shared" si="1081"/>
        <v>21182.077425887775</v>
      </c>
      <c r="BH126" s="162">
        <f t="shared" si="1081"/>
        <v>21333.149999999998</v>
      </c>
      <c r="BI126" s="162">
        <f t="shared" si="1081"/>
        <v>19723.279681122309</v>
      </c>
      <c r="BJ126" s="162">
        <f t="shared" si="1081"/>
        <v>19761.995999999999</v>
      </c>
      <c r="BK126" s="162">
        <f t="shared" si="1081"/>
        <v>20527.988270113048</v>
      </c>
      <c r="BL126" s="162">
        <f t="shared" si="1081"/>
        <v>21966.21</v>
      </c>
      <c r="BM126" s="162">
        <f t="shared" si="1081"/>
        <v>22605.77397684853</v>
      </c>
      <c r="BN126" s="162">
        <f t="shared" si="1081"/>
        <v>23884.789999999997</v>
      </c>
      <c r="BO126" s="162">
        <f t="shared" si="1081"/>
        <v>18500.445982714642</v>
      </c>
      <c r="BP126" s="162">
        <f t="shared" si="1081"/>
        <v>23544.115999999998</v>
      </c>
      <c r="BQ126" s="162">
        <f t="shared" si="1081"/>
        <v>27998.581800910364</v>
      </c>
      <c r="BR126" s="162">
        <f t="shared" si="1081"/>
        <v>36963.385999999999</v>
      </c>
      <c r="BS126" s="162">
        <f t="shared" si="1081"/>
        <v>36431.89700871153</v>
      </c>
      <c r="BT126" s="162">
        <f t="shared" si="1081"/>
        <v>41657.360000000001</v>
      </c>
      <c r="BU126" s="162">
        <f t="shared" si="1081"/>
        <v>44675.936861463044</v>
      </c>
      <c r="BV126" s="162">
        <f t="shared" si="1081"/>
        <v>43659.487999999998</v>
      </c>
      <c r="BW126" s="162">
        <f t="shared" si="1081"/>
        <v>43843.470347561291</v>
      </c>
      <c r="BX126" s="162">
        <f t="shared" si="1081"/>
        <v>34318.875999999997</v>
      </c>
      <c r="BY126" s="162">
        <f t="shared" si="1081"/>
        <v>30347.568736580783</v>
      </c>
      <c r="BZ126" s="162">
        <f t="shared" si="1081"/>
        <v>30480.609999999997</v>
      </c>
      <c r="CA126" s="162">
        <f t="shared" si="1081"/>
        <v>28382.32975804924</v>
      </c>
      <c r="CB126" s="162">
        <f t="shared" si="1081"/>
        <v>29871.227999999999</v>
      </c>
      <c r="CC126" s="162">
        <f t="shared" si="1081"/>
        <v>32597.416914360481</v>
      </c>
      <c r="CD126" s="162">
        <f t="shared" si="1081"/>
        <v>37037.649999999994</v>
      </c>
      <c r="CE126" s="162">
        <f t="shared" ref="CE126:CF126" si="1082">+CE123+CE125</f>
        <v>50445.741104385568</v>
      </c>
      <c r="CF126" s="162">
        <f t="shared" si="1082"/>
        <v>64246.095999999998</v>
      </c>
      <c r="CG126" s="162">
        <f t="shared" ref="CG126:CH126" si="1083">+CG123+CG125</f>
        <v>62779.052751698087</v>
      </c>
      <c r="CH126" s="162">
        <f t="shared" si="1083"/>
        <v>61303.622000000003</v>
      </c>
      <c r="CI126" s="162">
        <f t="shared" ref="CI126:CJ126" si="1084">+CI123+CI125</f>
        <v>47334.557558289765</v>
      </c>
      <c r="CJ126" s="162">
        <f t="shared" si="1084"/>
        <v>49534.162000000004</v>
      </c>
      <c r="CK126" s="162">
        <f t="shared" ref="CK126:CL126" si="1085">+CK123+CK125</f>
        <v>50347.152244184857</v>
      </c>
      <c r="CL126" s="162">
        <f t="shared" si="1085"/>
        <v>52240.95</v>
      </c>
      <c r="CM126" s="21">
        <f t="shared" ref="CM126:DB126" si="1086">+CM123+CM125</f>
        <v>52091.118239513489</v>
      </c>
      <c r="CN126" s="21">
        <f t="shared" si="1086"/>
        <v>55047.797239294065</v>
      </c>
      <c r="CO126" s="21">
        <f t="shared" si="1086"/>
        <v>54625.787947383069</v>
      </c>
      <c r="CP126" s="21">
        <f t="shared" si="1086"/>
        <v>68839.620525279621</v>
      </c>
      <c r="CQ126" s="21">
        <f t="shared" si="1086"/>
        <v>77064.854762884308</v>
      </c>
      <c r="CR126" s="21">
        <f t="shared" si="1086"/>
        <v>79631.473120966388</v>
      </c>
      <c r="CS126" s="21">
        <f t="shared" si="1086"/>
        <v>82593.695311310541</v>
      </c>
      <c r="CT126" s="21">
        <f t="shared" si="1086"/>
        <v>89098.143935665241</v>
      </c>
      <c r="CU126" s="21">
        <f t="shared" si="1086"/>
        <v>93964.177326942372</v>
      </c>
      <c r="CV126" s="21">
        <f t="shared" si="1086"/>
        <v>95233.201332951227</v>
      </c>
      <c r="CW126" s="21">
        <f t="shared" si="1086"/>
        <v>98529.946553208603</v>
      </c>
      <c r="CX126" s="21">
        <f t="shared" si="1086"/>
        <v>104813.06250878301</v>
      </c>
      <c r="CY126" s="21">
        <f t="shared" si="1086"/>
        <v>109812.9521789791</v>
      </c>
      <c r="CZ126" s="21">
        <f t="shared" si="1086"/>
        <v>110870.63140329489</v>
      </c>
      <c r="DA126" s="21">
        <f t="shared" si="1086"/>
        <v>114683.47501649382</v>
      </c>
      <c r="DB126" s="21">
        <f t="shared" si="1086"/>
        <v>122362.67747749978</v>
      </c>
      <c r="DE126" s="22"/>
      <c r="DF126" s="162">
        <v>57414.731332765827</v>
      </c>
    </row>
    <row r="127" spans="1:110" s="162" customFormat="1" x14ac:dyDescent="0.2">
      <c r="A127" s="49" t="s">
        <v>345</v>
      </c>
      <c r="B127" s="162">
        <f>+B124+B125</f>
        <v>123.357714</v>
      </c>
      <c r="C127" s="162">
        <f t="shared" ref="C127:W127" si="1087">+C124+C125</f>
        <v>27.14073595</v>
      </c>
      <c r="D127" s="162">
        <f t="shared" si="1087"/>
        <v>23.279022399999985</v>
      </c>
      <c r="E127" s="162" t="e">
        <f t="shared" ca="1" si="1087"/>
        <v>#DIV/0!</v>
      </c>
      <c r="F127" s="162" t="e">
        <f t="shared" ca="1" si="1087"/>
        <v>#DIV/0!</v>
      </c>
      <c r="G127" s="162" t="e">
        <f t="shared" ca="1" si="1087"/>
        <v>#DIV/0!</v>
      </c>
      <c r="H127" s="162" t="e">
        <f t="shared" ca="1" si="1087"/>
        <v>#DIV/0!</v>
      </c>
      <c r="I127" s="162" t="e">
        <f t="shared" ca="1" si="1087"/>
        <v>#DIV/0!</v>
      </c>
      <c r="J127" s="162" t="e">
        <f t="shared" ca="1" si="1087"/>
        <v>#DIV/0!</v>
      </c>
      <c r="K127" s="162" t="e">
        <f t="shared" ca="1" si="1087"/>
        <v>#DIV/0!</v>
      </c>
      <c r="L127" s="162" t="e">
        <f t="shared" ca="1" si="1087"/>
        <v>#DIV/0!</v>
      </c>
      <c r="M127" s="162" t="e">
        <f t="shared" ca="1" si="1087"/>
        <v>#DIV/0!</v>
      </c>
      <c r="N127" s="162" t="e">
        <f t="shared" ca="1" si="1087"/>
        <v>#DIV/0!</v>
      </c>
      <c r="O127" s="162" t="e">
        <f t="shared" ca="1" si="1087"/>
        <v>#DIV/0!</v>
      </c>
      <c r="P127" s="162" t="e">
        <f t="shared" ca="1" si="1087"/>
        <v>#DIV/0!</v>
      </c>
      <c r="Q127" s="162" t="e">
        <f t="shared" ca="1" si="1087"/>
        <v>#DIV/0!</v>
      </c>
      <c r="R127" s="162" t="e">
        <f t="shared" ca="1" si="1087"/>
        <v>#DIV/0!</v>
      </c>
      <c r="S127" s="162" t="e">
        <f t="shared" ca="1" si="1087"/>
        <v>#DIV/0!</v>
      </c>
      <c r="T127" s="162" t="e">
        <f t="shared" ca="1" si="1087"/>
        <v>#DIV/0!</v>
      </c>
      <c r="U127" s="162" t="e">
        <f t="shared" ca="1" si="1087"/>
        <v>#DIV/0!</v>
      </c>
      <c r="V127" s="162" t="e">
        <f t="shared" ca="1" si="1087"/>
        <v>#DIV/0!</v>
      </c>
      <c r="W127" s="162" t="e">
        <f t="shared" ca="1" si="1087"/>
        <v>#DIV/0!</v>
      </c>
      <c r="X127" s="162" t="e">
        <f t="shared" ref="X127:Y127" ca="1" si="1088">+X124+X125</f>
        <v>#DIV/0!</v>
      </c>
      <c r="Y127" s="162" t="e">
        <f t="shared" ca="1" si="1088"/>
        <v>#DIV/0!</v>
      </c>
      <c r="Z127" s="162" t="e">
        <f t="shared" ref="Z127:AA127" ca="1" si="1089">+Z124+Z125</f>
        <v>#DIV/0!</v>
      </c>
      <c r="AA127" s="162" t="e">
        <f t="shared" ca="1" si="1089"/>
        <v>#DIV/0!</v>
      </c>
      <c r="AB127" s="21" t="e">
        <f t="shared" ref="AA127:AD127" ca="1" si="1090">+AB124+AB125</f>
        <v>#DIV/0!</v>
      </c>
      <c r="AC127" s="21" t="e">
        <f t="shared" ca="1" si="1090"/>
        <v>#DIV/0!</v>
      </c>
      <c r="AD127" s="21" t="e">
        <f t="shared" ca="1" si="1090"/>
        <v>#DIV/0!</v>
      </c>
      <c r="AE127" s="21" t="e">
        <f t="shared" ref="AE127" ca="1" si="1091">+AE124+AE125</f>
        <v>#DIV/0!</v>
      </c>
      <c r="AL127" s="162">
        <f t="shared" ref="AL127:AM127" si="1092">+AL124+AL125</f>
        <v>2066.4799999999996</v>
      </c>
      <c r="AM127" s="162">
        <f t="shared" si="1092"/>
        <v>2089.3351511667943</v>
      </c>
      <c r="AN127" s="162">
        <f t="shared" ref="AN127:AO127" si="1093">+AN124+AN125</f>
        <v>1525.836</v>
      </c>
      <c r="AO127" s="162">
        <f t="shared" si="1093"/>
        <v>1858.1663833489129</v>
      </c>
      <c r="AP127" s="162">
        <f t="shared" ref="AP127:CD127" si="1094">+AP124+AP125</f>
        <v>2598.7939999999999</v>
      </c>
      <c r="AQ127" s="162">
        <f t="shared" si="1094"/>
        <v>4314.4718733123236</v>
      </c>
      <c r="AR127" s="162">
        <f t="shared" si="1094"/>
        <v>5386.34</v>
      </c>
      <c r="AS127" s="162">
        <f t="shared" si="1094"/>
        <v>6476.8612765957441</v>
      </c>
      <c r="AT127" s="162">
        <f t="shared" si="1094"/>
        <v>6912.23</v>
      </c>
      <c r="AU127" s="162">
        <f t="shared" si="1094"/>
        <v>7892.1659858117946</v>
      </c>
      <c r="AV127" s="162">
        <f t="shared" si="1094"/>
        <v>7539.4559999999992</v>
      </c>
      <c r="AW127" s="162">
        <f t="shared" si="1094"/>
        <v>7924.2521316925904</v>
      </c>
      <c r="AX127" s="162">
        <f t="shared" si="1094"/>
        <v>6404.1059999999989</v>
      </c>
      <c r="AY127" s="162">
        <f t="shared" si="1094"/>
        <v>8083.2812488408044</v>
      </c>
      <c r="AZ127" s="162">
        <f t="shared" si="1094"/>
        <v>10065.33</v>
      </c>
      <c r="BA127" s="162">
        <f t="shared" si="1094"/>
        <v>9192.0143209096641</v>
      </c>
      <c r="BB127" s="162">
        <f t="shared" si="1094"/>
        <v>10261.957999999999</v>
      </c>
      <c r="BC127" s="162">
        <f t="shared" si="1094"/>
        <v>12707.441053122539</v>
      </c>
      <c r="BD127" s="162">
        <f t="shared" si="1094"/>
        <v>14632.421999999999</v>
      </c>
      <c r="BE127" s="162">
        <f t="shared" si="1094"/>
        <v>16773.849347840765</v>
      </c>
      <c r="BF127" s="162">
        <f t="shared" si="1094"/>
        <v>17626.157999999999</v>
      </c>
      <c r="BG127" s="162">
        <f t="shared" si="1094"/>
        <v>15520.435425887774</v>
      </c>
      <c r="BH127" s="162">
        <f t="shared" si="1094"/>
        <v>17150.183999999997</v>
      </c>
      <c r="BI127" s="162">
        <f t="shared" si="1094"/>
        <v>15788.413681122303</v>
      </c>
      <c r="BJ127" s="162">
        <f t="shared" si="1094"/>
        <v>15352.431999999999</v>
      </c>
      <c r="BK127" s="162">
        <f t="shared" si="1094"/>
        <v>16505.460270113046</v>
      </c>
      <c r="BL127" s="162">
        <f t="shared" si="1094"/>
        <v>17101.795999999998</v>
      </c>
      <c r="BM127" s="162">
        <f t="shared" si="1094"/>
        <v>19744.353976848532</v>
      </c>
      <c r="BN127" s="162">
        <f t="shared" si="1094"/>
        <v>14248.585999999998</v>
      </c>
      <c r="BO127" s="162">
        <f t="shared" si="1094"/>
        <v>13235.763982714645</v>
      </c>
      <c r="BP127" s="162">
        <f t="shared" si="1094"/>
        <v>17447.471999999998</v>
      </c>
      <c r="BQ127" s="162">
        <f t="shared" si="1094"/>
        <v>21766.309800910363</v>
      </c>
      <c r="BR127" s="162">
        <f t="shared" si="1094"/>
        <v>26744.973999999998</v>
      </c>
      <c r="BS127" s="162">
        <f t="shared" si="1094"/>
        <v>29587.645008711523</v>
      </c>
      <c r="BT127" s="162">
        <f t="shared" si="1094"/>
        <v>31409.175999999999</v>
      </c>
      <c r="BU127" s="162">
        <f t="shared" si="1094"/>
        <v>37221.358861463043</v>
      </c>
      <c r="BV127" s="162">
        <f t="shared" si="1094"/>
        <v>35735.173999999999</v>
      </c>
      <c r="BW127" s="162">
        <f t="shared" si="1094"/>
        <v>29809.280347561293</v>
      </c>
      <c r="BX127" s="162">
        <f t="shared" si="1094"/>
        <v>27876.546000000002</v>
      </c>
      <c r="BY127" s="162">
        <f t="shared" si="1094"/>
        <v>24886.060736580785</v>
      </c>
      <c r="BZ127" s="162">
        <f t="shared" si="1094"/>
        <v>24000.238000000001</v>
      </c>
      <c r="CA127" s="162">
        <f t="shared" si="1094"/>
        <v>24316.797758049241</v>
      </c>
      <c r="CB127" s="162">
        <f t="shared" si="1094"/>
        <v>24277.399999999998</v>
      </c>
      <c r="CC127" s="162">
        <f t="shared" si="1094"/>
        <v>26441.228914360483</v>
      </c>
      <c r="CD127" s="162">
        <f t="shared" si="1094"/>
        <v>31382.623999999996</v>
      </c>
      <c r="CE127" s="162">
        <f t="shared" ref="CE127:CF127" si="1095">+CE124+CE125</f>
        <v>35642.441104385565</v>
      </c>
      <c r="CF127" s="162">
        <f t="shared" si="1095"/>
        <v>46291.925999999999</v>
      </c>
      <c r="CG127" s="162">
        <f t="shared" ref="CG127:CH127" si="1096">+CG124+CG125</f>
        <v>53400.872751698087</v>
      </c>
      <c r="CH127" s="162">
        <f t="shared" si="1096"/>
        <v>37350.394</v>
      </c>
      <c r="CI127" s="162">
        <f t="shared" ref="CI127:CJ127" si="1097">+CI124+CI125</f>
        <v>37979.533558289768</v>
      </c>
      <c r="CJ127" s="162">
        <f t="shared" si="1097"/>
        <v>40678.646000000001</v>
      </c>
      <c r="CK127" s="162">
        <f t="shared" ref="CK127:CL127" si="1098">+CK124+CK125</f>
        <v>44543.266244184859</v>
      </c>
      <c r="CL127" s="162">
        <f t="shared" si="1098"/>
        <v>40348.689999999995</v>
      </c>
      <c r="CM127" s="21">
        <f t="shared" ref="CM127:DB127" si="1099">+CM124+CM125</f>
        <v>40175.051031759314</v>
      </c>
      <c r="CN127" s="21">
        <f t="shared" si="1099"/>
        <v>42198.622894303175</v>
      </c>
      <c r="CO127" s="21">
        <f t="shared" si="1099"/>
        <v>41953.025479204916</v>
      </c>
      <c r="CP127" s="21">
        <f t="shared" si="1099"/>
        <v>53157.56558130512</v>
      </c>
      <c r="CQ127" s="21">
        <f t="shared" si="1099"/>
        <v>59407.23302501977</v>
      </c>
      <c r="CR127" s="21">
        <f t="shared" si="1099"/>
        <v>61086.916755813822</v>
      </c>
      <c r="CS127" s="21">
        <f t="shared" si="1099"/>
        <v>63468.974346374431</v>
      </c>
      <c r="CT127" s="21">
        <f t="shared" si="1099"/>
        <v>68748.387731825263</v>
      </c>
      <c r="CU127" s="21">
        <f t="shared" si="1099"/>
        <v>72385.085445853634</v>
      </c>
      <c r="CV127" s="21">
        <f t="shared" si="1099"/>
        <v>73016.020153426041</v>
      </c>
      <c r="CW127" s="21">
        <f t="shared" si="1099"/>
        <v>75670.996281205473</v>
      </c>
      <c r="CX127" s="21">
        <f t="shared" si="1099"/>
        <v>80818.553447442871</v>
      </c>
      <c r="CY127" s="21">
        <f t="shared" si="1099"/>
        <v>84539.917009412136</v>
      </c>
      <c r="CZ127" s="21">
        <f t="shared" si="1099"/>
        <v>84955.19464505084</v>
      </c>
      <c r="DA127" s="21">
        <f t="shared" si="1099"/>
        <v>88025.419527580234</v>
      </c>
      <c r="DB127" s="21">
        <f t="shared" si="1099"/>
        <v>94295.970461153105</v>
      </c>
      <c r="DE127" s="22"/>
      <c r="DF127" s="162">
        <v>45522.471332765825</v>
      </c>
    </row>
    <row r="128" spans="1:110" s="162" customFormat="1" x14ac:dyDescent="0.2">
      <c r="A128" s="49" t="s">
        <v>13</v>
      </c>
      <c r="B128" s="162">
        <f t="shared" ref="B128:AE128" si="1100">+B44</f>
        <v>27.489599999999982</v>
      </c>
      <c r="C128" s="162">
        <f t="shared" si="1100"/>
        <v>22.230499999999893</v>
      </c>
      <c r="D128" s="162">
        <f t="shared" si="1100"/>
        <v>34.868400000000094</v>
      </c>
      <c r="E128" s="162">
        <f t="shared" si="1100"/>
        <v>41.011799999999937</v>
      </c>
      <c r="F128" s="162">
        <f t="shared" si="1100"/>
        <v>52.776499999999999</v>
      </c>
      <c r="G128" s="162">
        <f t="shared" si="1100"/>
        <v>111.57999999999987</v>
      </c>
      <c r="H128" s="162">
        <f t="shared" si="1100"/>
        <v>128.06730000000016</v>
      </c>
      <c r="I128" s="162">
        <f t="shared" si="1100"/>
        <v>253.00190000000009</v>
      </c>
      <c r="J128" s="162">
        <f t="shared" si="1100"/>
        <v>283.0550999999997</v>
      </c>
      <c r="K128" s="162">
        <f t="shared" si="1100"/>
        <v>459.57070000000101</v>
      </c>
      <c r="L128" s="162">
        <f t="shared" si="1100"/>
        <v>454.97679999999946</v>
      </c>
      <c r="M128" s="162">
        <f t="shared" si="1100"/>
        <v>336.46939999999995</v>
      </c>
      <c r="N128" s="162">
        <f t="shared" si="1100"/>
        <v>238.01089999999976</v>
      </c>
      <c r="O128" s="162">
        <f t="shared" si="1100"/>
        <v>265.6115999999995</v>
      </c>
      <c r="P128" s="162">
        <f t="shared" si="1100"/>
        <v>410.03779999999961</v>
      </c>
      <c r="Q128" s="162">
        <f t="shared" si="1100"/>
        <v>432.96160000000032</v>
      </c>
      <c r="R128" s="162">
        <f t="shared" si="1100"/>
        <v>566.88999999999987</v>
      </c>
      <c r="S128" s="162">
        <f t="shared" si="1100"/>
        <v>651.65000000000055</v>
      </c>
      <c r="T128" s="162">
        <f t="shared" si="1100"/>
        <v>600.54000000000019</v>
      </c>
      <c r="U128" s="162">
        <f t="shared" si="1100"/>
        <v>685.9500000000005</v>
      </c>
      <c r="V128" s="162">
        <f t="shared" si="1100"/>
        <v>641.35999999999967</v>
      </c>
      <c r="W128" s="162">
        <f t="shared" si="1100"/>
        <v>681.54999999999973</v>
      </c>
      <c r="X128" s="162">
        <f t="shared" si="1100"/>
        <v>572.37000000000103</v>
      </c>
      <c r="Y128" s="162">
        <f t="shared" si="1100"/>
        <v>472.87999999999829</v>
      </c>
      <c r="Z128" s="162">
        <f t="shared" si="1100"/>
        <v>1116.1800000000017</v>
      </c>
      <c r="AA128" s="162">
        <f t="shared" ref="AA128" si="1101">+AA44</f>
        <v>602.09999999999945</v>
      </c>
      <c r="AB128" s="21">
        <f t="shared" si="1100"/>
        <v>1049.4074849336657</v>
      </c>
      <c r="AC128" s="21">
        <f t="shared" si="1100"/>
        <v>1300.254766340167</v>
      </c>
      <c r="AD128" s="21">
        <f t="shared" si="1100"/>
        <v>1501.661535913101</v>
      </c>
      <c r="AE128" s="21">
        <f t="shared" si="1100"/>
        <v>1729.119554284649</v>
      </c>
      <c r="AL128" s="162">
        <f t="shared" ref="AL128:BQ128" si="1102">+SUM(AI44:AL44)</f>
        <v>243.94000000000011</v>
      </c>
      <c r="AM128" s="162">
        <f t="shared" si="1102"/>
        <v>200.5</v>
      </c>
      <c r="AN128" s="162">
        <f t="shared" si="1102"/>
        <v>198.79000000000013</v>
      </c>
      <c r="AO128" s="162">
        <f t="shared" si="1102"/>
        <v>242.03000000000014</v>
      </c>
      <c r="AP128" s="162">
        <f t="shared" si="1102"/>
        <v>265.60999999999984</v>
      </c>
      <c r="AQ128" s="162">
        <f t="shared" si="1102"/>
        <v>347.0299999999998</v>
      </c>
      <c r="AR128" s="162">
        <f t="shared" si="1102"/>
        <v>382.49999999999966</v>
      </c>
      <c r="AS128" s="162">
        <f t="shared" si="1102"/>
        <v>372.39999999999964</v>
      </c>
      <c r="AT128" s="162">
        <f t="shared" si="1102"/>
        <v>410.03999999999985</v>
      </c>
      <c r="AU128" s="162">
        <f t="shared" si="1102"/>
        <v>409.44999999999982</v>
      </c>
      <c r="AV128" s="162">
        <f t="shared" si="1102"/>
        <v>396.23</v>
      </c>
      <c r="AW128" s="162">
        <f t="shared" si="1102"/>
        <v>395.12999999999982</v>
      </c>
      <c r="AX128" s="162">
        <f t="shared" si="1102"/>
        <v>432.95999999999992</v>
      </c>
      <c r="AY128" s="162">
        <f t="shared" si="1102"/>
        <v>501.19999999999982</v>
      </c>
      <c r="AZ128" s="162">
        <f t="shared" si="1102"/>
        <v>505.34999999999957</v>
      </c>
      <c r="BA128" s="162">
        <f t="shared" si="1102"/>
        <v>538.00999999999976</v>
      </c>
      <c r="BB128" s="162">
        <f t="shared" si="1102"/>
        <v>578.33999999999992</v>
      </c>
      <c r="BC128" s="162">
        <f t="shared" si="1102"/>
        <v>587.12999999999988</v>
      </c>
      <c r="BD128" s="162">
        <f t="shared" si="1102"/>
        <v>605.42000000000007</v>
      </c>
      <c r="BE128" s="162">
        <f t="shared" si="1102"/>
        <v>630.6500000000002</v>
      </c>
      <c r="BF128" s="162">
        <f t="shared" si="1102"/>
        <v>662.6400000000001</v>
      </c>
      <c r="BG128" s="162">
        <f t="shared" si="1102"/>
        <v>697.5</v>
      </c>
      <c r="BH128" s="162">
        <f t="shared" si="1102"/>
        <v>719.08</v>
      </c>
      <c r="BI128" s="162">
        <f t="shared" si="1102"/>
        <v>720.56000000000017</v>
      </c>
      <c r="BJ128" s="162">
        <f t="shared" si="1102"/>
        <v>611.70999999999981</v>
      </c>
      <c r="BK128" s="162">
        <f t="shared" si="1102"/>
        <v>659.72999999999979</v>
      </c>
      <c r="BL128" s="162">
        <f t="shared" si="1102"/>
        <v>657.07</v>
      </c>
      <c r="BM128" s="162">
        <f t="shared" si="1102"/>
        <v>638.94999999999993</v>
      </c>
      <c r="BN128" s="162">
        <f t="shared" si="1102"/>
        <v>686.6599999999994</v>
      </c>
      <c r="BO128" s="162">
        <f t="shared" si="1102"/>
        <v>462.19999999999959</v>
      </c>
      <c r="BP128" s="162">
        <f t="shared" si="1102"/>
        <v>454.30999999999938</v>
      </c>
      <c r="BQ128" s="162">
        <f t="shared" si="1102"/>
        <v>502.6499999999993</v>
      </c>
      <c r="BR128" s="162">
        <f t="shared" ref="BR128:CW128" si="1103">+SUM(BO44:BR44)</f>
        <v>641.36000000000035</v>
      </c>
      <c r="BS128" s="162">
        <f t="shared" si="1103"/>
        <v>710.3900000000001</v>
      </c>
      <c r="BT128" s="162">
        <f t="shared" si="1103"/>
        <v>741.52000000000021</v>
      </c>
      <c r="BU128" s="162">
        <f t="shared" si="1103"/>
        <v>751.27</v>
      </c>
      <c r="BV128" s="162">
        <f t="shared" si="1103"/>
        <v>681.5499999999995</v>
      </c>
      <c r="BW128" s="162">
        <f t="shared" si="1103"/>
        <v>722.75999999999988</v>
      </c>
      <c r="BX128" s="162">
        <f t="shared" si="1103"/>
        <v>694.47999999999956</v>
      </c>
      <c r="BY128" s="162">
        <f t="shared" si="1103"/>
        <v>615.20999999999981</v>
      </c>
      <c r="BZ128" s="162">
        <f t="shared" si="1103"/>
        <v>572.37000000000012</v>
      </c>
      <c r="CA128" s="162">
        <f t="shared" si="1103"/>
        <v>580.73</v>
      </c>
      <c r="CB128" s="162">
        <f t="shared" si="1103"/>
        <v>550.15999999999985</v>
      </c>
      <c r="CC128" s="162">
        <f t="shared" si="1103"/>
        <v>502.21000000000009</v>
      </c>
      <c r="CD128" s="162">
        <f t="shared" si="1103"/>
        <v>474.62000000000012</v>
      </c>
      <c r="CE128" s="162">
        <f t="shared" si="1103"/>
        <v>713.06999999999914</v>
      </c>
      <c r="CF128" s="162">
        <f t="shared" si="1103"/>
        <v>805.00999999999931</v>
      </c>
      <c r="CG128" s="162">
        <f t="shared" si="1103"/>
        <v>973.97999999999956</v>
      </c>
      <c r="CH128" s="162">
        <f t="shared" si="1103"/>
        <v>1116.1799999999994</v>
      </c>
      <c r="CI128" s="162">
        <f t="shared" si="1103"/>
        <v>870.91</v>
      </c>
      <c r="CJ128" s="162">
        <f t="shared" si="1103"/>
        <v>779.10999999999933</v>
      </c>
      <c r="CK128" s="162">
        <f t="shared" si="1103"/>
        <v>759.0099999999992</v>
      </c>
      <c r="CL128" s="162">
        <f t="shared" si="1103"/>
        <v>646.89999999999907</v>
      </c>
      <c r="CM128" s="21">
        <f t="shared" si="1103"/>
        <v>728.31302456655453</v>
      </c>
      <c r="CN128" s="21">
        <f t="shared" si="1103"/>
        <v>820.31764307988067</v>
      </c>
      <c r="CO128" s="21">
        <f t="shared" si="1103"/>
        <v>880.93077470051117</v>
      </c>
      <c r="CP128" s="21">
        <f t="shared" si="1103"/>
        <v>1049.4074849336641</v>
      </c>
      <c r="CQ128" s="21">
        <f t="shared" si="1103"/>
        <v>1140.1616845292876</v>
      </c>
      <c r="CR128" s="21">
        <f t="shared" si="1103"/>
        <v>1188.5412768820479</v>
      </c>
      <c r="CS128" s="21">
        <f t="shared" si="1103"/>
        <v>1234.1703055683445</v>
      </c>
      <c r="CT128" s="21">
        <f t="shared" si="1103"/>
        <v>1300.2547663401654</v>
      </c>
      <c r="CU128" s="21">
        <f t="shared" si="1103"/>
        <v>1362.0830588018539</v>
      </c>
      <c r="CV128" s="21">
        <f t="shared" si="1103"/>
        <v>1398.5206281049068</v>
      </c>
      <c r="CW128" s="21">
        <f t="shared" si="1103"/>
        <v>1439.9935851460073</v>
      </c>
      <c r="CX128" s="21">
        <f t="shared" ref="CX128:DB128" si="1104">+SUM(CU44:CX44)</f>
        <v>1501.6615359131038</v>
      </c>
      <c r="CY128" s="21">
        <f t="shared" si="1104"/>
        <v>1566.5939977069352</v>
      </c>
      <c r="CZ128" s="21">
        <f t="shared" si="1104"/>
        <v>1604.3732179785263</v>
      </c>
      <c r="DA128" s="21">
        <f t="shared" si="1104"/>
        <v>1652.4473383876439</v>
      </c>
      <c r="DB128" s="21">
        <f t="shared" si="1104"/>
        <v>1729.1195542846476</v>
      </c>
      <c r="DE128" s="22"/>
      <c r="DF128" s="162">
        <v>791.46308483341159</v>
      </c>
    </row>
    <row r="129" spans="1:110" s="162" customFormat="1" x14ac:dyDescent="0.2">
      <c r="A129" s="49" t="s">
        <v>343</v>
      </c>
      <c r="B129" s="162">
        <f>+B126/B128</f>
        <v>4.8962531284558564</v>
      </c>
      <c r="C129" s="162">
        <f t="shared" ref="C129:W129" si="1105">+C126/C128</f>
        <v>1.5992871730280549</v>
      </c>
      <c r="D129" s="162">
        <f t="shared" si="1105"/>
        <v>0.89418798969840596</v>
      </c>
      <c r="E129" s="162" t="e">
        <f t="shared" ca="1" si="1105"/>
        <v>#DIV/0!</v>
      </c>
      <c r="F129" s="162" t="e">
        <f t="shared" ca="1" si="1105"/>
        <v>#DIV/0!</v>
      </c>
      <c r="G129" s="162" t="e">
        <f t="shared" ca="1" si="1105"/>
        <v>#DIV/0!</v>
      </c>
      <c r="H129" s="162" t="e">
        <f t="shared" ca="1" si="1105"/>
        <v>#DIV/0!</v>
      </c>
      <c r="I129" s="162" t="e">
        <f t="shared" ca="1" si="1105"/>
        <v>#DIV/0!</v>
      </c>
      <c r="J129" s="162" t="e">
        <f t="shared" ca="1" si="1105"/>
        <v>#DIV/0!</v>
      </c>
      <c r="K129" s="162" t="e">
        <f t="shared" ca="1" si="1105"/>
        <v>#DIV/0!</v>
      </c>
      <c r="L129" s="162" t="e">
        <f t="shared" ca="1" si="1105"/>
        <v>#DIV/0!</v>
      </c>
      <c r="M129" s="162" t="e">
        <f t="shared" ca="1" si="1105"/>
        <v>#DIV/0!</v>
      </c>
      <c r="N129" s="162" t="e">
        <f t="shared" ca="1" si="1105"/>
        <v>#DIV/0!</v>
      </c>
      <c r="O129" s="162" t="e">
        <f t="shared" ca="1" si="1105"/>
        <v>#DIV/0!</v>
      </c>
      <c r="P129" s="162" t="e">
        <f t="shared" ca="1" si="1105"/>
        <v>#DIV/0!</v>
      </c>
      <c r="Q129" s="162" t="e">
        <f t="shared" ca="1" si="1105"/>
        <v>#DIV/0!</v>
      </c>
      <c r="R129" s="162" t="e">
        <f t="shared" ca="1" si="1105"/>
        <v>#DIV/0!</v>
      </c>
      <c r="S129" s="162" t="e">
        <f t="shared" ca="1" si="1105"/>
        <v>#DIV/0!</v>
      </c>
      <c r="T129" s="162" t="e">
        <f t="shared" ca="1" si="1105"/>
        <v>#DIV/0!</v>
      </c>
      <c r="U129" s="162" t="e">
        <f t="shared" ca="1" si="1105"/>
        <v>#DIV/0!</v>
      </c>
      <c r="V129" s="162" t="e">
        <f t="shared" ca="1" si="1105"/>
        <v>#DIV/0!</v>
      </c>
      <c r="W129" s="162" t="e">
        <f t="shared" ca="1" si="1105"/>
        <v>#DIV/0!</v>
      </c>
      <c r="X129" s="162" t="e">
        <f t="shared" ref="X129:Y129" ca="1" si="1106">+X126/X128</f>
        <v>#DIV/0!</v>
      </c>
      <c r="Y129" s="162" t="e">
        <f t="shared" ca="1" si="1106"/>
        <v>#DIV/0!</v>
      </c>
      <c r="Z129" s="162" t="e">
        <f t="shared" ref="Z129:AA129" ca="1" si="1107">+Z126/Z128</f>
        <v>#DIV/0!</v>
      </c>
      <c r="AA129" s="162" t="e">
        <f t="shared" ca="1" si="1107"/>
        <v>#DIV/0!</v>
      </c>
      <c r="AB129" s="21" t="e">
        <f t="shared" ref="AA129:AD129" ca="1" si="1108">+AB126/AB128</f>
        <v>#DIV/0!</v>
      </c>
      <c r="AC129" s="21" t="e">
        <f t="shared" ca="1" si="1108"/>
        <v>#DIV/0!</v>
      </c>
      <c r="AD129" s="21" t="e">
        <f t="shared" ca="1" si="1108"/>
        <v>#DIV/0!</v>
      </c>
      <c r="AE129" s="21" t="e">
        <f t="shared" ref="AE129" ca="1" si="1109">+AE126/AE128</f>
        <v>#DIV/0!</v>
      </c>
      <c r="AL129" s="162">
        <f t="shared" ref="AL129" si="1110">+AL126/AL128</f>
        <v>13.542969582684261</v>
      </c>
      <c r="AM129" s="162">
        <f t="shared" ref="AM129:AO129" si="1111">+AM126/AM128</f>
        <v>13.992604245220923</v>
      </c>
      <c r="AN129" s="162">
        <f t="shared" si="1111"/>
        <v>11.669379747472201</v>
      </c>
      <c r="AO129" s="162">
        <f t="shared" si="1111"/>
        <v>14.579623944754413</v>
      </c>
      <c r="AP129" s="162">
        <f t="shared" ref="AP129:CD129" si="1112">+AP126/AP128</f>
        <v>18.166025375550628</v>
      </c>
      <c r="AQ129" s="162">
        <f t="shared" si="1112"/>
        <v>20.492135761497067</v>
      </c>
      <c r="AR129" s="162">
        <f t="shared" si="1112"/>
        <v>21.731414379084985</v>
      </c>
      <c r="AS129" s="162">
        <f t="shared" si="1112"/>
        <v>23.379305254016522</v>
      </c>
      <c r="AT129" s="162">
        <f t="shared" si="1112"/>
        <v>22.863710857477322</v>
      </c>
      <c r="AU129" s="162">
        <f t="shared" si="1112"/>
        <v>27.45112220249554</v>
      </c>
      <c r="AV129" s="162">
        <f t="shared" si="1112"/>
        <v>26.30385886984832</v>
      </c>
      <c r="AW129" s="162">
        <f t="shared" si="1112"/>
        <v>26.145375273182484</v>
      </c>
      <c r="AX129" s="162">
        <f t="shared" si="1112"/>
        <v>23.448055247597935</v>
      </c>
      <c r="AY129" s="162">
        <f t="shared" si="1112"/>
        <v>21.559787008860354</v>
      </c>
      <c r="AZ129" s="162">
        <f t="shared" si="1112"/>
        <v>25.80890471950136</v>
      </c>
      <c r="BA129" s="162">
        <f t="shared" si="1112"/>
        <v>24.402026581122414</v>
      </c>
      <c r="BB129" s="162">
        <f t="shared" si="1112"/>
        <v>23.680986962686308</v>
      </c>
      <c r="BC129" s="162">
        <f t="shared" si="1112"/>
        <v>28.032485230055599</v>
      </c>
      <c r="BD129" s="162">
        <f t="shared" si="1112"/>
        <v>30.714885534009447</v>
      </c>
      <c r="BE129" s="162">
        <f t="shared" si="1112"/>
        <v>35.357503128265691</v>
      </c>
      <c r="BF129" s="162">
        <f t="shared" si="1112"/>
        <v>32.198599541229015</v>
      </c>
      <c r="BG129" s="162">
        <f t="shared" si="1112"/>
        <v>30.368569786219034</v>
      </c>
      <c r="BH129" s="162">
        <f t="shared" si="1112"/>
        <v>29.667283195193853</v>
      </c>
      <c r="BI129" s="162">
        <f t="shared" si="1112"/>
        <v>27.372154548021406</v>
      </c>
      <c r="BJ129" s="162">
        <f t="shared" si="1112"/>
        <v>32.30615160778801</v>
      </c>
      <c r="BK129" s="162">
        <f t="shared" si="1112"/>
        <v>31.115741697532407</v>
      </c>
      <c r="BL129" s="162">
        <f t="shared" si="1112"/>
        <v>33.430547734640143</v>
      </c>
      <c r="BM129" s="162">
        <f t="shared" si="1112"/>
        <v>35.379566440016482</v>
      </c>
      <c r="BN129" s="162">
        <f t="shared" si="1112"/>
        <v>34.784012466140474</v>
      </c>
      <c r="BO129" s="162">
        <f t="shared" si="1112"/>
        <v>40.026927699512456</v>
      </c>
      <c r="BP129" s="162">
        <f t="shared" si="1112"/>
        <v>51.823899980189807</v>
      </c>
      <c r="BQ129" s="162">
        <f t="shared" si="1112"/>
        <v>55.701943302318519</v>
      </c>
      <c r="BR129" s="162">
        <f t="shared" si="1112"/>
        <v>57.632820880628628</v>
      </c>
      <c r="BS129" s="162">
        <f t="shared" si="1112"/>
        <v>51.284360715538682</v>
      </c>
      <c r="BT129" s="162">
        <f t="shared" si="1112"/>
        <v>56.178336390117579</v>
      </c>
      <c r="BU129" s="162">
        <f t="shared" si="1112"/>
        <v>59.467217992816224</v>
      </c>
      <c r="BV129" s="162">
        <f t="shared" si="1112"/>
        <v>64.059112317511591</v>
      </c>
      <c r="BW129" s="162">
        <f t="shared" si="1112"/>
        <v>60.661174314518369</v>
      </c>
      <c r="BX129" s="162">
        <f t="shared" si="1112"/>
        <v>49.416651307453087</v>
      </c>
      <c r="BY129" s="162">
        <f t="shared" si="1112"/>
        <v>49.328796242877701</v>
      </c>
      <c r="BZ129" s="162">
        <f t="shared" si="1112"/>
        <v>53.253332634484671</v>
      </c>
      <c r="CA129" s="162">
        <f t="shared" si="1112"/>
        <v>48.873538060801472</v>
      </c>
      <c r="CB129" s="162">
        <f t="shared" si="1112"/>
        <v>54.295528573505905</v>
      </c>
      <c r="CC129" s="162">
        <f t="shared" si="1112"/>
        <v>64.907940730691294</v>
      </c>
      <c r="CD129" s="162">
        <f t="shared" si="1112"/>
        <v>78.036429143314621</v>
      </c>
      <c r="CE129" s="162">
        <f t="shared" ref="CE129:CF129" si="1113">+CE126/CE128</f>
        <v>70.744444590833481</v>
      </c>
      <c r="CF129" s="162">
        <f t="shared" si="1113"/>
        <v>79.807823505298131</v>
      </c>
      <c r="CG129" s="162">
        <f t="shared" ref="CG129:CH129" si="1114">+CG126/CG128</f>
        <v>64.456203157865787</v>
      </c>
      <c r="CH129" s="162">
        <f t="shared" si="1114"/>
        <v>54.922702431507496</v>
      </c>
      <c r="CI129" s="162">
        <f t="shared" ref="CI129:CJ129" si="1115">+CI126/CI128</f>
        <v>54.350687853268155</v>
      </c>
      <c r="CJ129" s="162">
        <f t="shared" si="1115"/>
        <v>63.577879888590886</v>
      </c>
      <c r="CK129" s="162">
        <f t="shared" ref="CK129:CL129" si="1116">+CK126/CK128</f>
        <v>66.332659970467986</v>
      </c>
      <c r="CL129" s="162">
        <f t="shared" si="1116"/>
        <v>80.755835523264906</v>
      </c>
      <c r="CM129" s="21">
        <f t="shared" ref="CM129:DB129" si="1117">+CM126/CM128</f>
        <v>71.522980480151105</v>
      </c>
      <c r="CN129" s="21">
        <f t="shared" si="1117"/>
        <v>67.10546542997325</v>
      </c>
      <c r="CO129" s="21">
        <f t="shared" si="1117"/>
        <v>62.009172021438488</v>
      </c>
      <c r="CP129" s="21">
        <f t="shared" si="1117"/>
        <v>65.598560629316609</v>
      </c>
      <c r="CQ129" s="21">
        <f t="shared" si="1117"/>
        <v>67.591163436350968</v>
      </c>
      <c r="CR129" s="21">
        <f t="shared" si="1117"/>
        <v>66.999333275043753</v>
      </c>
      <c r="CS129" s="21">
        <f t="shared" si="1117"/>
        <v>66.922445742425751</v>
      </c>
      <c r="CT129" s="21">
        <f t="shared" si="1117"/>
        <v>68.523604944322031</v>
      </c>
      <c r="CU129" s="21">
        <f t="shared" si="1117"/>
        <v>68.985644245217514</v>
      </c>
      <c r="CV129" s="21">
        <f t="shared" si="1117"/>
        <v>68.095671539717557</v>
      </c>
      <c r="CW129" s="21">
        <f t="shared" si="1117"/>
        <v>68.423878807222749</v>
      </c>
      <c r="CX129" s="21">
        <f t="shared" si="1117"/>
        <v>69.798060349897781</v>
      </c>
      <c r="CY129" s="21">
        <f t="shared" si="1117"/>
        <v>70.096625124132487</v>
      </c>
      <c r="CZ129" s="21">
        <f t="shared" si="1117"/>
        <v>69.105261893482208</v>
      </c>
      <c r="DA129" s="21">
        <f t="shared" si="1117"/>
        <v>69.402196579768088</v>
      </c>
      <c r="DB129" s="21">
        <f t="shared" si="1117"/>
        <v>70.765886126435205</v>
      </c>
      <c r="DE129" s="22"/>
      <c r="DF129" s="162">
        <v>72.542525902961813</v>
      </c>
    </row>
    <row r="130" spans="1:110" s="162" customFormat="1" x14ac:dyDescent="0.2">
      <c r="A130" s="49" t="s">
        <v>344</v>
      </c>
      <c r="B130" s="162">
        <f>+B127/B128</f>
        <v>4.4874321197834846</v>
      </c>
      <c r="C130" s="162">
        <f t="shared" ref="C130:W130" si="1118">+C127/C128</f>
        <v>1.2208783405681443</v>
      </c>
      <c r="D130" s="162">
        <f t="shared" si="1118"/>
        <v>0.6676251964529466</v>
      </c>
      <c r="E130" s="162" t="e">
        <f t="shared" ca="1" si="1118"/>
        <v>#DIV/0!</v>
      </c>
      <c r="F130" s="162" t="e">
        <f t="shared" ca="1" si="1118"/>
        <v>#DIV/0!</v>
      </c>
      <c r="G130" s="162" t="e">
        <f t="shared" ca="1" si="1118"/>
        <v>#DIV/0!</v>
      </c>
      <c r="H130" s="162" t="e">
        <f t="shared" ca="1" si="1118"/>
        <v>#DIV/0!</v>
      </c>
      <c r="I130" s="162" t="e">
        <f t="shared" ca="1" si="1118"/>
        <v>#DIV/0!</v>
      </c>
      <c r="J130" s="162" t="e">
        <f t="shared" ca="1" si="1118"/>
        <v>#DIV/0!</v>
      </c>
      <c r="K130" s="162" t="e">
        <f t="shared" ca="1" si="1118"/>
        <v>#DIV/0!</v>
      </c>
      <c r="L130" s="162" t="e">
        <f t="shared" ca="1" si="1118"/>
        <v>#DIV/0!</v>
      </c>
      <c r="M130" s="162" t="e">
        <f t="shared" ca="1" si="1118"/>
        <v>#DIV/0!</v>
      </c>
      <c r="N130" s="162" t="e">
        <f t="shared" ca="1" si="1118"/>
        <v>#DIV/0!</v>
      </c>
      <c r="O130" s="162" t="e">
        <f t="shared" ca="1" si="1118"/>
        <v>#DIV/0!</v>
      </c>
      <c r="P130" s="162" t="e">
        <f t="shared" ca="1" si="1118"/>
        <v>#DIV/0!</v>
      </c>
      <c r="Q130" s="162" t="e">
        <f t="shared" ca="1" si="1118"/>
        <v>#DIV/0!</v>
      </c>
      <c r="R130" s="162" t="e">
        <f t="shared" ca="1" si="1118"/>
        <v>#DIV/0!</v>
      </c>
      <c r="S130" s="162" t="e">
        <f t="shared" ca="1" si="1118"/>
        <v>#DIV/0!</v>
      </c>
      <c r="T130" s="162" t="e">
        <f t="shared" ca="1" si="1118"/>
        <v>#DIV/0!</v>
      </c>
      <c r="U130" s="162" t="e">
        <f t="shared" ca="1" si="1118"/>
        <v>#DIV/0!</v>
      </c>
      <c r="V130" s="162" t="e">
        <f t="shared" ca="1" si="1118"/>
        <v>#DIV/0!</v>
      </c>
      <c r="W130" s="162" t="e">
        <f t="shared" ca="1" si="1118"/>
        <v>#DIV/0!</v>
      </c>
      <c r="X130" s="162" t="e">
        <f t="shared" ref="X130:Y130" ca="1" si="1119">+X127/X128</f>
        <v>#DIV/0!</v>
      </c>
      <c r="Y130" s="162" t="e">
        <f t="shared" ca="1" si="1119"/>
        <v>#DIV/0!</v>
      </c>
      <c r="Z130" s="162" t="e">
        <f t="shared" ref="Z130:AA130" ca="1" si="1120">+Z127/Z128</f>
        <v>#DIV/0!</v>
      </c>
      <c r="AA130" s="162" t="e">
        <f t="shared" ca="1" si="1120"/>
        <v>#DIV/0!</v>
      </c>
      <c r="AB130" s="21" t="e">
        <f t="shared" ref="AA130:AD130" ca="1" si="1121">+AB127/AB128</f>
        <v>#DIV/0!</v>
      </c>
      <c r="AC130" s="21" t="e">
        <f t="shared" ca="1" si="1121"/>
        <v>#DIV/0!</v>
      </c>
      <c r="AD130" s="21" t="e">
        <f t="shared" ca="1" si="1121"/>
        <v>#DIV/0!</v>
      </c>
      <c r="AE130" s="21" t="e">
        <f t="shared" ref="AE130" ca="1" si="1122">+AE127/AE128</f>
        <v>#DIV/0!</v>
      </c>
      <c r="AL130" s="162">
        <f t="shared" ref="AL130:AM130" si="1123">+AL127/AL128</f>
        <v>8.4712634254324772</v>
      </c>
      <c r="AM130" s="162">
        <f t="shared" si="1123"/>
        <v>10.420624195345608</v>
      </c>
      <c r="AN130" s="162">
        <f t="shared" ref="AN130:AO130" si="1124">+AN127/AN128</f>
        <v>7.6756174857890187</v>
      </c>
      <c r="AO130" s="162">
        <f t="shared" si="1124"/>
        <v>7.6774217384163608</v>
      </c>
      <c r="AP130" s="162">
        <f t="shared" ref="AP130:CD130" si="1125">+AP127/AP128</f>
        <v>9.7842475810398764</v>
      </c>
      <c r="AQ130" s="162">
        <f t="shared" si="1125"/>
        <v>12.432561661275182</v>
      </c>
      <c r="AR130" s="162">
        <f t="shared" si="1125"/>
        <v>14.081934640522888</v>
      </c>
      <c r="AS130" s="162">
        <f t="shared" si="1125"/>
        <v>17.392216102566461</v>
      </c>
      <c r="AT130" s="162">
        <f t="shared" si="1125"/>
        <v>16.857452931421331</v>
      </c>
      <c r="AU130" s="162">
        <f t="shared" si="1125"/>
        <v>19.275042095034308</v>
      </c>
      <c r="AV130" s="162">
        <f t="shared" si="1125"/>
        <v>19.027978699240336</v>
      </c>
      <c r="AW130" s="162">
        <f t="shared" si="1125"/>
        <v>20.054797488655868</v>
      </c>
      <c r="AX130" s="162">
        <f t="shared" si="1125"/>
        <v>14.79144955654102</v>
      </c>
      <c r="AY130" s="162">
        <f t="shared" si="1125"/>
        <v>16.127855644135689</v>
      </c>
      <c r="AZ130" s="162">
        <f t="shared" si="1125"/>
        <v>19.917542297417647</v>
      </c>
      <c r="BA130" s="162">
        <f t="shared" si="1125"/>
        <v>17.085210908551268</v>
      </c>
      <c r="BB130" s="162">
        <f t="shared" si="1125"/>
        <v>17.743815056886952</v>
      </c>
      <c r="BC130" s="162">
        <f t="shared" si="1125"/>
        <v>21.643317584048749</v>
      </c>
      <c r="BD130" s="162">
        <f t="shared" si="1125"/>
        <v>24.169042978428195</v>
      </c>
      <c r="BE130" s="162">
        <f t="shared" si="1125"/>
        <v>26.597715607453832</v>
      </c>
      <c r="BF130" s="162">
        <f t="shared" si="1125"/>
        <v>26.599900398406369</v>
      </c>
      <c r="BG130" s="162">
        <f t="shared" si="1125"/>
        <v>22.251520323853438</v>
      </c>
      <c r="BH130" s="162">
        <f t="shared" si="1125"/>
        <v>23.850175223897196</v>
      </c>
      <c r="BI130" s="162">
        <f t="shared" si="1125"/>
        <v>21.911310204732846</v>
      </c>
      <c r="BJ130" s="162">
        <f t="shared" si="1125"/>
        <v>25.097565840022238</v>
      </c>
      <c r="BK130" s="162">
        <f t="shared" si="1125"/>
        <v>25.018507980708854</v>
      </c>
      <c r="BL130" s="162">
        <f t="shared" si="1125"/>
        <v>26.027357815757831</v>
      </c>
      <c r="BM130" s="162">
        <f t="shared" si="1125"/>
        <v>30.901250452850039</v>
      </c>
      <c r="BN130" s="162">
        <f t="shared" si="1125"/>
        <v>20.750569423004123</v>
      </c>
      <c r="BO130" s="162">
        <f t="shared" si="1125"/>
        <v>28.636443060827904</v>
      </c>
      <c r="BP130" s="162">
        <f t="shared" si="1125"/>
        <v>38.404331843895186</v>
      </c>
      <c r="BQ130" s="162">
        <f t="shared" si="1125"/>
        <v>43.303113102378184</v>
      </c>
      <c r="BR130" s="162">
        <f t="shared" si="1125"/>
        <v>41.700408506922763</v>
      </c>
      <c r="BS130" s="162">
        <f t="shared" si="1125"/>
        <v>41.649861356031927</v>
      </c>
      <c r="BT130" s="162">
        <f t="shared" si="1125"/>
        <v>42.35782716582154</v>
      </c>
      <c r="BU130" s="162">
        <f t="shared" si="1125"/>
        <v>49.544582988090887</v>
      </c>
      <c r="BV130" s="162">
        <f t="shared" si="1125"/>
        <v>52.432211870002241</v>
      </c>
      <c r="BW130" s="162">
        <f t="shared" si="1125"/>
        <v>41.243677496764207</v>
      </c>
      <c r="BX130" s="162">
        <f t="shared" si="1125"/>
        <v>40.140171063241588</v>
      </c>
      <c r="BY130" s="162">
        <f t="shared" si="1125"/>
        <v>40.451326760912195</v>
      </c>
      <c r="BZ130" s="162">
        <f t="shared" si="1125"/>
        <v>41.931334626203324</v>
      </c>
      <c r="CA130" s="162">
        <f t="shared" si="1125"/>
        <v>41.872811389198489</v>
      </c>
      <c r="CB130" s="162">
        <f t="shared" si="1125"/>
        <v>44.12789006834376</v>
      </c>
      <c r="CC130" s="162">
        <f t="shared" si="1125"/>
        <v>52.649745951614818</v>
      </c>
      <c r="CD130" s="162">
        <f t="shared" si="1125"/>
        <v>66.121579368758134</v>
      </c>
      <c r="CE130" s="162">
        <f t="shared" ref="CE130:CF130" si="1126">+CE127/CE128</f>
        <v>49.984491150077282</v>
      </c>
      <c r="CF130" s="162">
        <f t="shared" si="1126"/>
        <v>57.504783791505744</v>
      </c>
      <c r="CG130" s="162">
        <f t="shared" ref="CG130:CH130" si="1127">+CG127/CG128</f>
        <v>54.827483882315974</v>
      </c>
      <c r="CH130" s="162">
        <f t="shared" si="1127"/>
        <v>33.462697772760684</v>
      </c>
      <c r="CI130" s="162">
        <f t="shared" ref="CI130:CJ130" si="1128">+CI127/CI128</f>
        <v>43.609022239140401</v>
      </c>
      <c r="CJ130" s="162">
        <f t="shared" si="1128"/>
        <v>52.211685127902399</v>
      </c>
      <c r="CK130" s="162">
        <f t="shared" ref="CK130:CL130" si="1129">+CK127/CK128</f>
        <v>58.686007093694293</v>
      </c>
      <c r="CL130" s="162">
        <f t="shared" si="1129"/>
        <v>62.372375946823396</v>
      </c>
      <c r="CM130" s="21">
        <f t="shared" ref="CM130:DB130" si="1130">+CM127/CM128</f>
        <v>55.161791258187293</v>
      </c>
      <c r="CN130" s="21">
        <f t="shared" si="1130"/>
        <v>51.441808243778034</v>
      </c>
      <c r="CO130" s="21">
        <f t="shared" si="1130"/>
        <v>47.623521261892151</v>
      </c>
      <c r="CP130" s="21">
        <f t="shared" si="1130"/>
        <v>50.65483746255665</v>
      </c>
      <c r="CQ130" s="21">
        <f t="shared" si="1130"/>
        <v>52.104218051798391</v>
      </c>
      <c r="CR130" s="21">
        <f t="shared" si="1130"/>
        <v>51.396546290816076</v>
      </c>
      <c r="CS130" s="21">
        <f t="shared" si="1130"/>
        <v>51.426431230774512</v>
      </c>
      <c r="CT130" s="21">
        <f t="shared" si="1130"/>
        <v>52.873013436691139</v>
      </c>
      <c r="CU130" s="21">
        <f t="shared" si="1130"/>
        <v>53.142930585691765</v>
      </c>
      <c r="CV130" s="21">
        <f t="shared" si="1130"/>
        <v>52.209469553815488</v>
      </c>
      <c r="CW130" s="21">
        <f t="shared" si="1130"/>
        <v>52.549537068620246</v>
      </c>
      <c r="CX130" s="21">
        <f t="shared" si="1130"/>
        <v>53.819420365122525</v>
      </c>
      <c r="CY130" s="21">
        <f t="shared" si="1130"/>
        <v>53.964152252054738</v>
      </c>
      <c r="CZ130" s="21">
        <f t="shared" si="1130"/>
        <v>52.952264281806229</v>
      </c>
      <c r="DA130" s="21">
        <f t="shared" si="1130"/>
        <v>53.269727562676827</v>
      </c>
      <c r="DB130" s="21">
        <f t="shared" si="1130"/>
        <v>54.534095243728942</v>
      </c>
      <c r="DE130" s="22"/>
      <c r="DF130" s="162">
        <v>57.516859857522562</v>
      </c>
    </row>
    <row r="131" spans="1:110" s="10" customFormat="1" x14ac:dyDescent="0.2">
      <c r="A131" s="149" t="s">
        <v>490</v>
      </c>
      <c r="AB131" s="20"/>
      <c r="AC131" s="20"/>
      <c r="AD131" s="20"/>
      <c r="AE131" s="20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x14ac:dyDescent="0.2">
      <c r="A132" s="152" t="s">
        <v>491</v>
      </c>
      <c r="AA132" s="2"/>
      <c r="CL132" s="2"/>
    </row>
    <row r="133" spans="1:110" s="23" customFormat="1" outlineLevel="1" x14ac:dyDescent="0.2">
      <c r="A133" s="23" t="s">
        <v>41</v>
      </c>
      <c r="B133" s="23">
        <f>'Annual Raw'!C41</f>
        <v>33.053899999999999</v>
      </c>
      <c r="C133" s="23">
        <f>'Annual Raw'!D41</f>
        <v>33.053899999999999</v>
      </c>
      <c r="D133" s="23">
        <f>'Annual Raw'!E41</f>
        <v>33.053899999999999</v>
      </c>
      <c r="E133" s="23">
        <f>'Annual Raw'!F41</f>
        <v>33.055300000000003</v>
      </c>
      <c r="F133" s="23">
        <f>'Annual Raw'!G41</f>
        <v>33.055300000000003</v>
      </c>
      <c r="G133" s="23">
        <f>'Annual Raw'!H41</f>
        <v>33.062600000000003</v>
      </c>
      <c r="H133" s="23">
        <f>'Annual Raw'!I41</f>
        <v>33.068300000000001</v>
      </c>
      <c r="I133" s="23">
        <f>'Annual Raw'!J41</f>
        <v>33.069499999999998</v>
      </c>
      <c r="J133" s="23">
        <f>'Annual Raw'!K41</f>
        <v>33.073399999999999</v>
      </c>
      <c r="K133" s="23">
        <f>'Annual Raw'!L41</f>
        <v>33.073700000000002</v>
      </c>
      <c r="L133" s="23">
        <f>'Annual Raw'!M41</f>
        <v>33.074300000000001</v>
      </c>
      <c r="M133" s="23">
        <f>'Annual Raw'!N41</f>
        <v>33.074399999999997</v>
      </c>
      <c r="N133" s="23">
        <f>'Annual Raw'!O41</f>
        <v>33.074599999999997</v>
      </c>
      <c r="O133" s="23">
        <f>'Annual Raw'!P41</f>
        <v>33.074800000000003</v>
      </c>
      <c r="P133" s="23">
        <f>'Annual Raw'!Q41</f>
        <v>33.074800000000003</v>
      </c>
      <c r="Q133" s="23">
        <f>'Annual Raw'!R41</f>
        <v>33.075200000000002</v>
      </c>
      <c r="R133" s="23">
        <f>'Annual Raw'!S41</f>
        <v>33.08</v>
      </c>
      <c r="S133" s="23">
        <f>'Annual Raw'!T41</f>
        <v>33.08</v>
      </c>
      <c r="T133" s="23">
        <f>'Annual Raw'!U41</f>
        <v>33.08</v>
      </c>
      <c r="U133" s="23">
        <f>'Annual Raw'!V41</f>
        <v>33.08</v>
      </c>
      <c r="V133" s="23">
        <f>'Annual Raw'!W41</f>
        <v>33.08</v>
      </c>
      <c r="W133" s="23">
        <f>'Annual Raw'!X41</f>
        <v>33.08</v>
      </c>
      <c r="X133" s="23">
        <f>'Annual Raw'!Y41</f>
        <v>33.08</v>
      </c>
      <c r="Y133" s="23">
        <f>'Annual Raw'!Z41</f>
        <v>33.08</v>
      </c>
      <c r="Z133" s="23">
        <f>'Annual Raw'!AA41</f>
        <v>33.08</v>
      </c>
      <c r="AA133" s="23">
        <f>'Annual Raw'!AB41</f>
        <v>33.08</v>
      </c>
      <c r="AB133" s="24">
        <f>+CP133</f>
        <v>33.08</v>
      </c>
      <c r="AC133" s="24">
        <f>+CT133</f>
        <v>33.08</v>
      </c>
      <c r="AD133" s="24">
        <f>+CX133</f>
        <v>33.08</v>
      </c>
      <c r="AE133" s="24">
        <f>+DB133</f>
        <v>33.08</v>
      </c>
      <c r="AJ133" s="23">
        <f>+'QTR Raw'!D56</f>
        <v>33.07</v>
      </c>
      <c r="AK133" s="23">
        <f t="shared" ref="AK133:CE133" si="1131">+AJ133</f>
        <v>33.07</v>
      </c>
      <c r="AL133" s="23">
        <f>+'QTR Raw'!F56</f>
        <v>33.07</v>
      </c>
      <c r="AM133" s="23">
        <f t="shared" si="1131"/>
        <v>33.07</v>
      </c>
      <c r="AN133" s="23">
        <f>+'QTR Raw'!H56</f>
        <v>33.07</v>
      </c>
      <c r="AO133" s="23">
        <f t="shared" si="1131"/>
        <v>33.07</v>
      </c>
      <c r="AP133" s="23">
        <f>+'QTR Raw'!J56</f>
        <v>33.07</v>
      </c>
      <c r="AQ133" s="23">
        <f t="shared" si="1131"/>
        <v>33.07</v>
      </c>
      <c r="AR133" s="23">
        <f>+'QTR Raw'!L56</f>
        <v>33.07</v>
      </c>
      <c r="AS133" s="23">
        <f t="shared" si="1131"/>
        <v>33.07</v>
      </c>
      <c r="AT133" s="23">
        <f>+'QTR Raw'!N56</f>
        <v>33.07</v>
      </c>
      <c r="AU133" s="23">
        <f t="shared" si="1131"/>
        <v>33.07</v>
      </c>
      <c r="AV133" s="23">
        <f>+'QTR Raw'!P56</f>
        <v>33.07</v>
      </c>
      <c r="AW133" s="23">
        <f t="shared" si="1131"/>
        <v>33.07</v>
      </c>
      <c r="AX133" s="23">
        <f>+'QTR Raw'!R56</f>
        <v>33.08</v>
      </c>
      <c r="AY133" s="23">
        <f t="shared" si="1131"/>
        <v>33.08</v>
      </c>
      <c r="AZ133" s="23">
        <f>+'QTR Raw'!T56</f>
        <v>33.08</v>
      </c>
      <c r="BA133" s="23">
        <f t="shared" si="1131"/>
        <v>33.08</v>
      </c>
      <c r="BB133" s="23">
        <f>+'QTR Raw'!V56</f>
        <v>33.08</v>
      </c>
      <c r="BC133" s="23">
        <f t="shared" si="1131"/>
        <v>33.08</v>
      </c>
      <c r="BD133" s="23">
        <f>+'QTR Raw'!X56</f>
        <v>33.08</v>
      </c>
      <c r="BE133" s="23">
        <f t="shared" si="1131"/>
        <v>33.08</v>
      </c>
      <c r="BF133" s="23">
        <f>+'QTR Raw'!Z56</f>
        <v>33.08</v>
      </c>
      <c r="BG133" s="23">
        <f t="shared" si="1131"/>
        <v>33.08</v>
      </c>
      <c r="BH133" s="23">
        <f>+'QTR Raw'!AB56</f>
        <v>33.08</v>
      </c>
      <c r="BI133" s="23">
        <f t="shared" si="1131"/>
        <v>33.08</v>
      </c>
      <c r="BJ133" s="23">
        <f>+'QTR Raw'!AD56</f>
        <v>33.08</v>
      </c>
      <c r="BK133" s="23">
        <f t="shared" si="1131"/>
        <v>33.08</v>
      </c>
      <c r="BL133" s="23">
        <f>+'QTR Raw'!AF56</f>
        <v>33.08</v>
      </c>
      <c r="BM133" s="23">
        <f t="shared" si="1131"/>
        <v>33.08</v>
      </c>
      <c r="BN133" s="23">
        <f>+'QTR Raw'!AH56</f>
        <v>33.08</v>
      </c>
      <c r="BO133" s="23">
        <f t="shared" si="1131"/>
        <v>33.08</v>
      </c>
      <c r="BP133" s="23">
        <f>+'QTR Raw'!AJ56</f>
        <v>33.08</v>
      </c>
      <c r="BQ133" s="23">
        <f t="shared" si="1131"/>
        <v>33.08</v>
      </c>
      <c r="BR133" s="23">
        <f>+'QTR Raw'!AL56</f>
        <v>33.08</v>
      </c>
      <c r="BS133" s="23">
        <f t="shared" si="1131"/>
        <v>33.08</v>
      </c>
      <c r="BT133" s="23">
        <f>+'QTR Raw'!AN56</f>
        <v>33.08</v>
      </c>
      <c r="BU133" s="23">
        <f t="shared" si="1131"/>
        <v>33.08</v>
      </c>
      <c r="BV133" s="23">
        <f>+'QTR Raw'!AP56</f>
        <v>33.08</v>
      </c>
      <c r="BW133" s="23">
        <f t="shared" si="1131"/>
        <v>33.08</v>
      </c>
      <c r="BX133" s="23">
        <f>+'QTR Raw'!AR56</f>
        <v>33.08</v>
      </c>
      <c r="BY133" s="23">
        <f t="shared" si="1131"/>
        <v>33.08</v>
      </c>
      <c r="BZ133" s="23">
        <f>+'QTR Raw'!AT56</f>
        <v>33.08</v>
      </c>
      <c r="CA133" s="23">
        <f t="shared" si="1131"/>
        <v>33.08</v>
      </c>
      <c r="CB133" s="23">
        <f>+'QTR Raw'!AV56</f>
        <v>33.08</v>
      </c>
      <c r="CC133" s="23">
        <f t="shared" si="1131"/>
        <v>33.08</v>
      </c>
      <c r="CD133" s="23">
        <f>+'QTR Raw'!AX56</f>
        <v>33.08</v>
      </c>
      <c r="CE133" s="23">
        <f t="shared" si="1131"/>
        <v>33.08</v>
      </c>
      <c r="CF133" s="23">
        <f>+'QTR Raw'!AZ56</f>
        <v>33.08</v>
      </c>
      <c r="CG133" s="23">
        <f t="shared" ref="CG133:CG134" si="1132">+CF133</f>
        <v>33.08</v>
      </c>
      <c r="CH133" s="23">
        <f>Z133</f>
        <v>33.08</v>
      </c>
      <c r="CI133" s="23">
        <f>CH133</f>
        <v>33.08</v>
      </c>
      <c r="CJ133" s="23">
        <f>+'QTR Raw'!BD56</f>
        <v>33.08</v>
      </c>
      <c r="CK133" s="24">
        <f t="shared" ref="CK133:DB133" si="1133">CJ133</f>
        <v>33.08</v>
      </c>
      <c r="CL133" s="23">
        <f>+'QTR Raw'!BF56</f>
        <v>33.08</v>
      </c>
      <c r="CM133" s="24">
        <f t="shared" si="1133"/>
        <v>33.08</v>
      </c>
      <c r="CN133" s="24">
        <f t="shared" si="1133"/>
        <v>33.08</v>
      </c>
      <c r="CO133" s="24">
        <f t="shared" si="1133"/>
        <v>33.08</v>
      </c>
      <c r="CP133" s="24">
        <f t="shared" si="1133"/>
        <v>33.08</v>
      </c>
      <c r="CQ133" s="24">
        <f t="shared" si="1133"/>
        <v>33.08</v>
      </c>
      <c r="CR133" s="24">
        <f t="shared" si="1133"/>
        <v>33.08</v>
      </c>
      <c r="CS133" s="24">
        <f t="shared" si="1133"/>
        <v>33.08</v>
      </c>
      <c r="CT133" s="24">
        <f t="shared" si="1133"/>
        <v>33.08</v>
      </c>
      <c r="CU133" s="24">
        <f t="shared" si="1133"/>
        <v>33.08</v>
      </c>
      <c r="CV133" s="24">
        <f t="shared" si="1133"/>
        <v>33.08</v>
      </c>
      <c r="CW133" s="24">
        <f t="shared" si="1133"/>
        <v>33.08</v>
      </c>
      <c r="CX133" s="24">
        <f t="shared" si="1133"/>
        <v>33.08</v>
      </c>
      <c r="CY133" s="24">
        <f t="shared" si="1133"/>
        <v>33.08</v>
      </c>
      <c r="CZ133" s="24">
        <f t="shared" si="1133"/>
        <v>33.08</v>
      </c>
      <c r="DA133" s="24">
        <f t="shared" si="1133"/>
        <v>33.08</v>
      </c>
      <c r="DB133" s="24">
        <f t="shared" si="1133"/>
        <v>33.08</v>
      </c>
      <c r="DE133" s="123"/>
      <c r="DF133" s="23">
        <v>33.08</v>
      </c>
    </row>
    <row r="134" spans="1:110" s="23" customFormat="1" outlineLevel="1" x14ac:dyDescent="0.2">
      <c r="A134" s="23" t="s">
        <v>42</v>
      </c>
      <c r="B134" s="23">
        <f>'Annual Raw'!C42</f>
        <v>0</v>
      </c>
      <c r="C134" s="23">
        <f>'Annual Raw'!D42</f>
        <v>0</v>
      </c>
      <c r="D134" s="23">
        <f>'Annual Raw'!E42</f>
        <v>0</v>
      </c>
      <c r="E134" s="23">
        <f>'Annual Raw'!F42</f>
        <v>0</v>
      </c>
      <c r="F134" s="23">
        <f>'Annual Raw'!G42</f>
        <v>0</v>
      </c>
      <c r="G134" s="23">
        <f>'Annual Raw'!H42</f>
        <v>0</v>
      </c>
      <c r="H134" s="23">
        <f>'Annual Raw'!I42</f>
        <v>0</v>
      </c>
      <c r="I134" s="23">
        <f>'Annual Raw'!J42</f>
        <v>0</v>
      </c>
      <c r="J134" s="23">
        <f>'Annual Raw'!K42</f>
        <v>0</v>
      </c>
      <c r="K134" s="23">
        <f>'Annual Raw'!L42</f>
        <v>0</v>
      </c>
      <c r="L134" s="23">
        <f>'Annual Raw'!M42</f>
        <v>0</v>
      </c>
      <c r="M134" s="23">
        <f>'Annual Raw'!N42</f>
        <v>0</v>
      </c>
      <c r="N134" s="23">
        <f>'Annual Raw'!O42</f>
        <v>0</v>
      </c>
      <c r="O134" s="23">
        <f>'Annual Raw'!P42</f>
        <v>0</v>
      </c>
      <c r="P134" s="23">
        <f>'Annual Raw'!Q42</f>
        <v>0</v>
      </c>
      <c r="Q134" s="23">
        <f>'Annual Raw'!R42</f>
        <v>0</v>
      </c>
      <c r="R134" s="23">
        <f>'Annual Raw'!S42</f>
        <v>0</v>
      </c>
      <c r="S134" s="23">
        <f>'Annual Raw'!T42</f>
        <v>0</v>
      </c>
      <c r="T134" s="23">
        <f>'Annual Raw'!U42</f>
        <v>0</v>
      </c>
      <c r="U134" s="23">
        <f>'Annual Raw'!V42</f>
        <v>0</v>
      </c>
      <c r="V134" s="23">
        <f>'Annual Raw'!W42</f>
        <v>0</v>
      </c>
      <c r="W134" s="23">
        <f>'Annual Raw'!X42</f>
        <v>0</v>
      </c>
      <c r="X134" s="23">
        <f>'Annual Raw'!Y42</f>
        <v>0</v>
      </c>
      <c r="Y134" s="23">
        <f>'Annual Raw'!Z42</f>
        <v>0</v>
      </c>
      <c r="Z134" s="23">
        <f>'Annual Raw'!AA42</f>
        <v>0</v>
      </c>
      <c r="AA134" s="23">
        <f>'Annual Raw'!AB42</f>
        <v>0</v>
      </c>
      <c r="AB134" s="24">
        <f t="shared" ref="AB134:AB135" si="1134">+CP134</f>
        <v>0</v>
      </c>
      <c r="AC134" s="24">
        <f t="shared" ref="AC134:AC135" si="1135">+CT134</f>
        <v>0</v>
      </c>
      <c r="AD134" s="24">
        <f t="shared" ref="AD134:AD135" si="1136">+CX134</f>
        <v>0</v>
      </c>
      <c r="AE134" s="24">
        <f t="shared" ref="AE134:AE135" si="1137">+DB134</f>
        <v>0</v>
      </c>
      <c r="AJ134" s="23">
        <f>+'QTR Raw'!D57</f>
        <v>0</v>
      </c>
      <c r="AK134" s="23">
        <f t="shared" ref="AK134:CE134" si="1138">+AJ134</f>
        <v>0</v>
      </c>
      <c r="AL134" s="23">
        <f>+'QTR Raw'!F57</f>
        <v>0</v>
      </c>
      <c r="AM134" s="23">
        <f t="shared" si="1138"/>
        <v>0</v>
      </c>
      <c r="AN134" s="23">
        <f>+'QTR Raw'!H57</f>
        <v>0</v>
      </c>
      <c r="AO134" s="23">
        <f t="shared" si="1138"/>
        <v>0</v>
      </c>
      <c r="AP134" s="23">
        <f>+'QTR Raw'!J57</f>
        <v>0</v>
      </c>
      <c r="AQ134" s="23">
        <f t="shared" si="1138"/>
        <v>0</v>
      </c>
      <c r="AR134" s="23">
        <f>+'QTR Raw'!L57</f>
        <v>0</v>
      </c>
      <c r="AS134" s="23">
        <f t="shared" si="1138"/>
        <v>0</v>
      </c>
      <c r="AT134" s="23">
        <f>+'QTR Raw'!N57</f>
        <v>0</v>
      </c>
      <c r="AU134" s="23">
        <f t="shared" si="1138"/>
        <v>0</v>
      </c>
      <c r="AV134" s="23">
        <f>+'QTR Raw'!P57</f>
        <v>0</v>
      </c>
      <c r="AW134" s="23">
        <f t="shared" si="1138"/>
        <v>0</v>
      </c>
      <c r="AX134" s="23">
        <f>+'QTR Raw'!R57</f>
        <v>0</v>
      </c>
      <c r="AY134" s="23">
        <f t="shared" si="1138"/>
        <v>0</v>
      </c>
      <c r="AZ134" s="23">
        <f>+'QTR Raw'!T57</f>
        <v>0</v>
      </c>
      <c r="BA134" s="23">
        <f t="shared" si="1138"/>
        <v>0</v>
      </c>
      <c r="BB134" s="23">
        <f>+'QTR Raw'!V57</f>
        <v>0</v>
      </c>
      <c r="BC134" s="23">
        <f t="shared" si="1138"/>
        <v>0</v>
      </c>
      <c r="BD134" s="23">
        <f>+'QTR Raw'!X57</f>
        <v>0</v>
      </c>
      <c r="BE134" s="23">
        <f t="shared" si="1138"/>
        <v>0</v>
      </c>
      <c r="BF134" s="23">
        <f>+'QTR Raw'!Z57</f>
        <v>0</v>
      </c>
      <c r="BG134" s="23">
        <f t="shared" si="1138"/>
        <v>0</v>
      </c>
      <c r="BH134" s="23">
        <f>+'QTR Raw'!AB57</f>
        <v>0</v>
      </c>
      <c r="BI134" s="23">
        <f t="shared" si="1138"/>
        <v>0</v>
      </c>
      <c r="BJ134" s="23">
        <f>+'QTR Raw'!AD57</f>
        <v>0</v>
      </c>
      <c r="BK134" s="23">
        <f t="shared" si="1138"/>
        <v>0</v>
      </c>
      <c r="BL134" s="23">
        <f>+'QTR Raw'!AF57</f>
        <v>0</v>
      </c>
      <c r="BM134" s="23">
        <f t="shared" si="1138"/>
        <v>0</v>
      </c>
      <c r="BN134" s="23">
        <f>+'QTR Raw'!AH57</f>
        <v>0</v>
      </c>
      <c r="BO134" s="23">
        <f t="shared" si="1138"/>
        <v>0</v>
      </c>
      <c r="BP134" s="23">
        <f>+'QTR Raw'!AJ57</f>
        <v>0</v>
      </c>
      <c r="BQ134" s="23">
        <f t="shared" si="1138"/>
        <v>0</v>
      </c>
      <c r="BR134" s="23">
        <f>+'QTR Raw'!AL57</f>
        <v>0</v>
      </c>
      <c r="BS134" s="23">
        <f t="shared" si="1138"/>
        <v>0</v>
      </c>
      <c r="BT134" s="23">
        <f>+'QTR Raw'!AN57</f>
        <v>0</v>
      </c>
      <c r="BU134" s="23">
        <f t="shared" si="1138"/>
        <v>0</v>
      </c>
      <c r="BV134" s="23">
        <f>+'QTR Raw'!AP57</f>
        <v>0</v>
      </c>
      <c r="BW134" s="23">
        <f t="shared" si="1138"/>
        <v>0</v>
      </c>
      <c r="BX134" s="23">
        <f>+'QTR Raw'!AR57</f>
        <v>0</v>
      </c>
      <c r="BY134" s="23">
        <f t="shared" si="1138"/>
        <v>0</v>
      </c>
      <c r="BZ134" s="23">
        <f>+'QTR Raw'!AT57</f>
        <v>0</v>
      </c>
      <c r="CA134" s="23">
        <f t="shared" si="1138"/>
        <v>0</v>
      </c>
      <c r="CB134" s="23">
        <f>+'QTR Raw'!AV57</f>
        <v>0</v>
      </c>
      <c r="CC134" s="23">
        <f t="shared" si="1138"/>
        <v>0</v>
      </c>
      <c r="CD134" s="23">
        <f>+'QTR Raw'!AX57</f>
        <v>0</v>
      </c>
      <c r="CE134" s="23">
        <f t="shared" si="1138"/>
        <v>0</v>
      </c>
      <c r="CF134" s="23">
        <f>+'QTR Raw'!AZ57</f>
        <v>0</v>
      </c>
      <c r="CG134" s="23">
        <f t="shared" si="1132"/>
        <v>0</v>
      </c>
      <c r="CH134" s="23">
        <f t="shared" ref="CH134:CH135" si="1139">Z134</f>
        <v>0</v>
      </c>
      <c r="CI134" s="23">
        <f>CH134</f>
        <v>0</v>
      </c>
      <c r="CJ134" s="23">
        <f>+'QTR Raw'!BD57</f>
        <v>0</v>
      </c>
      <c r="CK134" s="24">
        <f t="shared" ref="CK134:DB134" si="1140">CJ134</f>
        <v>0</v>
      </c>
      <c r="CL134" s="23">
        <f>+'QTR Raw'!BF57</f>
        <v>0</v>
      </c>
      <c r="CM134" s="24">
        <f t="shared" si="1140"/>
        <v>0</v>
      </c>
      <c r="CN134" s="24">
        <f t="shared" si="1140"/>
        <v>0</v>
      </c>
      <c r="CO134" s="24">
        <f t="shared" si="1140"/>
        <v>0</v>
      </c>
      <c r="CP134" s="24">
        <f t="shared" si="1140"/>
        <v>0</v>
      </c>
      <c r="CQ134" s="24">
        <f t="shared" si="1140"/>
        <v>0</v>
      </c>
      <c r="CR134" s="24">
        <f t="shared" si="1140"/>
        <v>0</v>
      </c>
      <c r="CS134" s="24">
        <f t="shared" si="1140"/>
        <v>0</v>
      </c>
      <c r="CT134" s="24">
        <f t="shared" si="1140"/>
        <v>0</v>
      </c>
      <c r="CU134" s="24">
        <f t="shared" si="1140"/>
        <v>0</v>
      </c>
      <c r="CV134" s="24">
        <f t="shared" si="1140"/>
        <v>0</v>
      </c>
      <c r="CW134" s="24">
        <f t="shared" si="1140"/>
        <v>0</v>
      </c>
      <c r="CX134" s="24">
        <f t="shared" si="1140"/>
        <v>0</v>
      </c>
      <c r="CY134" s="24">
        <f t="shared" si="1140"/>
        <v>0</v>
      </c>
      <c r="CZ134" s="24">
        <f t="shared" si="1140"/>
        <v>0</v>
      </c>
      <c r="DA134" s="24">
        <f t="shared" si="1140"/>
        <v>0</v>
      </c>
      <c r="DB134" s="24">
        <f t="shared" si="1140"/>
        <v>0</v>
      </c>
      <c r="DE134" s="123"/>
      <c r="DF134" s="23">
        <v>0</v>
      </c>
    </row>
    <row r="135" spans="1:110" s="23" customFormat="1" outlineLevel="1" x14ac:dyDescent="0.2">
      <c r="A135" s="23" t="s">
        <v>43</v>
      </c>
      <c r="B135" s="23">
        <f>'Annual Raw'!C43</f>
        <v>122.0188</v>
      </c>
      <c r="C135" s="23">
        <f>'Annual Raw'!D43</f>
        <v>174.88159999999999</v>
      </c>
      <c r="D135" s="23">
        <f>'Annual Raw'!E43</f>
        <v>153.37440000000001</v>
      </c>
      <c r="E135" s="23">
        <f>'Annual Raw'!F43</f>
        <v>181.7413</v>
      </c>
      <c r="F135" s="23">
        <f>'Annual Raw'!G43</f>
        <v>186.48519999999999</v>
      </c>
      <c r="G135" s="23">
        <f>'Annual Raw'!H43</f>
        <v>238.30199999999999</v>
      </c>
      <c r="H135" s="23">
        <f>'Annual Raw'!I43</f>
        <v>390.67160000000001</v>
      </c>
      <c r="I135" s="23">
        <f>'Annual Raw'!J43</f>
        <v>544.15369999999996</v>
      </c>
      <c r="J135" s="23">
        <f>'Annual Raw'!K43</f>
        <v>756.67619999999999</v>
      </c>
      <c r="K135" s="23">
        <f>'Annual Raw'!L43</f>
        <v>1052.0949000000001</v>
      </c>
      <c r="L135" s="23">
        <f>'Annual Raw'!M43</f>
        <v>1328.643</v>
      </c>
      <c r="M135" s="23">
        <f>'Annual Raw'!N43</f>
        <v>1444.7688000000001</v>
      </c>
      <c r="N135" s="23">
        <f>'Annual Raw'!O43</f>
        <v>1592.5473999999999</v>
      </c>
      <c r="O135" s="23">
        <f>'Annual Raw'!P43</f>
        <v>1786.2463</v>
      </c>
      <c r="P135" s="23">
        <f>'Annual Raw'!Q43</f>
        <v>2068.9985999999999</v>
      </c>
      <c r="Q135" s="23">
        <f>'Annual Raw'!R43</f>
        <v>2778.0088999999998</v>
      </c>
      <c r="R135" s="23">
        <f>'Annual Raw'!S43</f>
        <v>3273.54</v>
      </c>
      <c r="S135" s="23">
        <f>'Annual Raw'!T43</f>
        <v>3872.13</v>
      </c>
      <c r="T135" s="23">
        <f>'Annual Raw'!U43</f>
        <v>4076.91</v>
      </c>
      <c r="U135" s="23">
        <f>'Annual Raw'!V43</f>
        <v>4247.13</v>
      </c>
      <c r="V135" s="23">
        <f>'Annual Raw'!W43</f>
        <v>4960.2700000000004</v>
      </c>
      <c r="W135" s="23">
        <f>'Annual Raw'!X43</f>
        <v>5466.48</v>
      </c>
      <c r="X135" s="23">
        <f>'Annual Raw'!Y43</f>
        <v>5418.99</v>
      </c>
      <c r="Y135" s="23">
        <f>'Annual Raw'!Z43</f>
        <v>5787.42</v>
      </c>
      <c r="Z135" s="23">
        <f>'Annual Raw'!AA43</f>
        <v>6480.17</v>
      </c>
      <c r="AA135" s="23">
        <f>'Annual Raw'!AB43</f>
        <v>6343.13</v>
      </c>
      <c r="AB135" s="24">
        <f t="shared" si="1134"/>
        <v>6873.7262405637784</v>
      </c>
      <c r="AC135" s="24">
        <f t="shared" si="1135"/>
        <v>7562.2523410475451</v>
      </c>
      <c r="AD135" s="24">
        <f t="shared" si="1136"/>
        <v>8374.0972394109685</v>
      </c>
      <c r="AE135" s="24">
        <f t="shared" si="1137"/>
        <v>9323.7233745751328</v>
      </c>
      <c r="AJ135" s="23">
        <f>+'QTR Raw'!D58</f>
        <v>1569.59</v>
      </c>
      <c r="AK135" s="23">
        <f>+AJ135+AK64</f>
        <v>1646.3999999999999</v>
      </c>
      <c r="AL135" s="23">
        <f>+'QTR Raw'!F58</f>
        <v>1592.55</v>
      </c>
      <c r="AM135" s="23">
        <f>+AL135+AM64</f>
        <v>1633.3</v>
      </c>
      <c r="AN135" s="23">
        <f>+'QTR Raw'!H58</f>
        <v>1698.52</v>
      </c>
      <c r="AO135" s="23">
        <f>+AN135+AO64</f>
        <v>1760.4399999999998</v>
      </c>
      <c r="AP135" s="23">
        <f>+'QTR Raw'!J58</f>
        <v>1786.25</v>
      </c>
      <c r="AQ135" s="23">
        <f>+AP135+AQ64</f>
        <v>1895.24</v>
      </c>
      <c r="AR135" s="23">
        <f>+'QTR Raw'!L58</f>
        <v>1938.01</v>
      </c>
      <c r="AS135" s="23">
        <f>+AR135+AS64</f>
        <v>2045.3799999999999</v>
      </c>
      <c r="AT135" s="23">
        <f>+'QTR Raw'!N58</f>
        <v>2069</v>
      </c>
      <c r="AU135" s="23">
        <f>+AT135+AU64</f>
        <v>2171.54</v>
      </c>
      <c r="AV135" s="23">
        <f>+'QTR Raw'!P58</f>
        <v>2235.0500000000002</v>
      </c>
      <c r="AW135" s="23">
        <f>+AV135+AW64</f>
        <v>2291.88</v>
      </c>
      <c r="AX135" s="23">
        <f>+'QTR Raw'!R58</f>
        <v>2778.01</v>
      </c>
      <c r="AY135" s="23">
        <f>+AX135+AY64</f>
        <v>2935.63</v>
      </c>
      <c r="AZ135" s="23">
        <f>+'QTR Raw'!T58</f>
        <v>2993.99</v>
      </c>
      <c r="BA135" s="23">
        <f>+AZ135+BA64</f>
        <v>3074.18</v>
      </c>
      <c r="BB135" s="23">
        <f>+'QTR Raw'!V58</f>
        <v>3273.54</v>
      </c>
      <c r="BC135" s="23">
        <f>+BB135+BC64</f>
        <v>3459.18</v>
      </c>
      <c r="BD135" s="23">
        <f>+'QTR Raw'!X58</f>
        <v>3506.55</v>
      </c>
      <c r="BE135" s="23">
        <f>+BD135+BE64</f>
        <v>3606.03</v>
      </c>
      <c r="BF135" s="23">
        <f>+'QTR Raw'!Z58</f>
        <v>3872.13</v>
      </c>
      <c r="BG135" s="23">
        <f>+BF135+BG64</f>
        <v>4056.0499999999997</v>
      </c>
      <c r="BH135" s="23">
        <f>+'QTR Raw'!AB58</f>
        <v>3857.48</v>
      </c>
      <c r="BI135" s="23">
        <f>+BH135+BI64</f>
        <v>3938.4</v>
      </c>
      <c r="BJ135" s="23">
        <f>+'QTR Raw'!AD58</f>
        <v>4076.91</v>
      </c>
      <c r="BK135" s="23">
        <f>+BJ135+BK64</f>
        <v>4242.0899999999992</v>
      </c>
      <c r="BL135" s="23">
        <f>+'QTR Raw'!AF58</f>
        <v>4059.61</v>
      </c>
      <c r="BM135" s="23">
        <f>+BL135+BM64</f>
        <v>4146.5200000000004</v>
      </c>
      <c r="BN135" s="23">
        <f>+'QTR Raw'!AH58</f>
        <v>4247.13</v>
      </c>
      <c r="BO135" s="23">
        <f>+BN135+BO64</f>
        <v>4328.28</v>
      </c>
      <c r="BP135" s="23">
        <f>+'QTR Raw'!AJ58</f>
        <v>4351.41</v>
      </c>
      <c r="BQ135" s="23">
        <f>+BP135+BQ64</f>
        <v>4479.32</v>
      </c>
      <c r="BR135" s="23">
        <f>+'QTR Raw'!AL58</f>
        <v>4960.2700000000004</v>
      </c>
      <c r="BS135" s="23">
        <f>+BR135+BS64</f>
        <v>5082.0700000000006</v>
      </c>
      <c r="BT135" s="23">
        <f>+'QTR Raw'!AN58</f>
        <v>5093.99</v>
      </c>
      <c r="BU135" s="23">
        <f>+BT135+BU64</f>
        <v>5189.9699999999993</v>
      </c>
      <c r="BV135" s="23">
        <f>+'QTR Raw'!AP58</f>
        <v>5466.48</v>
      </c>
      <c r="BW135" s="23">
        <f>+BV135+BW64</f>
        <v>5575.36</v>
      </c>
      <c r="BX135" s="23">
        <f>+'QTR Raw'!AR58</f>
        <v>5558.06</v>
      </c>
      <c r="BY135" s="23">
        <f>+BX135+BY64</f>
        <v>5447.68</v>
      </c>
      <c r="BZ135" s="23">
        <f>+'QTR Raw'!AT58</f>
        <v>5418.99</v>
      </c>
      <c r="CA135" s="23">
        <f>+BZ135+CA64</f>
        <v>5548.28</v>
      </c>
      <c r="CB135" s="23">
        <f>+'QTR Raw'!AV58</f>
        <v>5681.37</v>
      </c>
      <c r="CC135" s="23">
        <f>+CB135+CC64</f>
        <v>5650.96</v>
      </c>
      <c r="CD135" s="23">
        <f>+'QTR Raw'!AX58</f>
        <v>5787.42</v>
      </c>
      <c r="CE135" s="23">
        <f>+CD135+CE64</f>
        <v>6121.6499999999987</v>
      </c>
      <c r="CF135" s="23">
        <f>+'QTR Raw'!AZ58</f>
        <v>6245.52</v>
      </c>
      <c r="CG135" s="23">
        <f>+CF135+CG64</f>
        <v>6377.6500000000005</v>
      </c>
      <c r="CH135" s="23">
        <f t="shared" si="1139"/>
        <v>6480.17</v>
      </c>
      <c r="CI135" s="23">
        <f>CH135+CI64</f>
        <v>6620.63</v>
      </c>
      <c r="CJ135" s="23">
        <f>+'QTR Raw'!BD58</f>
        <v>6335.91</v>
      </c>
      <c r="CK135" s="24">
        <f t="shared" ref="CK135:DB135" si="1141">CJ135+CK64</f>
        <v>6420.86</v>
      </c>
      <c r="CL135" s="23">
        <f>+'QTR Raw'!BF58</f>
        <v>6343.13</v>
      </c>
      <c r="CM135" s="24">
        <f t="shared" si="1141"/>
        <v>6484.3955076313541</v>
      </c>
      <c r="CN135" s="24">
        <f t="shared" si="1141"/>
        <v>6550.2568253463996</v>
      </c>
      <c r="CO135" s="24">
        <f t="shared" si="1141"/>
        <v>6655.7279979853138</v>
      </c>
      <c r="CP135" s="24">
        <f t="shared" si="1141"/>
        <v>6873.7262405637784</v>
      </c>
      <c r="CQ135" s="24">
        <f t="shared" si="1141"/>
        <v>7081.8342836642132</v>
      </c>
      <c r="CR135" s="24">
        <f t="shared" si="1141"/>
        <v>7177.7046901463973</v>
      </c>
      <c r="CS135" s="24">
        <f t="shared" si="1141"/>
        <v>7302.805506773494</v>
      </c>
      <c r="CT135" s="24">
        <f t="shared" si="1141"/>
        <v>7562.2523410475451</v>
      </c>
      <c r="CU135" s="24">
        <f t="shared" si="1141"/>
        <v>7811.9544795053453</v>
      </c>
      <c r="CV135" s="24">
        <f t="shared" si="1141"/>
        <v>7929.4143896657088</v>
      </c>
      <c r="CW135" s="24">
        <f t="shared" si="1141"/>
        <v>8076.2292143737213</v>
      </c>
      <c r="CX135" s="24">
        <f t="shared" si="1141"/>
        <v>8374.0972394109685</v>
      </c>
      <c r="CY135" s="24">
        <f t="shared" si="1141"/>
        <v>8667.0578123603827</v>
      </c>
      <c r="CZ135" s="24">
        <f t="shared" si="1141"/>
        <v>8806.2531308649959</v>
      </c>
      <c r="DA135" s="24">
        <f t="shared" si="1141"/>
        <v>8978.1941720078576</v>
      </c>
      <c r="DB135" s="24">
        <f t="shared" si="1141"/>
        <v>9323.7233745751328</v>
      </c>
      <c r="DE135" s="123"/>
      <c r="DF135" s="23">
        <v>6692.8777765037221</v>
      </c>
    </row>
    <row r="136" spans="1:110" s="22" customFormat="1" x14ac:dyDescent="0.2">
      <c r="A136" s="22" t="s">
        <v>44</v>
      </c>
      <c r="B136" s="22">
        <f>B133+B134+B135</f>
        <v>155.0727</v>
      </c>
      <c r="C136" s="22">
        <f t="shared" ref="C136:V136" si="1142">C133+C134+C135</f>
        <v>207.93549999999999</v>
      </c>
      <c r="D136" s="22">
        <f t="shared" si="1142"/>
        <v>186.42830000000001</v>
      </c>
      <c r="E136" s="22">
        <f t="shared" si="1142"/>
        <v>214.79660000000001</v>
      </c>
      <c r="F136" s="22">
        <f t="shared" si="1142"/>
        <v>219.54050000000001</v>
      </c>
      <c r="G136" s="22">
        <f t="shared" si="1142"/>
        <v>271.3646</v>
      </c>
      <c r="H136" s="22">
        <f t="shared" si="1142"/>
        <v>423.73990000000003</v>
      </c>
      <c r="I136" s="22">
        <f t="shared" si="1142"/>
        <v>577.22319999999991</v>
      </c>
      <c r="J136" s="22">
        <f t="shared" si="1142"/>
        <v>789.74959999999999</v>
      </c>
      <c r="K136" s="22">
        <f t="shared" si="1142"/>
        <v>1085.1686</v>
      </c>
      <c r="L136" s="22">
        <f t="shared" si="1142"/>
        <v>1361.7173</v>
      </c>
      <c r="M136" s="22">
        <f>M133+M134+M135</f>
        <v>1477.8432</v>
      </c>
      <c r="N136" s="22">
        <f t="shared" si="1142"/>
        <v>1625.6219999999998</v>
      </c>
      <c r="O136" s="22">
        <f t="shared" si="1142"/>
        <v>1819.3211000000001</v>
      </c>
      <c r="P136" s="22">
        <f t="shared" si="1142"/>
        <v>2102.0733999999998</v>
      </c>
      <c r="Q136" s="22">
        <f t="shared" si="1142"/>
        <v>2811.0841</v>
      </c>
      <c r="R136" s="22">
        <f t="shared" si="1142"/>
        <v>3306.62</v>
      </c>
      <c r="S136" s="22">
        <f t="shared" si="1142"/>
        <v>3905.21</v>
      </c>
      <c r="T136" s="22">
        <f t="shared" si="1142"/>
        <v>4109.99</v>
      </c>
      <c r="U136" s="22">
        <f t="shared" si="1142"/>
        <v>4280.21</v>
      </c>
      <c r="V136" s="22">
        <f t="shared" si="1142"/>
        <v>4993.3500000000004</v>
      </c>
      <c r="W136" s="22">
        <f t="shared" ref="W136" si="1143">W133+W134+W135</f>
        <v>5499.5599999999995</v>
      </c>
      <c r="X136" s="22">
        <f t="shared" ref="X136:Y136" si="1144">X133+X134+X135</f>
        <v>5452.07</v>
      </c>
      <c r="Y136" s="22">
        <f t="shared" si="1144"/>
        <v>5820.5</v>
      </c>
      <c r="Z136" s="22">
        <f t="shared" ref="Z136:AA136" si="1145">Z133+Z134+Z135</f>
        <v>6513.25</v>
      </c>
      <c r="AA136" s="22">
        <f t="shared" si="1145"/>
        <v>6376.21</v>
      </c>
      <c r="AB136" s="21">
        <f t="shared" ref="AA136:AD136" si="1146">AB133+AB134+AB135</f>
        <v>6906.8062405637784</v>
      </c>
      <c r="AC136" s="21">
        <f t="shared" si="1146"/>
        <v>7595.332341047545</v>
      </c>
      <c r="AD136" s="21">
        <f t="shared" si="1146"/>
        <v>8407.1772394109685</v>
      </c>
      <c r="AE136" s="21">
        <f t="shared" ref="AE136" si="1147">AE133+AE134+AE135</f>
        <v>9356.8033745751327</v>
      </c>
      <c r="AJ136" s="22">
        <f t="shared" ref="AJ136" si="1148">AJ133+AJ134+AJ135</f>
        <v>1602.6599999999999</v>
      </c>
      <c r="AK136" s="22">
        <f t="shared" ref="AK136" si="1149">AK133+AK134+AK135</f>
        <v>1679.4699999999998</v>
      </c>
      <c r="AL136" s="22">
        <f t="shared" ref="AL136:AM136" si="1150">AL133+AL134+AL135</f>
        <v>1625.62</v>
      </c>
      <c r="AM136" s="22">
        <f t="shared" si="1150"/>
        <v>1666.37</v>
      </c>
      <c r="AN136" s="22">
        <f t="shared" ref="AN136:AO136" si="1151">AN133+AN134+AN135</f>
        <v>1731.59</v>
      </c>
      <c r="AO136" s="22">
        <f t="shared" si="1151"/>
        <v>1793.5099999999998</v>
      </c>
      <c r="AP136" s="22">
        <f t="shared" ref="AP136:CE136" si="1152">AP133+AP134+AP135</f>
        <v>1819.32</v>
      </c>
      <c r="AQ136" s="22">
        <f t="shared" si="1152"/>
        <v>1928.31</v>
      </c>
      <c r="AR136" s="22">
        <f t="shared" si="1152"/>
        <v>1971.08</v>
      </c>
      <c r="AS136" s="22">
        <f t="shared" si="1152"/>
        <v>2078.4499999999998</v>
      </c>
      <c r="AT136" s="22">
        <f t="shared" si="1152"/>
        <v>2102.0700000000002</v>
      </c>
      <c r="AU136" s="22">
        <f t="shared" si="1152"/>
        <v>2204.61</v>
      </c>
      <c r="AV136" s="22">
        <f t="shared" si="1152"/>
        <v>2268.1200000000003</v>
      </c>
      <c r="AW136" s="22">
        <f t="shared" si="1152"/>
        <v>2324.9500000000003</v>
      </c>
      <c r="AX136" s="22">
        <f t="shared" si="1152"/>
        <v>2811.09</v>
      </c>
      <c r="AY136" s="22">
        <f t="shared" si="1152"/>
        <v>2968.71</v>
      </c>
      <c r="AZ136" s="22">
        <f t="shared" si="1152"/>
        <v>3027.0699999999997</v>
      </c>
      <c r="BA136" s="22">
        <f t="shared" si="1152"/>
        <v>3107.2599999999998</v>
      </c>
      <c r="BB136" s="22">
        <f t="shared" si="1152"/>
        <v>3306.62</v>
      </c>
      <c r="BC136" s="22">
        <f t="shared" si="1152"/>
        <v>3492.2599999999998</v>
      </c>
      <c r="BD136" s="22">
        <f t="shared" si="1152"/>
        <v>3539.63</v>
      </c>
      <c r="BE136" s="22">
        <f t="shared" si="1152"/>
        <v>3639.11</v>
      </c>
      <c r="BF136" s="22">
        <f t="shared" si="1152"/>
        <v>3905.21</v>
      </c>
      <c r="BG136" s="22">
        <f t="shared" si="1152"/>
        <v>4089.1299999999997</v>
      </c>
      <c r="BH136" s="22">
        <f t="shared" si="1152"/>
        <v>3890.56</v>
      </c>
      <c r="BI136" s="22">
        <f t="shared" si="1152"/>
        <v>3971.48</v>
      </c>
      <c r="BJ136" s="22">
        <f t="shared" si="1152"/>
        <v>4109.99</v>
      </c>
      <c r="BK136" s="22">
        <f t="shared" si="1152"/>
        <v>4275.1699999999992</v>
      </c>
      <c r="BL136" s="22">
        <f t="shared" si="1152"/>
        <v>4092.69</v>
      </c>
      <c r="BM136" s="22">
        <f t="shared" si="1152"/>
        <v>4179.6000000000004</v>
      </c>
      <c r="BN136" s="22">
        <f t="shared" si="1152"/>
        <v>4280.21</v>
      </c>
      <c r="BO136" s="22">
        <f t="shared" si="1152"/>
        <v>4361.3599999999997</v>
      </c>
      <c r="BP136" s="22">
        <f t="shared" si="1152"/>
        <v>4384.49</v>
      </c>
      <c r="BQ136" s="22">
        <f t="shared" si="1152"/>
        <v>4512.3999999999996</v>
      </c>
      <c r="BR136" s="22">
        <f t="shared" si="1152"/>
        <v>4993.3500000000004</v>
      </c>
      <c r="BS136" s="22">
        <f t="shared" si="1152"/>
        <v>5115.1500000000005</v>
      </c>
      <c r="BT136" s="22">
        <f t="shared" si="1152"/>
        <v>5127.07</v>
      </c>
      <c r="BU136" s="22">
        <f t="shared" si="1152"/>
        <v>5223.0499999999993</v>
      </c>
      <c r="BV136" s="22">
        <f t="shared" si="1152"/>
        <v>5499.5599999999995</v>
      </c>
      <c r="BW136" s="22">
        <f t="shared" si="1152"/>
        <v>5608.44</v>
      </c>
      <c r="BX136" s="22">
        <f t="shared" si="1152"/>
        <v>5591.14</v>
      </c>
      <c r="BY136" s="22">
        <f t="shared" si="1152"/>
        <v>5480.76</v>
      </c>
      <c r="BZ136" s="22">
        <f t="shared" si="1152"/>
        <v>5452.07</v>
      </c>
      <c r="CA136" s="22">
        <f t="shared" si="1152"/>
        <v>5581.36</v>
      </c>
      <c r="CB136" s="22">
        <f t="shared" si="1152"/>
        <v>5714.45</v>
      </c>
      <c r="CC136" s="22">
        <f t="shared" si="1152"/>
        <v>5684.04</v>
      </c>
      <c r="CD136" s="22">
        <f t="shared" si="1152"/>
        <v>5820.5</v>
      </c>
      <c r="CE136" s="22">
        <f t="shared" si="1152"/>
        <v>6154.7299999999987</v>
      </c>
      <c r="CF136" s="22">
        <f t="shared" ref="CF136:CG136" si="1153">CF133+CF134+CF135</f>
        <v>6278.6</v>
      </c>
      <c r="CG136" s="22">
        <f t="shared" si="1153"/>
        <v>6410.7300000000005</v>
      </c>
      <c r="CH136" s="22">
        <f t="shared" ref="CH136:CI136" si="1154">CH133+CH134+CH135</f>
        <v>6513.25</v>
      </c>
      <c r="CI136" s="22">
        <f t="shared" si="1154"/>
        <v>6653.71</v>
      </c>
      <c r="CJ136" s="22">
        <f t="shared" ref="CJ136:DB136" si="1155">CJ133+CJ134+CJ135</f>
        <v>6368.99</v>
      </c>
      <c r="CK136" s="21">
        <f t="shared" si="1155"/>
        <v>6453.94</v>
      </c>
      <c r="CL136" s="22">
        <f t="shared" ref="CL136" si="1156">CL133+CL134+CL135</f>
        <v>6376.21</v>
      </c>
      <c r="CM136" s="21">
        <f t="shared" si="1155"/>
        <v>6517.475507631354</v>
      </c>
      <c r="CN136" s="21">
        <f t="shared" si="1155"/>
        <v>6583.3368253463996</v>
      </c>
      <c r="CO136" s="21">
        <f t="shared" si="1155"/>
        <v>6688.8079979853137</v>
      </c>
      <c r="CP136" s="21">
        <f t="shared" si="1155"/>
        <v>6906.8062405637784</v>
      </c>
      <c r="CQ136" s="21">
        <f t="shared" si="1155"/>
        <v>7114.9142836642131</v>
      </c>
      <c r="CR136" s="21">
        <f t="shared" si="1155"/>
        <v>7210.7846901463972</v>
      </c>
      <c r="CS136" s="21">
        <f t="shared" si="1155"/>
        <v>7335.8855067734939</v>
      </c>
      <c r="CT136" s="21">
        <f t="shared" si="1155"/>
        <v>7595.332341047545</v>
      </c>
      <c r="CU136" s="21">
        <f t="shared" si="1155"/>
        <v>7845.0344795053452</v>
      </c>
      <c r="CV136" s="21">
        <f t="shared" si="1155"/>
        <v>7962.4943896657087</v>
      </c>
      <c r="CW136" s="21">
        <f t="shared" si="1155"/>
        <v>8109.3092143737213</v>
      </c>
      <c r="CX136" s="21">
        <f t="shared" si="1155"/>
        <v>8407.1772394109685</v>
      </c>
      <c r="CY136" s="21">
        <f t="shared" si="1155"/>
        <v>8700.1378123603827</v>
      </c>
      <c r="CZ136" s="21">
        <f t="shared" si="1155"/>
        <v>8839.3331308649958</v>
      </c>
      <c r="DA136" s="21">
        <f t="shared" si="1155"/>
        <v>9011.2741720078575</v>
      </c>
      <c r="DB136" s="21">
        <f t="shared" si="1155"/>
        <v>9356.8033745751327</v>
      </c>
      <c r="DE136" s="126"/>
      <c r="DF136" s="22">
        <v>6725.957776503722</v>
      </c>
    </row>
    <row r="137" spans="1:110" s="22" customFormat="1" x14ac:dyDescent="0.2">
      <c r="AB137" s="21"/>
      <c r="AC137" s="21"/>
      <c r="AD137" s="21"/>
      <c r="AE137" s="21"/>
      <c r="CK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E137" s="126"/>
    </row>
    <row r="138" spans="1:110" s="23" customFormat="1" x14ac:dyDescent="0.2">
      <c r="A138" s="23" t="s">
        <v>23</v>
      </c>
      <c r="B138" s="23">
        <f>'Annual Raw'!C45</f>
        <v>0</v>
      </c>
      <c r="C138" s="23">
        <f>'Annual Raw'!D45</f>
        <v>0.78939999999999999</v>
      </c>
      <c r="D138" s="23">
        <f>'Annual Raw'!E45</f>
        <v>0.377</v>
      </c>
      <c r="E138" s="23">
        <f>'Annual Raw'!F45</f>
        <v>0.26350000000000001</v>
      </c>
      <c r="F138" s="23">
        <f>'Annual Raw'!G45</f>
        <v>0.2417</v>
      </c>
      <c r="G138" s="23">
        <f>'Annual Raw'!H45</f>
        <v>0.26379999999999998</v>
      </c>
      <c r="H138" s="23">
        <f>'Annual Raw'!I45</f>
        <v>0.43730000000000002</v>
      </c>
      <c r="I138" s="23">
        <f>'Annual Raw'!J45</f>
        <v>0.54800000000000004</v>
      </c>
      <c r="J138" s="23">
        <f>'Annual Raw'!K45</f>
        <v>15.904400000000001</v>
      </c>
      <c r="K138" s="23">
        <f>'Annual Raw'!L45</f>
        <v>13.8634</v>
      </c>
      <c r="L138" s="23">
        <f>'Annual Raw'!M45</f>
        <v>19.6189</v>
      </c>
      <c r="M138" s="23">
        <f>'Annual Raw'!N45</f>
        <v>17.005800000000001</v>
      </c>
      <c r="N138" s="23">
        <f>'Annual Raw'!O45</f>
        <v>11.8086</v>
      </c>
      <c r="O138" s="23">
        <f>'Annual Raw'!P45</f>
        <v>13.8178</v>
      </c>
      <c r="P138" s="23">
        <f>'Annual Raw'!Q45</f>
        <v>16.051100000000002</v>
      </c>
      <c r="Q138" s="23">
        <f>'Annual Raw'!R45</f>
        <v>26.680499999999999</v>
      </c>
      <c r="R138" s="23">
        <f>'Annual Raw'!S45</f>
        <v>28.52</v>
      </c>
      <c r="S138" s="23">
        <f>'Annual Raw'!T45</f>
        <v>31.74</v>
      </c>
      <c r="T138" s="23">
        <f>'Annual Raw'!U45</f>
        <v>34.75</v>
      </c>
      <c r="U138" s="23">
        <f>'Annual Raw'!V45</f>
        <v>36.49</v>
      </c>
      <c r="V138" s="23">
        <f>'Annual Raw'!W45</f>
        <v>36.1</v>
      </c>
      <c r="W138" s="23">
        <f>'Annual Raw'!X45</f>
        <v>38.08</v>
      </c>
      <c r="X138" s="23">
        <f>'Annual Raw'!Y45</f>
        <v>41.65</v>
      </c>
      <c r="Y138" s="23">
        <f>'Annual Raw'!Z45</f>
        <v>33.71</v>
      </c>
      <c r="Z138" s="23">
        <f>'Annual Raw'!AA45</f>
        <v>27.05</v>
      </c>
      <c r="AA138" s="23">
        <f>'Annual Raw'!AB45</f>
        <v>22.84</v>
      </c>
      <c r="AB138" s="24">
        <f>+CP138</f>
        <v>22.84</v>
      </c>
      <c r="AC138" s="24">
        <f>+CT138</f>
        <v>22.84</v>
      </c>
      <c r="AD138" s="24">
        <f>+CX138</f>
        <v>22.84</v>
      </c>
      <c r="AE138" s="24">
        <f>+DB138</f>
        <v>22.84</v>
      </c>
      <c r="AJ138" s="23">
        <f>+'QTR Raw'!D60</f>
        <v>12.82</v>
      </c>
      <c r="AK138" s="23">
        <f t="shared" ref="AK138:CE138" si="1157">+AJ138</f>
        <v>12.82</v>
      </c>
      <c r="AL138" s="23">
        <f>+'QTR Raw'!F60</f>
        <v>11.81</v>
      </c>
      <c r="AM138" s="23">
        <f t="shared" si="1157"/>
        <v>11.81</v>
      </c>
      <c r="AN138" s="23">
        <f>+'QTR Raw'!H60</f>
        <v>12.71</v>
      </c>
      <c r="AO138" s="23">
        <f t="shared" si="1157"/>
        <v>12.71</v>
      </c>
      <c r="AP138" s="23">
        <f>+'QTR Raw'!J60</f>
        <v>13.82</v>
      </c>
      <c r="AQ138" s="23">
        <f t="shared" si="1157"/>
        <v>13.82</v>
      </c>
      <c r="AR138" s="23">
        <f>+'QTR Raw'!L60</f>
        <v>15.33</v>
      </c>
      <c r="AS138" s="23">
        <f t="shared" si="1157"/>
        <v>15.33</v>
      </c>
      <c r="AT138" s="23">
        <f>+'QTR Raw'!N60</f>
        <v>16.05</v>
      </c>
      <c r="AU138" s="23">
        <f t="shared" si="1157"/>
        <v>16.05</v>
      </c>
      <c r="AV138" s="23">
        <f>+'QTR Raw'!P60</f>
        <v>17.7</v>
      </c>
      <c r="AW138" s="23">
        <f t="shared" si="1157"/>
        <v>17.7</v>
      </c>
      <c r="AX138" s="23">
        <f>+'QTR Raw'!R60</f>
        <v>26.68</v>
      </c>
      <c r="AY138" s="23">
        <f t="shared" si="1157"/>
        <v>26.68</v>
      </c>
      <c r="AZ138" s="23">
        <f>+'QTR Raw'!T60</f>
        <v>25.61</v>
      </c>
      <c r="BA138" s="23">
        <f t="shared" si="1157"/>
        <v>25.61</v>
      </c>
      <c r="BB138" s="23">
        <f>+'QTR Raw'!V60</f>
        <v>28.52</v>
      </c>
      <c r="BC138" s="23">
        <f t="shared" si="1157"/>
        <v>28.52</v>
      </c>
      <c r="BD138" s="23">
        <f>+'QTR Raw'!X60</f>
        <v>29.4</v>
      </c>
      <c r="BE138" s="23">
        <f t="shared" si="1157"/>
        <v>29.4</v>
      </c>
      <c r="BF138" s="23">
        <f>+'QTR Raw'!Z60</f>
        <v>31.74</v>
      </c>
      <c r="BG138" s="23">
        <f t="shared" si="1157"/>
        <v>31.74</v>
      </c>
      <c r="BH138" s="22">
        <f>+'QTR Raw'!AB60</f>
        <v>37.04</v>
      </c>
      <c r="BI138" s="23">
        <f t="shared" si="1157"/>
        <v>37.04</v>
      </c>
      <c r="BJ138" s="23">
        <f>+'QTR Raw'!AD60</f>
        <v>34.75</v>
      </c>
      <c r="BK138" s="23">
        <f t="shared" si="1157"/>
        <v>34.75</v>
      </c>
      <c r="BL138" s="23">
        <f>+'QTR Raw'!AF60</f>
        <v>34.15</v>
      </c>
      <c r="BM138" s="23">
        <f t="shared" si="1157"/>
        <v>34.15</v>
      </c>
      <c r="BN138" s="23">
        <f>+'QTR Raw'!AH60</f>
        <v>36.49</v>
      </c>
      <c r="BO138" s="23">
        <f t="shared" si="1157"/>
        <v>36.49</v>
      </c>
      <c r="BP138" s="23">
        <f>+'QTR Raw'!AJ60</f>
        <v>36.44</v>
      </c>
      <c r="BQ138" s="23">
        <f t="shared" si="1157"/>
        <v>36.44</v>
      </c>
      <c r="BR138" s="23">
        <f>+'QTR Raw'!AL60</f>
        <v>36.1</v>
      </c>
      <c r="BS138" s="23">
        <f t="shared" si="1157"/>
        <v>36.1</v>
      </c>
      <c r="BT138" s="23">
        <f>+'QTR Raw'!AN60</f>
        <v>37.85</v>
      </c>
      <c r="BU138" s="23">
        <f t="shared" si="1157"/>
        <v>37.85</v>
      </c>
      <c r="BV138" s="23">
        <f>+'QTR Raw'!AP60</f>
        <v>38.08</v>
      </c>
      <c r="BW138" s="23">
        <f t="shared" si="1157"/>
        <v>38.08</v>
      </c>
      <c r="BX138" s="23">
        <f>+'QTR Raw'!AR60</f>
        <v>42.05</v>
      </c>
      <c r="BY138" s="23">
        <f t="shared" si="1157"/>
        <v>42.05</v>
      </c>
      <c r="BZ138" s="23">
        <f>+'QTR Raw'!AT60</f>
        <v>41.65</v>
      </c>
      <c r="CA138" s="23">
        <f t="shared" si="1157"/>
        <v>41.65</v>
      </c>
      <c r="CB138" s="23">
        <f>+'QTR Raw'!AV60</f>
        <v>41.13</v>
      </c>
      <c r="CC138" s="23">
        <f t="shared" si="1157"/>
        <v>41.13</v>
      </c>
      <c r="CD138" s="23">
        <f>+'QTR Raw'!AX60</f>
        <v>33.71</v>
      </c>
      <c r="CE138" s="23">
        <f t="shared" si="1157"/>
        <v>33.71</v>
      </c>
      <c r="CF138" s="23">
        <f>+'QTR Raw'!AZ60</f>
        <v>33.53</v>
      </c>
      <c r="CG138" s="23">
        <f t="shared" ref="CG138:CI138" si="1158">+CF138</f>
        <v>33.53</v>
      </c>
      <c r="CH138" s="23">
        <f t="shared" ref="CH138:CH143" si="1159">Z138</f>
        <v>27.05</v>
      </c>
      <c r="CI138" s="23">
        <f t="shared" si="1158"/>
        <v>27.05</v>
      </c>
      <c r="CJ138" s="23">
        <f>+'QTR Raw'!BD60</f>
        <v>24.62</v>
      </c>
      <c r="CK138" s="24">
        <f t="shared" ref="CK138" si="1160">+CJ138</f>
        <v>24.62</v>
      </c>
      <c r="CL138" s="23">
        <f>+'QTR Raw'!BF60</f>
        <v>22.84</v>
      </c>
      <c r="CM138" s="24">
        <f t="shared" ref="CM138" si="1161">+CL138</f>
        <v>22.84</v>
      </c>
      <c r="CN138" s="24">
        <f t="shared" ref="CN138" si="1162">+CM138</f>
        <v>22.84</v>
      </c>
      <c r="CO138" s="24">
        <f t="shared" ref="CO138" si="1163">+CN138</f>
        <v>22.84</v>
      </c>
      <c r="CP138" s="24">
        <f t="shared" ref="CP138" si="1164">+CO138</f>
        <v>22.84</v>
      </c>
      <c r="CQ138" s="24">
        <f t="shared" ref="CQ138" si="1165">+CP138</f>
        <v>22.84</v>
      </c>
      <c r="CR138" s="24">
        <f t="shared" ref="CR138" si="1166">+CQ138</f>
        <v>22.84</v>
      </c>
      <c r="CS138" s="24">
        <f t="shared" ref="CS138" si="1167">+CR138</f>
        <v>22.84</v>
      </c>
      <c r="CT138" s="24">
        <f t="shared" ref="CT138" si="1168">+CS138</f>
        <v>22.84</v>
      </c>
      <c r="CU138" s="24">
        <f t="shared" ref="CU138" si="1169">+CT138</f>
        <v>22.84</v>
      </c>
      <c r="CV138" s="24">
        <f t="shared" ref="CV138" si="1170">+CU138</f>
        <v>22.84</v>
      </c>
      <c r="CW138" s="24">
        <f t="shared" ref="CW138" si="1171">+CV138</f>
        <v>22.84</v>
      </c>
      <c r="CX138" s="24">
        <f t="shared" ref="CX138" si="1172">+CW138</f>
        <v>22.84</v>
      </c>
      <c r="CY138" s="24">
        <f t="shared" ref="CY138" si="1173">+CX138</f>
        <v>22.84</v>
      </c>
      <c r="CZ138" s="24">
        <f t="shared" ref="CZ138" si="1174">+CY138</f>
        <v>22.84</v>
      </c>
      <c r="DA138" s="24">
        <f t="shared" ref="DA138" si="1175">+CZ138</f>
        <v>22.84</v>
      </c>
      <c r="DB138" s="24">
        <f t="shared" ref="DB138" si="1176">+DA138</f>
        <v>22.84</v>
      </c>
      <c r="DE138" s="123"/>
      <c r="DF138" s="23">
        <v>24.62</v>
      </c>
    </row>
    <row r="139" spans="1:110" s="23" customFormat="1" x14ac:dyDescent="0.2">
      <c r="AB139" s="24"/>
      <c r="AC139" s="24"/>
      <c r="AD139" s="24"/>
      <c r="AE139" s="24"/>
      <c r="BH139" s="22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45</v>
      </c>
      <c r="B140" s="23">
        <f>'Annual Raw'!C47</f>
        <v>67.133200000000002</v>
      </c>
      <c r="C140" s="23">
        <f>'Annual Raw'!D47</f>
        <v>22.074300000000001</v>
      </c>
      <c r="D140" s="23">
        <f>'Annual Raw'!E47</f>
        <v>72.839299999999994</v>
      </c>
      <c r="E140" s="23">
        <f>'Annual Raw'!F47</f>
        <v>71.142099999999999</v>
      </c>
      <c r="F140" s="23">
        <f>'Annual Raw'!G47</f>
        <v>94.263199999999998</v>
      </c>
      <c r="G140" s="23">
        <f>'Annual Raw'!H47</f>
        <v>64.786699999999996</v>
      </c>
      <c r="H140" s="23">
        <f>'Annual Raw'!I47</f>
        <v>111.3028</v>
      </c>
      <c r="I140" s="23">
        <f>'Annual Raw'!J47</f>
        <v>73.741</v>
      </c>
      <c r="J140" s="23">
        <f>'Annual Raw'!K47</f>
        <v>168.76050000000001</v>
      </c>
      <c r="K140" s="23">
        <f>'Annual Raw'!L47</f>
        <v>30.6265</v>
      </c>
      <c r="L140" s="23">
        <f>'Annual Raw'!M47</f>
        <v>5.4486999999999997</v>
      </c>
      <c r="M140" s="23">
        <f>'Annual Raw'!N47</f>
        <v>4.0006000000000004</v>
      </c>
      <c r="N140" s="23">
        <f>'Annual Raw'!O47</f>
        <v>2.2884000000000002</v>
      </c>
      <c r="O140" s="23">
        <f>'Annual Raw'!P47</f>
        <v>1.1575</v>
      </c>
      <c r="P140" s="23">
        <f>'Annual Raw'!Q47</f>
        <v>0.3775</v>
      </c>
      <c r="Q140" s="23">
        <f>'Annual Raw'!R47</f>
        <v>0</v>
      </c>
      <c r="R140" s="23">
        <f>'Annual Raw'!S47</f>
        <v>0</v>
      </c>
      <c r="S140" s="23">
        <f>'Annual Raw'!T47</f>
        <v>0</v>
      </c>
      <c r="T140" s="23">
        <f>'Annual Raw'!U47</f>
        <v>0</v>
      </c>
      <c r="U140" s="23">
        <f>'Annual Raw'!V47</f>
        <v>0</v>
      </c>
      <c r="V140" s="23">
        <f>'Annual Raw'!W47</f>
        <v>0</v>
      </c>
      <c r="W140" s="23">
        <f>'Annual Raw'!X47</f>
        <v>0</v>
      </c>
      <c r="X140" s="23">
        <f>'Annual Raw'!Y47</f>
        <v>0</v>
      </c>
      <c r="Y140" s="23">
        <f>'Annual Raw'!Z47</f>
        <v>0</v>
      </c>
      <c r="Z140" s="23">
        <f>'Annual Raw'!AA47</f>
        <v>0</v>
      </c>
      <c r="AA140" s="23">
        <f>'Annual Raw'!AB47</f>
        <v>0</v>
      </c>
      <c r="AB140" s="24">
        <f t="shared" ref="AB140:AB143" si="1177">+CP140</f>
        <v>0</v>
      </c>
      <c r="AC140" s="24">
        <f t="shared" ref="AC140:AC143" si="1178">+CT140</f>
        <v>0</v>
      </c>
      <c r="AD140" s="24">
        <f t="shared" ref="AD140:AD143" si="1179">+CX140</f>
        <v>0</v>
      </c>
      <c r="AE140" s="24">
        <f t="shared" ref="AE140:AE143" si="1180">+DB140</f>
        <v>0</v>
      </c>
      <c r="AJ140" s="23">
        <f>+'QTR Raw'!D62</f>
        <v>0</v>
      </c>
      <c r="AK140" s="23">
        <f t="shared" ref="AK140:CC143" si="1181">+AJ140</f>
        <v>0</v>
      </c>
      <c r="AL140" s="23">
        <f>+'QTR Raw'!F62</f>
        <v>0</v>
      </c>
      <c r="AM140" s="23">
        <f t="shared" si="1181"/>
        <v>0</v>
      </c>
      <c r="AN140" s="23">
        <f>+'QTR Raw'!H62</f>
        <v>0</v>
      </c>
      <c r="AO140" s="23">
        <f t="shared" si="1181"/>
        <v>0</v>
      </c>
      <c r="AP140" s="23">
        <f>+'QTR Raw'!J62</f>
        <v>0</v>
      </c>
      <c r="AQ140" s="23">
        <f t="shared" si="1181"/>
        <v>0</v>
      </c>
      <c r="AR140" s="23">
        <f>+'QTR Raw'!L62</f>
        <v>0</v>
      </c>
      <c r="AS140" s="23">
        <f t="shared" si="1181"/>
        <v>0</v>
      </c>
      <c r="AT140" s="23">
        <f>+'QTR Raw'!N62</f>
        <v>0</v>
      </c>
      <c r="AU140" s="23">
        <f t="shared" si="1181"/>
        <v>0</v>
      </c>
      <c r="AV140" s="23">
        <f>+'QTR Raw'!P62</f>
        <v>0</v>
      </c>
      <c r="AW140" s="23">
        <f t="shared" si="1181"/>
        <v>0</v>
      </c>
      <c r="AX140" s="23">
        <f>+'QTR Raw'!R62</f>
        <v>0</v>
      </c>
      <c r="AY140" s="23">
        <f t="shared" si="1181"/>
        <v>0</v>
      </c>
      <c r="AZ140" s="23">
        <f>+'QTR Raw'!T62</f>
        <v>0</v>
      </c>
      <c r="BA140" s="23">
        <f t="shared" si="1181"/>
        <v>0</v>
      </c>
      <c r="BB140" s="23">
        <f>+'QTR Raw'!V62</f>
        <v>0</v>
      </c>
      <c r="BC140" s="23">
        <f t="shared" si="1181"/>
        <v>0</v>
      </c>
      <c r="BD140" s="23">
        <f>+'QTR Raw'!X62</f>
        <v>0</v>
      </c>
      <c r="BE140" s="23">
        <f t="shared" si="1181"/>
        <v>0</v>
      </c>
      <c r="BF140" s="23">
        <f>+'QTR Raw'!Z62</f>
        <v>0</v>
      </c>
      <c r="BG140" s="23">
        <f t="shared" si="1181"/>
        <v>0</v>
      </c>
      <c r="BH140" s="22">
        <f>+'QTR Raw'!AB62</f>
        <v>0</v>
      </c>
      <c r="BI140" s="23">
        <f t="shared" si="1181"/>
        <v>0</v>
      </c>
      <c r="BJ140" s="23">
        <f>+'QTR Raw'!AD62</f>
        <v>0</v>
      </c>
      <c r="BK140" s="23">
        <f t="shared" si="1181"/>
        <v>0</v>
      </c>
      <c r="BL140" s="23">
        <f>+'QTR Raw'!AF62</f>
        <v>0</v>
      </c>
      <c r="BM140" s="23">
        <f t="shared" si="1181"/>
        <v>0</v>
      </c>
      <c r="BN140" s="23">
        <f>+'QTR Raw'!AH62</f>
        <v>0</v>
      </c>
      <c r="BO140" s="23">
        <f t="shared" si="1181"/>
        <v>0</v>
      </c>
      <c r="BP140" s="23">
        <f>+'QTR Raw'!AJ62</f>
        <v>0</v>
      </c>
      <c r="BQ140" s="23">
        <f t="shared" si="1181"/>
        <v>0</v>
      </c>
      <c r="BR140" s="23">
        <f>+'QTR Raw'!AL62</f>
        <v>0</v>
      </c>
      <c r="BS140" s="23">
        <f t="shared" si="1181"/>
        <v>0</v>
      </c>
      <c r="BT140" s="23">
        <f>+'QTR Raw'!AN62</f>
        <v>0</v>
      </c>
      <c r="BU140" s="23">
        <f t="shared" si="1181"/>
        <v>0</v>
      </c>
      <c r="BV140" s="23">
        <f>+'QTR Raw'!AP62</f>
        <v>0</v>
      </c>
      <c r="BW140" s="23">
        <f t="shared" si="1181"/>
        <v>0</v>
      </c>
      <c r="BX140" s="23">
        <f>+'QTR Raw'!AR62</f>
        <v>0</v>
      </c>
      <c r="BY140" s="23">
        <f t="shared" si="1181"/>
        <v>0</v>
      </c>
      <c r="BZ140" s="23">
        <f>+'QTR Raw'!AT62</f>
        <v>0</v>
      </c>
      <c r="CA140" s="23">
        <f t="shared" si="1181"/>
        <v>0</v>
      </c>
      <c r="CB140" s="23">
        <f>+'QTR Raw'!AV62</f>
        <v>0</v>
      </c>
      <c r="CC140" s="23">
        <f t="shared" si="1181"/>
        <v>0</v>
      </c>
      <c r="CD140" s="23">
        <f>+'QTR Raw'!AX62</f>
        <v>0</v>
      </c>
      <c r="CE140" s="23">
        <f t="shared" ref="CE140:CE143" si="1182">+CD140</f>
        <v>0</v>
      </c>
      <c r="CF140" s="23">
        <f>+'QTR Raw'!AZ62</f>
        <v>0</v>
      </c>
      <c r="CG140" s="23">
        <f t="shared" ref="CG140:CI143" si="1183">+CF140</f>
        <v>0</v>
      </c>
      <c r="CH140" s="23">
        <f t="shared" si="1159"/>
        <v>0</v>
      </c>
      <c r="CI140" s="23">
        <f t="shared" si="1183"/>
        <v>0</v>
      </c>
      <c r="CJ140" s="23">
        <f>+'QTR Raw'!BD62</f>
        <v>0</v>
      </c>
      <c r="CK140" s="24">
        <f t="shared" ref="CK140:CK143" si="1184">+CJ140</f>
        <v>0</v>
      </c>
      <c r="CL140" s="23">
        <f>+'QTR Raw'!BF62</f>
        <v>0</v>
      </c>
      <c r="CM140" s="24">
        <f t="shared" ref="CM140:CM143" si="1185">+CL140</f>
        <v>0</v>
      </c>
      <c r="CN140" s="24">
        <f t="shared" ref="CN140:CN143" si="1186">+CM140</f>
        <v>0</v>
      </c>
      <c r="CO140" s="24">
        <f t="shared" ref="CO140:CO143" si="1187">+CN140</f>
        <v>0</v>
      </c>
      <c r="CP140" s="24">
        <f t="shared" ref="CP140:CP143" si="1188">+CO140</f>
        <v>0</v>
      </c>
      <c r="CQ140" s="24">
        <f t="shared" ref="CQ140:CQ143" si="1189">+CP140</f>
        <v>0</v>
      </c>
      <c r="CR140" s="24">
        <f t="shared" ref="CR140:CR143" si="1190">+CQ140</f>
        <v>0</v>
      </c>
      <c r="CS140" s="24">
        <f t="shared" ref="CS140:CS143" si="1191">+CR140</f>
        <v>0</v>
      </c>
      <c r="CT140" s="24">
        <f t="shared" ref="CT140:CT143" si="1192">+CS140</f>
        <v>0</v>
      </c>
      <c r="CU140" s="24">
        <f t="shared" ref="CU140:CU143" si="1193">+CT140</f>
        <v>0</v>
      </c>
      <c r="CV140" s="24">
        <f t="shared" ref="CV140:CV143" si="1194">+CU140</f>
        <v>0</v>
      </c>
      <c r="CW140" s="24">
        <f t="shared" ref="CW140:CW143" si="1195">+CV140</f>
        <v>0</v>
      </c>
      <c r="CX140" s="24">
        <f t="shared" ref="CX140:CX143" si="1196">+CW140</f>
        <v>0</v>
      </c>
      <c r="CY140" s="24">
        <f t="shared" ref="CY140:CY143" si="1197">+CX140</f>
        <v>0</v>
      </c>
      <c r="CZ140" s="24">
        <f t="shared" ref="CZ140:CZ143" si="1198">+CY140</f>
        <v>0</v>
      </c>
      <c r="DA140" s="24">
        <f t="shared" ref="DA140:DA143" si="1199">+CZ140</f>
        <v>0</v>
      </c>
      <c r="DB140" s="24">
        <f t="shared" ref="DB140:DB143" si="1200">+DA140</f>
        <v>0</v>
      </c>
      <c r="DE140" s="123"/>
      <c r="DF140" s="23">
        <v>0</v>
      </c>
    </row>
    <row r="141" spans="1:110" s="23" customFormat="1" outlineLevel="1" x14ac:dyDescent="0.2">
      <c r="A141" s="23" t="s">
        <v>46</v>
      </c>
      <c r="B141" s="23">
        <f>'Annual Raw'!C48</f>
        <v>67.335899999999995</v>
      </c>
      <c r="C141" s="23">
        <f>'Annual Raw'!D48</f>
        <v>76.450599999999994</v>
      </c>
      <c r="D141" s="23">
        <f>'Annual Raw'!E48</f>
        <v>36.105499999999999</v>
      </c>
      <c r="E141" s="23">
        <f>'Annual Raw'!F48</f>
        <v>31.7652</v>
      </c>
      <c r="F141" s="23">
        <f>'Annual Raw'!G48</f>
        <v>32.217399999999998</v>
      </c>
      <c r="G141" s="23">
        <f>'Annual Raw'!H48</f>
        <v>25.2867</v>
      </c>
      <c r="H141" s="23">
        <f>'Annual Raw'!I48</f>
        <v>0.27850000000000003</v>
      </c>
      <c r="I141" s="23">
        <f>'Annual Raw'!J48</f>
        <v>0</v>
      </c>
      <c r="J141" s="23">
        <f>'Annual Raw'!K48</f>
        <v>12.677899999999999</v>
      </c>
      <c r="K141" s="23">
        <f>'Annual Raw'!L48</f>
        <v>4.5438999999999998</v>
      </c>
      <c r="L141" s="23">
        <f>'Annual Raw'!M48</f>
        <v>3.8637000000000001</v>
      </c>
      <c r="M141" s="23">
        <f>'Annual Raw'!N48</f>
        <v>3.6280999999999999</v>
      </c>
      <c r="N141" s="23">
        <f>'Annual Raw'!O48</f>
        <v>3.7328999999999999</v>
      </c>
      <c r="O141" s="23">
        <f>'Annual Raw'!P48</f>
        <v>4.2157999999999998</v>
      </c>
      <c r="P141" s="23">
        <f>'Annual Raw'!Q48</f>
        <v>4.3179999999999996</v>
      </c>
      <c r="Q141" s="23">
        <f>'Annual Raw'!R48</f>
        <v>0</v>
      </c>
      <c r="R141" s="23">
        <f>'Annual Raw'!S48</f>
        <v>0</v>
      </c>
      <c r="S141" s="23">
        <f>'Annual Raw'!T48</f>
        <v>0</v>
      </c>
      <c r="T141" s="23">
        <f>'Annual Raw'!U48</f>
        <v>0</v>
      </c>
      <c r="U141" s="23">
        <f>'Annual Raw'!V48</f>
        <v>5.41</v>
      </c>
      <c r="V141" s="23">
        <f>'Annual Raw'!W48</f>
        <v>5.66</v>
      </c>
      <c r="W141" s="23">
        <f>'Annual Raw'!X48</f>
        <v>12.68</v>
      </c>
      <c r="X141" s="23">
        <f>'Annual Raw'!Y48</f>
        <v>21.15</v>
      </c>
      <c r="Y141" s="23">
        <f>'Annual Raw'!Z48</f>
        <v>228</v>
      </c>
      <c r="Z141" s="23">
        <f>'Annual Raw'!AA48</f>
        <v>382.28</v>
      </c>
      <c r="AA141" s="23">
        <f>'Annual Raw'!AB48</f>
        <v>375.8</v>
      </c>
      <c r="AB141" s="24">
        <f t="shared" si="1177"/>
        <v>375.8</v>
      </c>
      <c r="AC141" s="24">
        <f t="shared" si="1178"/>
        <v>375.8</v>
      </c>
      <c r="AD141" s="24">
        <f t="shared" si="1179"/>
        <v>375.8</v>
      </c>
      <c r="AE141" s="24">
        <f t="shared" si="1180"/>
        <v>375.8</v>
      </c>
      <c r="AJ141" s="23">
        <f>+'QTR Raw'!D63</f>
        <v>7.45</v>
      </c>
      <c r="AK141" s="23">
        <f t="shared" si="1181"/>
        <v>7.45</v>
      </c>
      <c r="AL141" s="23">
        <f>+'QTR Raw'!F63</f>
        <v>6.02</v>
      </c>
      <c r="AM141" s="23">
        <f t="shared" si="1181"/>
        <v>6.02</v>
      </c>
      <c r="AN141" s="23">
        <f>+'QTR Raw'!H63</f>
        <v>5.6</v>
      </c>
      <c r="AO141" s="23">
        <f t="shared" si="1181"/>
        <v>5.6</v>
      </c>
      <c r="AP141" s="23">
        <f>+'QTR Raw'!J63</f>
        <v>5.37</v>
      </c>
      <c r="AQ141" s="23">
        <f t="shared" si="1181"/>
        <v>5.37</v>
      </c>
      <c r="AR141" s="23">
        <f>+'QTR Raw'!L63</f>
        <v>4.47</v>
      </c>
      <c r="AS141" s="23">
        <f t="shared" si="1181"/>
        <v>4.47</v>
      </c>
      <c r="AT141" s="23">
        <f>+'QTR Raw'!N63</f>
        <v>4.7</v>
      </c>
      <c r="AU141" s="23">
        <f t="shared" si="1181"/>
        <v>4.7</v>
      </c>
      <c r="AV141" s="23">
        <f>+'QTR Raw'!P63</f>
        <v>4.3499999999999996</v>
      </c>
      <c r="AW141" s="23">
        <f t="shared" si="1181"/>
        <v>4.3499999999999996</v>
      </c>
      <c r="AX141" s="23">
        <f>+'QTR Raw'!R63</f>
        <v>0</v>
      </c>
      <c r="AY141" s="23">
        <f t="shared" si="1181"/>
        <v>0</v>
      </c>
      <c r="AZ141" s="23">
        <f>+'QTR Raw'!T63</f>
        <v>0</v>
      </c>
      <c r="BA141" s="23">
        <f t="shared" si="1181"/>
        <v>0</v>
      </c>
      <c r="BB141" s="23">
        <f>+'QTR Raw'!V63</f>
        <v>0</v>
      </c>
      <c r="BC141" s="23">
        <f t="shared" si="1181"/>
        <v>0</v>
      </c>
      <c r="BD141" s="23">
        <f>+'QTR Raw'!X63</f>
        <v>0</v>
      </c>
      <c r="BE141" s="23">
        <f t="shared" si="1181"/>
        <v>0</v>
      </c>
      <c r="BF141" s="23">
        <f>+'QTR Raw'!Z63</f>
        <v>0</v>
      </c>
      <c r="BG141" s="23">
        <f t="shared" si="1181"/>
        <v>0</v>
      </c>
      <c r="BH141" s="23">
        <f>+'QTR Raw'!AB63</f>
        <v>0</v>
      </c>
      <c r="BI141" s="23">
        <f t="shared" si="1181"/>
        <v>0</v>
      </c>
      <c r="BJ141" s="23">
        <f>+'QTR Raw'!AD63</f>
        <v>0</v>
      </c>
      <c r="BK141" s="23">
        <f t="shared" si="1181"/>
        <v>0</v>
      </c>
      <c r="BL141" s="23">
        <f>+'QTR Raw'!AF63</f>
        <v>10.72</v>
      </c>
      <c r="BM141" s="23">
        <f t="shared" si="1181"/>
        <v>10.72</v>
      </c>
      <c r="BN141" s="23">
        <f>+'QTR Raw'!AH63</f>
        <v>5.41</v>
      </c>
      <c r="BO141" s="23">
        <f t="shared" si="1181"/>
        <v>5.41</v>
      </c>
      <c r="BP141" s="23">
        <f>+'QTR Raw'!AJ63</f>
        <v>7.03</v>
      </c>
      <c r="BQ141" s="23">
        <f t="shared" si="1181"/>
        <v>7.03</v>
      </c>
      <c r="BR141" s="23">
        <f>+'QTR Raw'!AL63</f>
        <v>0</v>
      </c>
      <c r="BS141" s="23">
        <f t="shared" si="1181"/>
        <v>0</v>
      </c>
      <c r="BT141" s="23">
        <f>+'QTR Raw'!AN63</f>
        <v>0</v>
      </c>
      <c r="BU141" s="23">
        <f t="shared" si="1181"/>
        <v>0</v>
      </c>
      <c r="BV141" s="23">
        <f>+'QTR Raw'!AP63</f>
        <v>0</v>
      </c>
      <c r="BW141" s="23">
        <f t="shared" si="1181"/>
        <v>0</v>
      </c>
      <c r="BX141" s="23">
        <f>+'QTR Raw'!AR63</f>
        <v>0</v>
      </c>
      <c r="BY141" s="23">
        <f t="shared" si="1181"/>
        <v>0</v>
      </c>
      <c r="BZ141" s="23">
        <f>+'QTR Raw'!AT63</f>
        <v>21.15</v>
      </c>
      <c r="CA141" s="23">
        <f t="shared" si="1181"/>
        <v>21.15</v>
      </c>
      <c r="CB141" s="23">
        <f>+'QTR Raw'!AV63</f>
        <v>0</v>
      </c>
      <c r="CC141" s="23">
        <f t="shared" si="1181"/>
        <v>0</v>
      </c>
      <c r="CD141" s="23">
        <f>+'QTR Raw'!AX63</f>
        <v>228</v>
      </c>
      <c r="CE141" s="23">
        <f t="shared" si="1182"/>
        <v>228</v>
      </c>
      <c r="CF141" s="23">
        <f>+'QTR Raw'!AZ63</f>
        <v>356.25</v>
      </c>
      <c r="CG141" s="23">
        <f t="shared" si="1183"/>
        <v>356.25</v>
      </c>
      <c r="CH141" s="23">
        <f t="shared" si="1159"/>
        <v>382.28</v>
      </c>
      <c r="CI141" s="23">
        <f t="shared" si="1183"/>
        <v>382.28</v>
      </c>
      <c r="CJ141" s="23">
        <f>+'QTR Raw'!BD63</f>
        <v>422.75</v>
      </c>
      <c r="CK141" s="24">
        <f t="shared" si="1184"/>
        <v>422.75</v>
      </c>
      <c r="CL141" s="23">
        <f>+'QTR Raw'!BF63</f>
        <v>375.8</v>
      </c>
      <c r="CM141" s="24">
        <f t="shared" si="1185"/>
        <v>375.8</v>
      </c>
      <c r="CN141" s="24">
        <f t="shared" si="1186"/>
        <v>375.8</v>
      </c>
      <c r="CO141" s="24">
        <f t="shared" si="1187"/>
        <v>375.8</v>
      </c>
      <c r="CP141" s="24">
        <f t="shared" si="1188"/>
        <v>375.8</v>
      </c>
      <c r="CQ141" s="24">
        <f t="shared" si="1189"/>
        <v>375.8</v>
      </c>
      <c r="CR141" s="24">
        <f t="shared" si="1190"/>
        <v>375.8</v>
      </c>
      <c r="CS141" s="24">
        <f t="shared" si="1191"/>
        <v>375.8</v>
      </c>
      <c r="CT141" s="24">
        <f t="shared" si="1192"/>
        <v>375.8</v>
      </c>
      <c r="CU141" s="24">
        <f t="shared" si="1193"/>
        <v>375.8</v>
      </c>
      <c r="CV141" s="24">
        <f t="shared" si="1194"/>
        <v>375.8</v>
      </c>
      <c r="CW141" s="24">
        <f t="shared" si="1195"/>
        <v>375.8</v>
      </c>
      <c r="CX141" s="24">
        <f t="shared" si="1196"/>
        <v>375.8</v>
      </c>
      <c r="CY141" s="24">
        <f t="shared" si="1197"/>
        <v>375.8</v>
      </c>
      <c r="CZ141" s="24">
        <f t="shared" si="1198"/>
        <v>375.8</v>
      </c>
      <c r="DA141" s="24">
        <f t="shared" si="1199"/>
        <v>375.8</v>
      </c>
      <c r="DB141" s="24">
        <f t="shared" si="1200"/>
        <v>375.8</v>
      </c>
      <c r="DE141" s="123"/>
      <c r="DF141" s="23">
        <v>422.75</v>
      </c>
    </row>
    <row r="142" spans="1:110" s="23" customFormat="1" outlineLevel="1" x14ac:dyDescent="0.2">
      <c r="A142" s="23" t="s">
        <v>47</v>
      </c>
      <c r="B142" s="23">
        <f>'Annual Raw'!C87+'Annual Raw'!C88+'Annual Raw'!C89+'Annual Raw'!C90</f>
        <v>0</v>
      </c>
      <c r="C142" s="23">
        <f>'Annual Raw'!D87+'Annual Raw'!D88+'Annual Raw'!D89+'Annual Raw'!D90</f>
        <v>0</v>
      </c>
      <c r="D142" s="23">
        <f>'Annual Raw'!E87+'Annual Raw'!E88+'Annual Raw'!E89+'Annual Raw'!E90</f>
        <v>0</v>
      </c>
      <c r="E142" s="23">
        <f>'Annual Raw'!F87+'Annual Raw'!F88+'Annual Raw'!F89+'Annual Raw'!F90</f>
        <v>0</v>
      </c>
      <c r="F142" s="23">
        <f>'Annual Raw'!G87+'Annual Raw'!G88+'Annual Raw'!G89+'Annual Raw'!G90</f>
        <v>0</v>
      </c>
      <c r="G142" s="23">
        <f>'Annual Raw'!H87+'Annual Raw'!H88+'Annual Raw'!H89+'Annual Raw'!H90</f>
        <v>0</v>
      </c>
      <c r="H142" s="23">
        <f>'Annual Raw'!I87+'Annual Raw'!I88+'Annual Raw'!I89+'Annual Raw'!I90</f>
        <v>0</v>
      </c>
      <c r="I142" s="23">
        <f>'Annual Raw'!J87+'Annual Raw'!J88+'Annual Raw'!J89+'Annual Raw'!J90</f>
        <v>0</v>
      </c>
      <c r="J142" s="23">
        <f>'Annual Raw'!K87+'Annual Raw'!K88+'Annual Raw'!K89+'Annual Raw'!K90</f>
        <v>0</v>
      </c>
      <c r="K142" s="23">
        <f>'Annual Raw'!L87+'Annual Raw'!L88+'Annual Raw'!L89+'Annual Raw'!L90</f>
        <v>0</v>
      </c>
      <c r="L142" s="23">
        <f>'Annual Raw'!M87+'Annual Raw'!M88+'Annual Raw'!M89+'Annual Raw'!M90</f>
        <v>1.3525</v>
      </c>
      <c r="M142" s="23">
        <f>'Annual Raw'!N87+'Annual Raw'!N88+'Annual Raw'!N89+'Annual Raw'!N90</f>
        <v>1.7221</v>
      </c>
      <c r="N142" s="23">
        <f>'Annual Raw'!O87+'Annual Raw'!O88+'Annual Raw'!O89+'Annual Raw'!O90</f>
        <v>1.2218</v>
      </c>
      <c r="O142" s="23">
        <f>'Annual Raw'!P87+'Annual Raw'!P88+'Annual Raw'!P89+'Annual Raw'!P90</f>
        <v>1.1762999999999999</v>
      </c>
      <c r="P142" s="23">
        <f>'Annual Raw'!Q87+'Annual Raw'!Q88+'Annual Raw'!Q89+'Annual Raw'!Q90</f>
        <v>0.39</v>
      </c>
      <c r="Q142" s="23">
        <f>'Annual Raw'!R87+'Annual Raw'!R88+'Annual Raw'!R89+'Annual Raw'!R90</f>
        <v>0</v>
      </c>
      <c r="R142" s="23">
        <f>'Annual Raw'!S87+'Annual Raw'!S88+'Annual Raw'!S89+'Annual Raw'!S90</f>
        <v>0</v>
      </c>
      <c r="S142" s="23">
        <f>'Annual Raw'!T87+'Annual Raw'!T88+'Annual Raw'!T89+'Annual Raw'!T90</f>
        <v>0</v>
      </c>
      <c r="T142" s="23">
        <f>'Annual Raw'!U87+'Annual Raw'!U88+'Annual Raw'!U89+'Annual Raw'!U90</f>
        <v>0</v>
      </c>
      <c r="U142" s="23">
        <f>'Annual Raw'!V87+'Annual Raw'!V88+'Annual Raw'!V89+'Annual Raw'!V90</f>
        <v>0</v>
      </c>
      <c r="V142" s="23">
        <f>'Annual Raw'!W87+'Annual Raw'!W88+'Annual Raw'!W89+'Annual Raw'!W90</f>
        <v>0</v>
      </c>
      <c r="W142" s="23">
        <f>'Annual Raw'!X87+'Annual Raw'!X88+'Annual Raw'!X89+'Annual Raw'!X90</f>
        <v>0</v>
      </c>
      <c r="X142" s="23">
        <f>'Annual Raw'!Y87+'Annual Raw'!Y88+'Annual Raw'!Y89+'Annual Raw'!Y90</f>
        <v>99.03</v>
      </c>
      <c r="Y142" s="23">
        <f>'Annual Raw'!Z87+'Annual Raw'!Z88+'Annual Raw'!Z89+'Annual Raw'!Z90</f>
        <v>33.47</v>
      </c>
      <c r="Z142" s="23">
        <f>'Annual Raw'!AA87+'Annual Raw'!AA88+'Annual Raw'!AA89+'Annual Raw'!AA90</f>
        <v>21.24</v>
      </c>
      <c r="AA142" s="23">
        <f>'Annual Raw'!AB87+'Annual Raw'!AB88+'Annual Raw'!AB89+'Annual Raw'!AB90</f>
        <v>46.98</v>
      </c>
      <c r="AB142" s="24">
        <f t="shared" si="1177"/>
        <v>0</v>
      </c>
      <c r="AC142" s="24">
        <f t="shared" si="1178"/>
        <v>0</v>
      </c>
      <c r="AD142" s="24">
        <f t="shared" si="1179"/>
        <v>0</v>
      </c>
      <c r="AE142" s="24">
        <f t="shared" si="1180"/>
        <v>0</v>
      </c>
      <c r="AJ142" s="23">
        <f>+'QTR Raw'!D90</f>
        <v>0</v>
      </c>
      <c r="AK142" s="23">
        <f t="shared" si="1181"/>
        <v>0</v>
      </c>
      <c r="AL142" s="23">
        <f>+'QTR Raw'!F90</f>
        <v>0</v>
      </c>
      <c r="AM142" s="23">
        <f t="shared" si="1181"/>
        <v>0</v>
      </c>
      <c r="AN142" s="23">
        <f>+'QTR Raw'!H90</f>
        <v>0</v>
      </c>
      <c r="AO142" s="23">
        <f t="shared" si="1181"/>
        <v>0</v>
      </c>
      <c r="AP142" s="23">
        <f>+'QTR Raw'!J90</f>
        <v>0</v>
      </c>
      <c r="AQ142" s="23">
        <f t="shared" si="1181"/>
        <v>0</v>
      </c>
      <c r="AR142" s="23">
        <f>+'QTR Raw'!L90</f>
        <v>0</v>
      </c>
      <c r="AS142" s="23">
        <f t="shared" si="1181"/>
        <v>0</v>
      </c>
      <c r="AT142" s="23">
        <f>+'QTR Raw'!N90</f>
        <v>0</v>
      </c>
      <c r="AU142" s="23">
        <f t="shared" si="1181"/>
        <v>0</v>
      </c>
      <c r="AV142" s="23">
        <f>+'QTR Raw'!P90</f>
        <v>0</v>
      </c>
      <c r="AW142" s="23">
        <f t="shared" si="1181"/>
        <v>0</v>
      </c>
      <c r="AX142" s="23">
        <f>+'QTR Raw'!R90</f>
        <v>0</v>
      </c>
      <c r="AY142" s="23">
        <f t="shared" si="1181"/>
        <v>0</v>
      </c>
      <c r="AZ142" s="23">
        <f>+'QTR Raw'!T90</f>
        <v>0</v>
      </c>
      <c r="BA142" s="23">
        <f t="shared" si="1181"/>
        <v>0</v>
      </c>
      <c r="BB142" s="23">
        <f>+'QTR Raw'!V90</f>
        <v>0</v>
      </c>
      <c r="BC142" s="23">
        <f t="shared" si="1181"/>
        <v>0</v>
      </c>
      <c r="BD142" s="23">
        <f>+'QTR Raw'!X90</f>
        <v>0</v>
      </c>
      <c r="BE142" s="23">
        <f t="shared" si="1181"/>
        <v>0</v>
      </c>
      <c r="BF142" s="23">
        <f>+'QTR Raw'!Z90</f>
        <v>0</v>
      </c>
      <c r="BG142" s="23">
        <f t="shared" si="1181"/>
        <v>0</v>
      </c>
      <c r="BH142" s="22">
        <f>+'QTR Raw'!AB90</f>
        <v>0</v>
      </c>
      <c r="BI142" s="23">
        <f t="shared" si="1181"/>
        <v>0</v>
      </c>
      <c r="BJ142" s="23">
        <f>+'QTR Raw'!AD90</f>
        <v>0</v>
      </c>
      <c r="BK142" s="23">
        <f t="shared" si="1181"/>
        <v>0</v>
      </c>
      <c r="BL142" s="23">
        <f>+'QTR Raw'!AF90</f>
        <v>0</v>
      </c>
      <c r="BM142" s="23">
        <f t="shared" si="1181"/>
        <v>0</v>
      </c>
      <c r="BN142" s="23">
        <f>+'QTR Raw'!AH90</f>
        <v>0</v>
      </c>
      <c r="BO142" s="23">
        <f t="shared" si="1181"/>
        <v>0</v>
      </c>
      <c r="BP142" s="23">
        <f>+'QTR Raw'!AJ90</f>
        <v>0</v>
      </c>
      <c r="BQ142" s="23">
        <f t="shared" si="1181"/>
        <v>0</v>
      </c>
      <c r="BR142" s="23">
        <f>+'QTR Raw'!AL90</f>
        <v>0</v>
      </c>
      <c r="BS142" s="23">
        <f t="shared" si="1181"/>
        <v>0</v>
      </c>
      <c r="BT142" s="23">
        <f>+'QTR Raw'!AN90</f>
        <v>0</v>
      </c>
      <c r="BU142" s="23">
        <f t="shared" si="1181"/>
        <v>0</v>
      </c>
      <c r="BV142" s="23">
        <f>+'QTR Raw'!AP90</f>
        <v>0</v>
      </c>
      <c r="BW142" s="23">
        <f t="shared" si="1181"/>
        <v>0</v>
      </c>
      <c r="BX142" s="23">
        <f>+'QTR Raw'!AR90</f>
        <v>0</v>
      </c>
      <c r="BY142" s="23">
        <f t="shared" si="1181"/>
        <v>0</v>
      </c>
      <c r="BZ142" s="23">
        <f>+'QTR Raw'!AT90</f>
        <v>0</v>
      </c>
      <c r="CA142" s="23">
        <f t="shared" si="1181"/>
        <v>0</v>
      </c>
      <c r="CB142" s="23">
        <f>+'QTR Raw'!AV90</f>
        <v>0</v>
      </c>
      <c r="CC142" s="23">
        <f t="shared" si="1181"/>
        <v>0</v>
      </c>
      <c r="CD142" s="23">
        <f>+'QTR Raw'!AX90</f>
        <v>0</v>
      </c>
      <c r="CE142" s="23">
        <f t="shared" si="1182"/>
        <v>0</v>
      </c>
      <c r="CF142" s="23">
        <f>+'QTR Raw'!AZ90</f>
        <v>0</v>
      </c>
      <c r="CG142" s="23">
        <f t="shared" si="1183"/>
        <v>0</v>
      </c>
      <c r="CH142" s="23">
        <f>+Z142</f>
        <v>21.24</v>
      </c>
      <c r="CI142" s="23">
        <f t="shared" si="1183"/>
        <v>21.24</v>
      </c>
      <c r="CJ142" s="23">
        <f>+'QTR Raw'!BD90</f>
        <v>0</v>
      </c>
      <c r="CK142" s="24">
        <f t="shared" si="1184"/>
        <v>0</v>
      </c>
      <c r="CL142" s="23">
        <f>+'QTR Raw'!BF90</f>
        <v>0</v>
      </c>
      <c r="CM142" s="24">
        <f t="shared" si="1185"/>
        <v>0</v>
      </c>
      <c r="CN142" s="24">
        <f t="shared" si="1186"/>
        <v>0</v>
      </c>
      <c r="CO142" s="24">
        <f t="shared" si="1187"/>
        <v>0</v>
      </c>
      <c r="CP142" s="24">
        <f t="shared" si="1188"/>
        <v>0</v>
      </c>
      <c r="CQ142" s="24">
        <f t="shared" si="1189"/>
        <v>0</v>
      </c>
      <c r="CR142" s="24">
        <f t="shared" si="1190"/>
        <v>0</v>
      </c>
      <c r="CS142" s="24">
        <f t="shared" si="1191"/>
        <v>0</v>
      </c>
      <c r="CT142" s="24">
        <f t="shared" si="1192"/>
        <v>0</v>
      </c>
      <c r="CU142" s="24">
        <f t="shared" si="1193"/>
        <v>0</v>
      </c>
      <c r="CV142" s="24">
        <f t="shared" si="1194"/>
        <v>0</v>
      </c>
      <c r="CW142" s="24">
        <f t="shared" si="1195"/>
        <v>0</v>
      </c>
      <c r="CX142" s="24">
        <f t="shared" si="1196"/>
        <v>0</v>
      </c>
      <c r="CY142" s="24">
        <f t="shared" si="1197"/>
        <v>0</v>
      </c>
      <c r="CZ142" s="24">
        <f t="shared" si="1198"/>
        <v>0</v>
      </c>
      <c r="DA142" s="24">
        <f t="shared" si="1199"/>
        <v>0</v>
      </c>
      <c r="DB142" s="24">
        <f t="shared" si="1200"/>
        <v>0</v>
      </c>
      <c r="DE142" s="123"/>
      <c r="DF142" s="23">
        <v>0</v>
      </c>
    </row>
    <row r="143" spans="1:110" s="23" customFormat="1" outlineLevel="1" x14ac:dyDescent="0.2">
      <c r="A143" s="23" t="s">
        <v>48</v>
      </c>
      <c r="B143" s="23">
        <f>'Annual Raw'!C56</f>
        <v>0</v>
      </c>
      <c r="C143" s="23">
        <f>'Annual Raw'!D56</f>
        <v>0</v>
      </c>
      <c r="D143" s="23">
        <f>'Annual Raw'!E56</f>
        <v>0</v>
      </c>
      <c r="E143" s="23">
        <f>'Annual Raw'!F56</f>
        <v>0</v>
      </c>
      <c r="F143" s="23">
        <f>'Annual Raw'!G56</f>
        <v>0</v>
      </c>
      <c r="G143" s="23">
        <f>'Annual Raw'!H56</f>
        <v>0</v>
      </c>
      <c r="H143" s="23">
        <f>'Annual Raw'!I56</f>
        <v>0</v>
      </c>
      <c r="I143" s="23">
        <f>'Annual Raw'!J56</f>
        <v>0</v>
      </c>
      <c r="J143" s="23">
        <f>'Annual Raw'!K56</f>
        <v>0</v>
      </c>
      <c r="K143" s="23">
        <f>'Annual Raw'!L56</f>
        <v>0</v>
      </c>
      <c r="L143" s="23">
        <f>'Annual Raw'!M56</f>
        <v>127.4123</v>
      </c>
      <c r="M143" s="23">
        <f>'Annual Raw'!N56</f>
        <v>215.8117</v>
      </c>
      <c r="N143" s="23">
        <f>'Annual Raw'!O56</f>
        <v>255.2159</v>
      </c>
      <c r="O143" s="23">
        <f>'Annual Raw'!P56</f>
        <v>257.51749999999998</v>
      </c>
      <c r="P143" s="23">
        <f>'Annual Raw'!Q56</f>
        <v>116.9765</v>
      </c>
      <c r="Q143" s="23">
        <f>'Annual Raw'!R56</f>
        <v>270.74</v>
      </c>
      <c r="R143" s="23">
        <f>'Annual Raw'!S56</f>
        <v>170.94</v>
      </c>
      <c r="S143" s="23">
        <f>'Annual Raw'!T56</f>
        <v>142.29</v>
      </c>
      <c r="T143" s="23">
        <f>'Annual Raw'!U56</f>
        <v>314.64999999999998</v>
      </c>
      <c r="U143" s="23">
        <f>'Annual Raw'!V56</f>
        <v>212.44</v>
      </c>
      <c r="V143" s="23">
        <f>'Annual Raw'!W56</f>
        <v>254.95</v>
      </c>
      <c r="W143" s="23">
        <f>'Annual Raw'!X56</f>
        <v>348.15</v>
      </c>
      <c r="X143" s="23">
        <f>'Annual Raw'!Y56</f>
        <v>495.79</v>
      </c>
      <c r="Y143" s="23">
        <f>'Annual Raw'!Z56</f>
        <v>451.84</v>
      </c>
      <c r="Z143" s="23">
        <f>'Annual Raw'!AA56</f>
        <v>459.78</v>
      </c>
      <c r="AA143" s="23">
        <f>'Annual Raw'!AB56</f>
        <v>543.62</v>
      </c>
      <c r="AB143" s="24">
        <f t="shared" si="1177"/>
        <v>590.6</v>
      </c>
      <c r="AC143" s="24">
        <f t="shared" si="1178"/>
        <v>590.6</v>
      </c>
      <c r="AD143" s="24">
        <f t="shared" si="1179"/>
        <v>590.6</v>
      </c>
      <c r="AE143" s="24">
        <f t="shared" si="1180"/>
        <v>590.6</v>
      </c>
      <c r="AJ143" s="23">
        <f>+'QTR Raw'!D88</f>
        <v>292.39999999999998</v>
      </c>
      <c r="AK143" s="23">
        <f t="shared" si="1181"/>
        <v>292.39999999999998</v>
      </c>
      <c r="AL143" s="23">
        <f>+'QTR Raw'!F88</f>
        <v>255.22</v>
      </c>
      <c r="AM143" s="23">
        <f t="shared" si="1181"/>
        <v>255.22</v>
      </c>
      <c r="AN143" s="23">
        <f>+'QTR Raw'!H88</f>
        <v>236.59</v>
      </c>
      <c r="AO143" s="23">
        <f t="shared" si="1181"/>
        <v>236.59</v>
      </c>
      <c r="AP143" s="23">
        <f>+'QTR Raw'!J88</f>
        <v>257.52</v>
      </c>
      <c r="AQ143" s="23">
        <f t="shared" si="1181"/>
        <v>257.52</v>
      </c>
      <c r="AR143" s="23">
        <f>+'QTR Raw'!L88</f>
        <v>196.83</v>
      </c>
      <c r="AS143" s="23">
        <f t="shared" si="1181"/>
        <v>196.83</v>
      </c>
      <c r="AT143" s="23">
        <f>+'QTR Raw'!N88</f>
        <v>116.98</v>
      </c>
      <c r="AU143" s="23">
        <f t="shared" si="1181"/>
        <v>116.98</v>
      </c>
      <c r="AV143" s="23">
        <f>+'QTR Raw'!P88</f>
        <v>168.18</v>
      </c>
      <c r="AW143" s="23">
        <f t="shared" si="1181"/>
        <v>168.18</v>
      </c>
      <c r="AX143" s="23">
        <f>+'QTR Raw'!R88</f>
        <v>270.74</v>
      </c>
      <c r="AY143" s="23">
        <f t="shared" si="1181"/>
        <v>270.74</v>
      </c>
      <c r="AZ143" s="23">
        <f>+'QTR Raw'!T88</f>
        <v>169.32</v>
      </c>
      <c r="BA143" s="23">
        <f t="shared" si="1181"/>
        <v>169.32</v>
      </c>
      <c r="BB143" s="23">
        <f>+'QTR Raw'!V88</f>
        <v>170.94</v>
      </c>
      <c r="BC143" s="23">
        <f t="shared" si="1181"/>
        <v>170.94</v>
      </c>
      <c r="BD143" s="23">
        <f>+'QTR Raw'!X88</f>
        <v>165.53</v>
      </c>
      <c r="BE143" s="23">
        <f t="shared" si="1181"/>
        <v>165.53</v>
      </c>
      <c r="BF143" s="23">
        <f>+'QTR Raw'!Z88</f>
        <v>142.29</v>
      </c>
      <c r="BG143" s="23">
        <f t="shared" si="1181"/>
        <v>142.29</v>
      </c>
      <c r="BH143" s="23">
        <f>+'QTR Raw'!AB88</f>
        <v>515.24</v>
      </c>
      <c r="BI143" s="23">
        <f t="shared" si="1181"/>
        <v>515.24</v>
      </c>
      <c r="BJ143" s="23">
        <f>+'QTR Raw'!AD88</f>
        <v>314.64999999999998</v>
      </c>
      <c r="BK143" s="23">
        <f t="shared" si="1181"/>
        <v>314.64999999999998</v>
      </c>
      <c r="BL143" s="23">
        <f>+'QTR Raw'!AF88</f>
        <v>319.7</v>
      </c>
      <c r="BM143" s="23">
        <f t="shared" si="1181"/>
        <v>319.7</v>
      </c>
      <c r="BN143" s="23">
        <f>+'QTR Raw'!AH88</f>
        <v>212.44</v>
      </c>
      <c r="BO143" s="23">
        <f t="shared" si="1181"/>
        <v>212.44</v>
      </c>
      <c r="BP143" s="23">
        <f>+'QTR Raw'!AJ88</f>
        <v>423.33</v>
      </c>
      <c r="BQ143" s="23">
        <f t="shared" si="1181"/>
        <v>423.33</v>
      </c>
      <c r="BR143" s="23">
        <f>+'QTR Raw'!AL88</f>
        <v>251.4</v>
      </c>
      <c r="BS143" s="23">
        <f t="shared" si="1181"/>
        <v>251.4</v>
      </c>
      <c r="BT143" s="23">
        <f>+'QTR Raw'!AN88</f>
        <v>413.66</v>
      </c>
      <c r="BU143" s="23">
        <f t="shared" si="1181"/>
        <v>413.66</v>
      </c>
      <c r="BV143" s="23">
        <f>+'QTR Raw'!AP88</f>
        <v>343.19</v>
      </c>
      <c r="BW143" s="23">
        <f t="shared" si="1181"/>
        <v>343.19</v>
      </c>
      <c r="BX143" s="23">
        <f>+'QTR Raw'!AR88</f>
        <v>366.75</v>
      </c>
      <c r="BY143" s="23">
        <f t="shared" si="1181"/>
        <v>366.75</v>
      </c>
      <c r="BZ143" s="23">
        <f>+'QTR Raw'!AT88</f>
        <v>594.82000000000005</v>
      </c>
      <c r="CA143" s="23">
        <f t="shared" si="1181"/>
        <v>594.82000000000005</v>
      </c>
      <c r="CB143" s="23">
        <f>+'QTR Raw'!AV88</f>
        <v>522.5</v>
      </c>
      <c r="CC143" s="23">
        <f t="shared" si="1181"/>
        <v>522.5</v>
      </c>
      <c r="CD143" s="23">
        <f>+'QTR Raw'!AX88</f>
        <v>485.31</v>
      </c>
      <c r="CE143" s="23">
        <f t="shared" si="1182"/>
        <v>485.31</v>
      </c>
      <c r="CF143" s="23">
        <f>+'QTR Raw'!AZ88</f>
        <v>473.58</v>
      </c>
      <c r="CG143" s="23">
        <f t="shared" si="1183"/>
        <v>473.58</v>
      </c>
      <c r="CH143" s="23">
        <f t="shared" si="1159"/>
        <v>459.78</v>
      </c>
      <c r="CI143" s="23">
        <f t="shared" si="1183"/>
        <v>459.78</v>
      </c>
      <c r="CJ143" s="23">
        <f>+'QTR Raw'!BD88</f>
        <v>1304.21</v>
      </c>
      <c r="CK143" s="24">
        <f t="shared" si="1184"/>
        <v>1304.21</v>
      </c>
      <c r="CL143" s="23">
        <f>+'QTR Raw'!BF88</f>
        <v>590.6</v>
      </c>
      <c r="CM143" s="24">
        <f t="shared" si="1185"/>
        <v>590.6</v>
      </c>
      <c r="CN143" s="24">
        <f t="shared" si="1186"/>
        <v>590.6</v>
      </c>
      <c r="CO143" s="24">
        <f t="shared" si="1187"/>
        <v>590.6</v>
      </c>
      <c r="CP143" s="24">
        <f t="shared" si="1188"/>
        <v>590.6</v>
      </c>
      <c r="CQ143" s="24">
        <f t="shared" si="1189"/>
        <v>590.6</v>
      </c>
      <c r="CR143" s="24">
        <f t="shared" si="1190"/>
        <v>590.6</v>
      </c>
      <c r="CS143" s="24">
        <f t="shared" si="1191"/>
        <v>590.6</v>
      </c>
      <c r="CT143" s="24">
        <f t="shared" si="1192"/>
        <v>590.6</v>
      </c>
      <c r="CU143" s="24">
        <f t="shared" si="1193"/>
        <v>590.6</v>
      </c>
      <c r="CV143" s="24">
        <f t="shared" si="1194"/>
        <v>590.6</v>
      </c>
      <c r="CW143" s="24">
        <f t="shared" si="1195"/>
        <v>590.6</v>
      </c>
      <c r="CX143" s="24">
        <f t="shared" si="1196"/>
        <v>590.6</v>
      </c>
      <c r="CY143" s="24">
        <f t="shared" si="1197"/>
        <v>590.6</v>
      </c>
      <c r="CZ143" s="24">
        <f t="shared" si="1198"/>
        <v>590.6</v>
      </c>
      <c r="DA143" s="24">
        <f t="shared" si="1199"/>
        <v>590.6</v>
      </c>
      <c r="DB143" s="24">
        <f t="shared" si="1200"/>
        <v>590.6</v>
      </c>
      <c r="DE143" s="123"/>
      <c r="DF143" s="23">
        <v>1304.21</v>
      </c>
    </row>
    <row r="144" spans="1:110" s="22" customFormat="1" x14ac:dyDescent="0.2">
      <c r="A144" s="22" t="s">
        <v>49</v>
      </c>
      <c r="B144" s="22">
        <f>SUM(B140:B143)</f>
        <v>134.4691</v>
      </c>
      <c r="C144" s="22">
        <f t="shared" ref="C144:V144" si="1201">SUM(C140:C143)</f>
        <v>98.524900000000002</v>
      </c>
      <c r="D144" s="22">
        <f t="shared" si="1201"/>
        <v>108.94479999999999</v>
      </c>
      <c r="E144" s="22">
        <f t="shared" si="1201"/>
        <v>102.90729999999999</v>
      </c>
      <c r="F144" s="22">
        <f t="shared" si="1201"/>
        <v>126.4806</v>
      </c>
      <c r="G144" s="22">
        <f t="shared" si="1201"/>
        <v>90.073399999999992</v>
      </c>
      <c r="H144" s="22">
        <f t="shared" si="1201"/>
        <v>111.5813</v>
      </c>
      <c r="I144" s="22">
        <f t="shared" si="1201"/>
        <v>73.741</v>
      </c>
      <c r="J144" s="22">
        <f t="shared" si="1201"/>
        <v>181.4384</v>
      </c>
      <c r="K144" s="22">
        <f t="shared" si="1201"/>
        <v>35.170400000000001</v>
      </c>
      <c r="L144" s="22">
        <f t="shared" si="1201"/>
        <v>138.0772</v>
      </c>
      <c r="M144" s="22">
        <f t="shared" si="1201"/>
        <v>225.16249999999999</v>
      </c>
      <c r="N144" s="22">
        <f t="shared" si="1201"/>
        <v>262.459</v>
      </c>
      <c r="O144" s="22">
        <f t="shared" si="1201"/>
        <v>264.06709999999998</v>
      </c>
      <c r="P144" s="22">
        <f t="shared" si="1201"/>
        <v>122.062</v>
      </c>
      <c r="Q144" s="22">
        <f t="shared" si="1201"/>
        <v>270.74</v>
      </c>
      <c r="R144" s="22">
        <f t="shared" si="1201"/>
        <v>170.94</v>
      </c>
      <c r="S144" s="22">
        <f t="shared" si="1201"/>
        <v>142.29</v>
      </c>
      <c r="T144" s="22">
        <f t="shared" si="1201"/>
        <v>314.64999999999998</v>
      </c>
      <c r="U144" s="22">
        <f t="shared" si="1201"/>
        <v>217.85</v>
      </c>
      <c r="V144" s="22">
        <f t="shared" si="1201"/>
        <v>260.61</v>
      </c>
      <c r="W144" s="22">
        <f t="shared" ref="W144" si="1202">SUM(W140:W143)</f>
        <v>360.83</v>
      </c>
      <c r="X144" s="22">
        <f t="shared" ref="X144:Y144" si="1203">SUM(X140:X143)</f>
        <v>615.97</v>
      </c>
      <c r="Y144" s="22">
        <f t="shared" si="1203"/>
        <v>713.31</v>
      </c>
      <c r="Z144" s="22">
        <f t="shared" ref="Z144:AA144" si="1204">SUM(Z140:Z143)</f>
        <v>863.3</v>
      </c>
      <c r="AA144" s="22">
        <f t="shared" si="1204"/>
        <v>966.40000000000009</v>
      </c>
      <c r="AB144" s="21">
        <f t="shared" ref="AA144:AD144" si="1205">SUM(AB140:AB143)</f>
        <v>966.40000000000009</v>
      </c>
      <c r="AC144" s="21">
        <f t="shared" si="1205"/>
        <v>966.40000000000009</v>
      </c>
      <c r="AD144" s="21">
        <f t="shared" si="1205"/>
        <v>966.40000000000009</v>
      </c>
      <c r="AE144" s="21">
        <f t="shared" ref="AE144" si="1206">SUM(AE140:AE143)</f>
        <v>966.40000000000009</v>
      </c>
      <c r="AJ144" s="22">
        <f t="shared" ref="AJ144" si="1207">SUM(AJ140:AJ143)</f>
        <v>299.84999999999997</v>
      </c>
      <c r="AK144" s="22">
        <f t="shared" ref="AK144" si="1208">SUM(AK140:AK143)</f>
        <v>299.84999999999997</v>
      </c>
      <c r="AL144" s="22">
        <f t="shared" ref="AL144:AM144" si="1209">SUM(AL140:AL143)</f>
        <v>261.24</v>
      </c>
      <c r="AM144" s="22">
        <f t="shared" si="1209"/>
        <v>261.24</v>
      </c>
      <c r="AN144" s="22">
        <f t="shared" ref="AN144:AO144" si="1210">SUM(AN140:AN143)</f>
        <v>242.19</v>
      </c>
      <c r="AO144" s="22">
        <f t="shared" si="1210"/>
        <v>242.19</v>
      </c>
      <c r="AP144" s="22">
        <f t="shared" ref="AP144:CE144" si="1211">SUM(AP140:AP143)</f>
        <v>262.89</v>
      </c>
      <c r="AQ144" s="22">
        <f t="shared" si="1211"/>
        <v>262.89</v>
      </c>
      <c r="AR144" s="22">
        <f t="shared" si="1211"/>
        <v>201.3</v>
      </c>
      <c r="AS144" s="22">
        <f t="shared" si="1211"/>
        <v>201.3</v>
      </c>
      <c r="AT144" s="22">
        <f t="shared" si="1211"/>
        <v>121.68</v>
      </c>
      <c r="AU144" s="22">
        <f t="shared" si="1211"/>
        <v>121.68</v>
      </c>
      <c r="AV144" s="22">
        <f t="shared" si="1211"/>
        <v>172.53</v>
      </c>
      <c r="AW144" s="22">
        <f t="shared" si="1211"/>
        <v>172.53</v>
      </c>
      <c r="AX144" s="22">
        <f t="shared" si="1211"/>
        <v>270.74</v>
      </c>
      <c r="AY144" s="22">
        <f t="shared" si="1211"/>
        <v>270.74</v>
      </c>
      <c r="AZ144" s="22">
        <f t="shared" si="1211"/>
        <v>169.32</v>
      </c>
      <c r="BA144" s="22">
        <f t="shared" si="1211"/>
        <v>169.32</v>
      </c>
      <c r="BB144" s="22">
        <f t="shared" si="1211"/>
        <v>170.94</v>
      </c>
      <c r="BC144" s="22">
        <f t="shared" si="1211"/>
        <v>170.94</v>
      </c>
      <c r="BD144" s="22">
        <f t="shared" si="1211"/>
        <v>165.53</v>
      </c>
      <c r="BE144" s="22">
        <f t="shared" si="1211"/>
        <v>165.53</v>
      </c>
      <c r="BF144" s="22">
        <f t="shared" si="1211"/>
        <v>142.29</v>
      </c>
      <c r="BG144" s="22">
        <f t="shared" si="1211"/>
        <v>142.29</v>
      </c>
      <c r="BH144" s="22">
        <f t="shared" ref="BH144" si="1212">SUM(BH140:BH143)</f>
        <v>515.24</v>
      </c>
      <c r="BI144" s="22">
        <f t="shared" si="1211"/>
        <v>515.24</v>
      </c>
      <c r="BJ144" s="22">
        <f t="shared" si="1211"/>
        <v>314.64999999999998</v>
      </c>
      <c r="BK144" s="22">
        <f t="shared" si="1211"/>
        <v>314.64999999999998</v>
      </c>
      <c r="BL144" s="22">
        <f t="shared" si="1211"/>
        <v>330.42</v>
      </c>
      <c r="BM144" s="22">
        <f t="shared" si="1211"/>
        <v>330.42</v>
      </c>
      <c r="BN144" s="22">
        <f t="shared" si="1211"/>
        <v>217.85</v>
      </c>
      <c r="BO144" s="22">
        <f t="shared" si="1211"/>
        <v>217.85</v>
      </c>
      <c r="BP144" s="22">
        <f t="shared" si="1211"/>
        <v>430.35999999999996</v>
      </c>
      <c r="BQ144" s="22">
        <f t="shared" si="1211"/>
        <v>430.35999999999996</v>
      </c>
      <c r="BR144" s="22">
        <f t="shared" si="1211"/>
        <v>251.4</v>
      </c>
      <c r="BS144" s="22">
        <f t="shared" si="1211"/>
        <v>251.4</v>
      </c>
      <c r="BT144" s="22">
        <f t="shared" si="1211"/>
        <v>413.66</v>
      </c>
      <c r="BU144" s="22">
        <f t="shared" si="1211"/>
        <v>413.66</v>
      </c>
      <c r="BV144" s="22">
        <f t="shared" si="1211"/>
        <v>343.19</v>
      </c>
      <c r="BW144" s="22">
        <f t="shared" si="1211"/>
        <v>343.19</v>
      </c>
      <c r="BX144" s="22">
        <f t="shared" si="1211"/>
        <v>366.75</v>
      </c>
      <c r="BY144" s="22">
        <f t="shared" si="1211"/>
        <v>366.75</v>
      </c>
      <c r="BZ144" s="22">
        <f t="shared" si="1211"/>
        <v>615.97</v>
      </c>
      <c r="CA144" s="22">
        <f t="shared" si="1211"/>
        <v>615.97</v>
      </c>
      <c r="CB144" s="22">
        <f t="shared" si="1211"/>
        <v>522.5</v>
      </c>
      <c r="CC144" s="22">
        <f t="shared" si="1211"/>
        <v>522.5</v>
      </c>
      <c r="CD144" s="22">
        <f t="shared" si="1211"/>
        <v>713.31</v>
      </c>
      <c r="CE144" s="22">
        <f t="shared" si="1211"/>
        <v>713.31</v>
      </c>
      <c r="CF144" s="22">
        <f t="shared" ref="CF144:CG144" si="1213">SUM(CF140:CF143)</f>
        <v>829.82999999999993</v>
      </c>
      <c r="CG144" s="22">
        <f t="shared" si="1213"/>
        <v>829.82999999999993</v>
      </c>
      <c r="CH144" s="22">
        <f t="shared" ref="CH144:CI144" si="1214">SUM(CH140:CH143)</f>
        <v>863.3</v>
      </c>
      <c r="CI144" s="22">
        <f t="shared" si="1214"/>
        <v>863.3</v>
      </c>
      <c r="CJ144" s="22">
        <f t="shared" ref="CJ144:DB144" si="1215">SUM(CJ140:CJ143)</f>
        <v>1726.96</v>
      </c>
      <c r="CK144" s="21">
        <f t="shared" si="1215"/>
        <v>1726.96</v>
      </c>
      <c r="CL144" s="22">
        <f t="shared" ref="CL144" si="1216">SUM(CL140:CL143)</f>
        <v>966.40000000000009</v>
      </c>
      <c r="CM144" s="21">
        <f t="shared" si="1215"/>
        <v>966.40000000000009</v>
      </c>
      <c r="CN144" s="21">
        <f t="shared" si="1215"/>
        <v>966.40000000000009</v>
      </c>
      <c r="CO144" s="21">
        <f t="shared" si="1215"/>
        <v>966.40000000000009</v>
      </c>
      <c r="CP144" s="21">
        <f t="shared" si="1215"/>
        <v>966.40000000000009</v>
      </c>
      <c r="CQ144" s="21">
        <f t="shared" si="1215"/>
        <v>966.40000000000009</v>
      </c>
      <c r="CR144" s="21">
        <f t="shared" si="1215"/>
        <v>966.40000000000009</v>
      </c>
      <c r="CS144" s="21">
        <f t="shared" si="1215"/>
        <v>966.40000000000009</v>
      </c>
      <c r="CT144" s="21">
        <f t="shared" si="1215"/>
        <v>966.40000000000009</v>
      </c>
      <c r="CU144" s="21">
        <f t="shared" si="1215"/>
        <v>966.40000000000009</v>
      </c>
      <c r="CV144" s="21">
        <f t="shared" si="1215"/>
        <v>966.40000000000009</v>
      </c>
      <c r="CW144" s="21">
        <f t="shared" si="1215"/>
        <v>966.40000000000009</v>
      </c>
      <c r="CX144" s="21">
        <f t="shared" si="1215"/>
        <v>966.40000000000009</v>
      </c>
      <c r="CY144" s="21">
        <f t="shared" si="1215"/>
        <v>966.40000000000009</v>
      </c>
      <c r="CZ144" s="21">
        <f t="shared" si="1215"/>
        <v>966.40000000000009</v>
      </c>
      <c r="DA144" s="21">
        <f t="shared" si="1215"/>
        <v>966.40000000000009</v>
      </c>
      <c r="DB144" s="21">
        <f t="shared" si="1215"/>
        <v>966.40000000000009</v>
      </c>
      <c r="DE144" s="126"/>
      <c r="DF144" s="22">
        <v>1726.96</v>
      </c>
    </row>
    <row r="145" spans="1:110" s="26" customFormat="1" x14ac:dyDescent="0.2">
      <c r="A145" s="26" t="s">
        <v>437</v>
      </c>
      <c r="B145" s="26">
        <f>B144+B136+B138</f>
        <v>289.54179999999997</v>
      </c>
      <c r="C145" s="26">
        <f t="shared" ref="C145:V145" si="1217">C144+C136+C138</f>
        <v>307.24979999999999</v>
      </c>
      <c r="D145" s="26">
        <f>D144+D136+D138</f>
        <v>295.75010000000003</v>
      </c>
      <c r="E145" s="26">
        <f t="shared" si="1217"/>
        <v>317.9674</v>
      </c>
      <c r="F145" s="26">
        <f t="shared" si="1217"/>
        <v>346.26279999999997</v>
      </c>
      <c r="G145" s="26">
        <f t="shared" si="1217"/>
        <v>361.70179999999999</v>
      </c>
      <c r="H145" s="26">
        <f t="shared" si="1217"/>
        <v>535.75850000000014</v>
      </c>
      <c r="I145" s="26">
        <f t="shared" si="1217"/>
        <v>651.51219999999989</v>
      </c>
      <c r="J145" s="26">
        <f t="shared" si="1217"/>
        <v>987.0924</v>
      </c>
      <c r="K145" s="26">
        <f t="shared" si="1217"/>
        <v>1134.2023999999999</v>
      </c>
      <c r="L145" s="26">
        <f t="shared" si="1217"/>
        <v>1519.4133999999999</v>
      </c>
      <c r="M145" s="26">
        <f t="shared" si="1217"/>
        <v>1720.0114999999998</v>
      </c>
      <c r="N145" s="26">
        <f t="shared" si="1217"/>
        <v>1899.8896</v>
      </c>
      <c r="O145" s="26">
        <f t="shared" si="1217"/>
        <v>2097.2060000000001</v>
      </c>
      <c r="P145" s="26">
        <f t="shared" si="1217"/>
        <v>2240.1864999999998</v>
      </c>
      <c r="Q145" s="26">
        <f t="shared" si="1217"/>
        <v>3108.5045999999998</v>
      </c>
      <c r="R145" s="26">
        <f t="shared" si="1217"/>
        <v>3506.08</v>
      </c>
      <c r="S145" s="26">
        <f t="shared" si="1217"/>
        <v>4079.24</v>
      </c>
      <c r="T145" s="26">
        <f t="shared" si="1217"/>
        <v>4459.3899999999994</v>
      </c>
      <c r="U145" s="26">
        <f t="shared" si="1217"/>
        <v>4534.55</v>
      </c>
      <c r="V145" s="26">
        <f t="shared" si="1217"/>
        <v>5290.06</v>
      </c>
      <c r="W145" s="26">
        <f t="shared" ref="W145" si="1218">W144+W136+W138</f>
        <v>5898.4699999999993</v>
      </c>
      <c r="X145" s="26">
        <f t="shared" ref="X145:Y145" si="1219">X144+X136+X138</f>
        <v>6109.69</v>
      </c>
      <c r="Y145" s="26">
        <f t="shared" si="1219"/>
        <v>6567.5199999999995</v>
      </c>
      <c r="Z145" s="26">
        <f t="shared" ref="Z145:AA145" si="1220">Z144+Z136+Z138</f>
        <v>7403.6</v>
      </c>
      <c r="AA145" s="26">
        <f t="shared" si="1220"/>
        <v>7365.4500000000007</v>
      </c>
      <c r="AB145" s="27">
        <f t="shared" ref="AA145:AD145" si="1221">AB144+AB136+AB138</f>
        <v>7896.0462405637791</v>
      </c>
      <c r="AC145" s="27">
        <f t="shared" si="1221"/>
        <v>8584.5723410475457</v>
      </c>
      <c r="AD145" s="27">
        <f t="shared" si="1221"/>
        <v>9396.4172394109683</v>
      </c>
      <c r="AE145" s="27">
        <f t="shared" ref="AE145" si="1222">AE144+AE136+AE138</f>
        <v>10346.043374575132</v>
      </c>
      <c r="AJ145" s="26">
        <f t="shared" ref="AJ145" si="1223">AJ144+AJ136+AJ138</f>
        <v>1915.3299999999997</v>
      </c>
      <c r="AK145" s="26">
        <f t="shared" ref="AK145" si="1224">AK144+AK136+AK138</f>
        <v>1992.1399999999996</v>
      </c>
      <c r="AL145" s="26">
        <f t="shared" ref="AL145" si="1225">AL144+AL136+AL138</f>
        <v>1898.6699999999998</v>
      </c>
      <c r="AM145" s="26">
        <f t="shared" ref="AM145:AO145" si="1226">AM144+AM136+AM138</f>
        <v>1939.4199999999998</v>
      </c>
      <c r="AN145" s="26">
        <f t="shared" si="1226"/>
        <v>1986.49</v>
      </c>
      <c r="AO145" s="26">
        <f t="shared" si="1226"/>
        <v>2048.41</v>
      </c>
      <c r="AP145" s="26">
        <f t="shared" ref="AP145:CE145" si="1227">AP144+AP136+AP138</f>
        <v>2096.0300000000002</v>
      </c>
      <c r="AQ145" s="26">
        <f t="shared" si="1227"/>
        <v>2205.02</v>
      </c>
      <c r="AR145" s="26">
        <f t="shared" si="1227"/>
        <v>2187.71</v>
      </c>
      <c r="AS145" s="26">
        <f t="shared" si="1227"/>
        <v>2295.08</v>
      </c>
      <c r="AT145" s="26">
        <f t="shared" si="1227"/>
        <v>2239.8000000000002</v>
      </c>
      <c r="AU145" s="26">
        <f t="shared" si="1227"/>
        <v>2342.34</v>
      </c>
      <c r="AV145" s="26">
        <f t="shared" si="1227"/>
        <v>2458.3500000000004</v>
      </c>
      <c r="AW145" s="26">
        <f t="shared" si="1227"/>
        <v>2515.1800000000003</v>
      </c>
      <c r="AX145" s="26">
        <f t="shared" si="1227"/>
        <v>3108.5099999999998</v>
      </c>
      <c r="AY145" s="26">
        <f t="shared" si="1227"/>
        <v>3266.1299999999997</v>
      </c>
      <c r="AZ145" s="26">
        <f t="shared" si="1227"/>
        <v>3222</v>
      </c>
      <c r="BA145" s="26">
        <f t="shared" si="1227"/>
        <v>3302.19</v>
      </c>
      <c r="BB145" s="26">
        <f t="shared" si="1227"/>
        <v>3506.08</v>
      </c>
      <c r="BC145" s="26">
        <f t="shared" si="1227"/>
        <v>3691.72</v>
      </c>
      <c r="BD145" s="26">
        <f t="shared" si="1227"/>
        <v>3734.5600000000004</v>
      </c>
      <c r="BE145" s="26">
        <f t="shared" si="1227"/>
        <v>3834.0400000000004</v>
      </c>
      <c r="BF145" s="26">
        <f t="shared" si="1227"/>
        <v>4079.24</v>
      </c>
      <c r="BG145" s="26">
        <f t="shared" si="1227"/>
        <v>4263.16</v>
      </c>
      <c r="BH145" s="26">
        <f t="shared" ref="BH145" si="1228">BH144+BH136+BH138</f>
        <v>4442.84</v>
      </c>
      <c r="BI145" s="26">
        <f t="shared" si="1227"/>
        <v>4523.76</v>
      </c>
      <c r="BJ145" s="26">
        <f t="shared" si="1227"/>
        <v>4459.3899999999994</v>
      </c>
      <c r="BK145" s="26">
        <f t="shared" si="1227"/>
        <v>4624.5699999999988</v>
      </c>
      <c r="BL145" s="26">
        <f t="shared" si="1227"/>
        <v>4457.2599999999993</v>
      </c>
      <c r="BM145" s="26">
        <f t="shared" si="1227"/>
        <v>4544.17</v>
      </c>
      <c r="BN145" s="26">
        <f t="shared" si="1227"/>
        <v>4534.55</v>
      </c>
      <c r="BO145" s="26">
        <f t="shared" si="1227"/>
        <v>4615.7</v>
      </c>
      <c r="BP145" s="26">
        <f t="shared" si="1227"/>
        <v>4851.2899999999991</v>
      </c>
      <c r="BQ145" s="26">
        <f t="shared" si="1227"/>
        <v>4979.1999999999989</v>
      </c>
      <c r="BR145" s="26">
        <f t="shared" si="1227"/>
        <v>5280.85</v>
      </c>
      <c r="BS145" s="26">
        <f t="shared" si="1227"/>
        <v>5402.6500000000005</v>
      </c>
      <c r="BT145" s="26">
        <f t="shared" si="1227"/>
        <v>5578.58</v>
      </c>
      <c r="BU145" s="26">
        <f t="shared" si="1227"/>
        <v>5674.5599999999995</v>
      </c>
      <c r="BV145" s="26">
        <f t="shared" si="1227"/>
        <v>5880.829999999999</v>
      </c>
      <c r="BW145" s="26">
        <f t="shared" si="1227"/>
        <v>5989.7099999999991</v>
      </c>
      <c r="BX145" s="26">
        <f t="shared" si="1227"/>
        <v>5999.9400000000005</v>
      </c>
      <c r="BY145" s="26">
        <f t="shared" si="1227"/>
        <v>5889.56</v>
      </c>
      <c r="BZ145" s="26">
        <f t="shared" si="1227"/>
        <v>6109.69</v>
      </c>
      <c r="CA145" s="26">
        <f t="shared" si="1227"/>
        <v>6238.98</v>
      </c>
      <c r="CB145" s="26">
        <f t="shared" si="1227"/>
        <v>6278.08</v>
      </c>
      <c r="CC145" s="26">
        <f t="shared" si="1227"/>
        <v>6247.67</v>
      </c>
      <c r="CD145" s="26">
        <f t="shared" si="1227"/>
        <v>6567.5199999999995</v>
      </c>
      <c r="CE145" s="26">
        <f t="shared" si="1227"/>
        <v>6901.7499999999991</v>
      </c>
      <c r="CF145" s="26">
        <f t="shared" ref="CF145:CG145" si="1229">CF144+CF136+CF138</f>
        <v>7141.96</v>
      </c>
      <c r="CG145" s="26">
        <f t="shared" si="1229"/>
        <v>7274.09</v>
      </c>
      <c r="CH145" s="26">
        <f t="shared" ref="CH145:CI145" si="1230">CH144+CH136+CH138</f>
        <v>7403.6</v>
      </c>
      <c r="CI145" s="26">
        <f t="shared" si="1230"/>
        <v>7544.06</v>
      </c>
      <c r="CJ145" s="26">
        <f t="shared" ref="CJ145:DB145" si="1231">CJ144+CJ136+CJ138</f>
        <v>8120.57</v>
      </c>
      <c r="CK145" s="27">
        <f t="shared" si="1231"/>
        <v>8205.52</v>
      </c>
      <c r="CL145" s="26">
        <f t="shared" ref="CL145" si="1232">CL144+CL136+CL138</f>
        <v>7365.4500000000007</v>
      </c>
      <c r="CM145" s="27">
        <f t="shared" si="1231"/>
        <v>7506.7155076313538</v>
      </c>
      <c r="CN145" s="27">
        <f t="shared" si="1231"/>
        <v>7572.5768253463993</v>
      </c>
      <c r="CO145" s="27">
        <f t="shared" si="1231"/>
        <v>7678.0479979853135</v>
      </c>
      <c r="CP145" s="27">
        <f t="shared" si="1231"/>
        <v>7896.0462405637791</v>
      </c>
      <c r="CQ145" s="27">
        <f t="shared" si="1231"/>
        <v>8104.1542836642129</v>
      </c>
      <c r="CR145" s="27">
        <f t="shared" si="1231"/>
        <v>8200.0246901463979</v>
      </c>
      <c r="CS145" s="27">
        <f t="shared" si="1231"/>
        <v>8325.1255067734946</v>
      </c>
      <c r="CT145" s="27">
        <f t="shared" si="1231"/>
        <v>8584.5723410475457</v>
      </c>
      <c r="CU145" s="27">
        <f t="shared" si="1231"/>
        <v>8834.2744795053459</v>
      </c>
      <c r="CV145" s="27">
        <f t="shared" si="1231"/>
        <v>8951.7343896657094</v>
      </c>
      <c r="CW145" s="27">
        <f t="shared" si="1231"/>
        <v>9098.549214373721</v>
      </c>
      <c r="CX145" s="27">
        <f t="shared" si="1231"/>
        <v>9396.4172394109683</v>
      </c>
      <c r="CY145" s="27">
        <f t="shared" si="1231"/>
        <v>9689.3778123603824</v>
      </c>
      <c r="CZ145" s="27">
        <f t="shared" si="1231"/>
        <v>9828.5731308649956</v>
      </c>
      <c r="DA145" s="27">
        <f t="shared" si="1231"/>
        <v>10000.514172007857</v>
      </c>
      <c r="DB145" s="27">
        <f t="shared" si="1231"/>
        <v>10346.043374575132</v>
      </c>
      <c r="DE145" s="121"/>
      <c r="DF145" s="26">
        <v>8477.5377765037229</v>
      </c>
    </row>
    <row r="146" spans="1:110" s="23" customFormat="1" x14ac:dyDescent="0.2">
      <c r="AB146" s="24"/>
      <c r="AC146" s="24"/>
      <c r="AD146" s="24"/>
      <c r="AE146" s="24"/>
      <c r="CK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E146" s="123"/>
    </row>
    <row r="147" spans="1:110" s="23" customFormat="1" outlineLevel="1" x14ac:dyDescent="0.2">
      <c r="A147" s="23" t="s">
        <v>50</v>
      </c>
      <c r="B147" s="23">
        <f>'Annual Raw'!C62</f>
        <v>254.80500000000001</v>
      </c>
      <c r="C147" s="23">
        <f>'Annual Raw'!D62</f>
        <v>244.5393</v>
      </c>
      <c r="D147" s="23">
        <f>'Annual Raw'!E62</f>
        <v>275.75549999999998</v>
      </c>
      <c r="E147" s="23">
        <f>'Annual Raw'!F62-E151</f>
        <v>283.89069999999998</v>
      </c>
      <c r="F147" s="23">
        <f>'Annual Raw'!G62-F151</f>
        <v>283.30670000000003</v>
      </c>
      <c r="G147" s="23">
        <f>'Annual Raw'!H62-G151</f>
        <v>313.27670000000001</v>
      </c>
      <c r="H147" s="23">
        <f>'Annual Raw'!I62-H151</f>
        <v>285.12259999999998</v>
      </c>
      <c r="I147" s="23">
        <f>'Annual Raw'!J62-I151</f>
        <v>316.32900000000001</v>
      </c>
      <c r="J147" s="23">
        <f>'Annual Raw'!K62-J151</f>
        <v>398.62109999999996</v>
      </c>
      <c r="K147" s="23">
        <f>'Annual Raw'!L62-K151</f>
        <v>465.36169999999998</v>
      </c>
      <c r="L147" s="23">
        <f>'Annual Raw'!M62-L151</f>
        <v>409.0779</v>
      </c>
      <c r="M147" s="23">
        <f>'Annual Raw'!N62-M151</f>
        <v>419.88559999999995</v>
      </c>
      <c r="N147" s="23">
        <f>'Annual Raw'!O62-N151</f>
        <v>450.50700000000001</v>
      </c>
      <c r="O147" s="23">
        <f>'Annual Raw'!P62-O151</f>
        <v>539.06659999999999</v>
      </c>
      <c r="P147" s="23">
        <f>'Annual Raw'!Q62-P151</f>
        <v>454.93650000000002</v>
      </c>
      <c r="Q147" s="23">
        <f>'Annual Raw'!R62-Q151</f>
        <v>483.89400000000006</v>
      </c>
      <c r="R147" s="23">
        <f>'Annual Raw'!S62-R151</f>
        <v>460.34999999999997</v>
      </c>
      <c r="S147" s="23">
        <f>'Annual Raw'!T62-S151</f>
        <v>470.03000000000003</v>
      </c>
      <c r="T147" s="23">
        <f>'Annual Raw'!U62-T151</f>
        <v>517.84999999999991</v>
      </c>
      <c r="U147" s="23">
        <f>'Annual Raw'!V62-U151</f>
        <v>568.79</v>
      </c>
      <c r="V147" s="23">
        <f>'Annual Raw'!W62-V151</f>
        <v>587.63000000000011</v>
      </c>
      <c r="W147" s="23">
        <f>'Annual Raw'!X62-W151</f>
        <v>595.8599999999999</v>
      </c>
      <c r="X147" s="23">
        <f>'Annual Raw'!Y62-X151</f>
        <v>767.73</v>
      </c>
      <c r="Y147" s="23">
        <f>'Annual Raw'!Z62-Y151</f>
        <v>830.08999999999992</v>
      </c>
      <c r="Z147" s="23">
        <f>'Annual Raw'!AA62-Z151</f>
        <v>1292.95</v>
      </c>
      <c r="AA147" s="23">
        <f>'Annual Raw'!AB62-AA151</f>
        <v>1478.42</v>
      </c>
      <c r="AB147" s="24">
        <f t="shared" ref="AB147:AB153" si="1233">+CP147</f>
        <v>1458.77</v>
      </c>
      <c r="AC147" s="24">
        <f t="shared" ref="AC147:AC153" si="1234">+CT147</f>
        <v>1458.77</v>
      </c>
      <c r="AD147" s="24">
        <f t="shared" ref="AD147:AD153" si="1235">+CX147</f>
        <v>1458.77</v>
      </c>
      <c r="AE147" s="24">
        <f t="shared" ref="AE147:AE153" si="1236">+DB147</f>
        <v>1458.77</v>
      </c>
      <c r="AJ147" s="23">
        <f>+'QTR Raw'!D68</f>
        <v>212.31</v>
      </c>
      <c r="AL147" s="23">
        <f>+'QTR Raw'!F68</f>
        <v>211</v>
      </c>
      <c r="AN147" s="23">
        <f>+'QTR Raw'!H68</f>
        <v>205.29</v>
      </c>
      <c r="AP147" s="23">
        <f>+'QTR Raw'!J68</f>
        <v>210.34</v>
      </c>
      <c r="AR147" s="23">
        <f>+'QTR Raw'!L68</f>
        <v>203.5</v>
      </c>
      <c r="AT147" s="23">
        <f>+'QTR Raw'!N68</f>
        <v>193.47</v>
      </c>
      <c r="AV147" s="23">
        <f>+'QTR Raw'!P68</f>
        <v>208.27</v>
      </c>
      <c r="AX147" s="23">
        <f>+'QTR Raw'!R68</f>
        <v>203.76</v>
      </c>
      <c r="AZ147" s="23">
        <f>+'QTR Raw'!T68</f>
        <v>201.13</v>
      </c>
      <c r="BB147" s="23">
        <f>+'QTR Raw'!V68</f>
        <v>181.92</v>
      </c>
      <c r="BD147" s="23">
        <f>+'QTR Raw'!X68</f>
        <v>180.18</v>
      </c>
      <c r="BF147" s="23">
        <f>+'QTR Raw'!Z68</f>
        <v>180.13</v>
      </c>
      <c r="BH147" s="23">
        <f>+'QTR Raw'!AB68</f>
        <v>177.49</v>
      </c>
      <c r="BJ147" s="23">
        <f>+'QTR Raw'!AD68</f>
        <v>224.46</v>
      </c>
      <c r="BL147" s="23">
        <f>+'QTR Raw'!AF68</f>
        <v>226.45</v>
      </c>
      <c r="BN147" s="23">
        <f>+'QTR Raw'!AH68</f>
        <v>249.71</v>
      </c>
      <c r="BP147" s="23">
        <f>+'QTR Raw'!AJ68</f>
        <v>243.25</v>
      </c>
      <c r="BR147" s="23">
        <f>+'QTR Raw'!AL68</f>
        <v>246.83</v>
      </c>
      <c r="BT147" s="23">
        <f>+'QTR Raw'!AN68</f>
        <v>240.25</v>
      </c>
      <c r="BV147" s="23">
        <f>+'QTR Raw'!AP68</f>
        <v>237.62</v>
      </c>
      <c r="BX147" s="23">
        <f>+'QTR Raw'!AR68</f>
        <v>255.37</v>
      </c>
      <c r="BZ147" s="23">
        <f>+'QTR Raw'!AT68</f>
        <v>367.26</v>
      </c>
      <c r="CB147" s="23">
        <f>+'QTR Raw'!AV68</f>
        <v>370.02</v>
      </c>
      <c r="CD147" s="23">
        <f>+'QTR Raw'!AX68</f>
        <v>395.76</v>
      </c>
      <c r="CF147" s="23">
        <f>+'QTR Raw'!AZ68</f>
        <v>662.4</v>
      </c>
      <c r="CH147" s="23">
        <f t="shared" ref="CH147:CH153" si="1237">Z147</f>
        <v>1292.95</v>
      </c>
      <c r="CI147" s="23">
        <f>CH147</f>
        <v>1292.95</v>
      </c>
      <c r="CJ147" s="23">
        <f>+CJ148+CJ150</f>
        <v>1318.17</v>
      </c>
      <c r="CK147" s="24">
        <f>+CJ147</f>
        <v>1318.17</v>
      </c>
      <c r="CL147" s="23">
        <f>+CL148+CL150</f>
        <v>1458.77</v>
      </c>
      <c r="CM147" s="24">
        <f t="shared" ref="CM147:DB147" si="1238">+CL147</f>
        <v>1458.77</v>
      </c>
      <c r="CN147" s="24">
        <f t="shared" si="1238"/>
        <v>1458.77</v>
      </c>
      <c r="CO147" s="24">
        <f t="shared" si="1238"/>
        <v>1458.77</v>
      </c>
      <c r="CP147" s="24">
        <f t="shared" si="1238"/>
        <v>1458.77</v>
      </c>
      <c r="CQ147" s="24">
        <f t="shared" si="1238"/>
        <v>1458.77</v>
      </c>
      <c r="CR147" s="24">
        <f t="shared" si="1238"/>
        <v>1458.77</v>
      </c>
      <c r="CS147" s="24">
        <f t="shared" si="1238"/>
        <v>1458.77</v>
      </c>
      <c r="CT147" s="24">
        <f t="shared" si="1238"/>
        <v>1458.77</v>
      </c>
      <c r="CU147" s="24">
        <f t="shared" si="1238"/>
        <v>1458.77</v>
      </c>
      <c r="CV147" s="24">
        <f t="shared" si="1238"/>
        <v>1458.77</v>
      </c>
      <c r="CW147" s="24">
        <f t="shared" si="1238"/>
        <v>1458.77</v>
      </c>
      <c r="CX147" s="24">
        <f t="shared" si="1238"/>
        <v>1458.77</v>
      </c>
      <c r="CY147" s="24">
        <f t="shared" si="1238"/>
        <v>1458.77</v>
      </c>
      <c r="CZ147" s="24">
        <f t="shared" si="1238"/>
        <v>1458.77</v>
      </c>
      <c r="DA147" s="24">
        <f t="shared" si="1238"/>
        <v>1458.77</v>
      </c>
      <c r="DB147" s="24">
        <f t="shared" si="1238"/>
        <v>1458.77</v>
      </c>
      <c r="DE147" s="123"/>
      <c r="DF147" s="23">
        <v>1318.17</v>
      </c>
    </row>
    <row r="148" spans="1:110" s="23" customFormat="1" outlineLevel="1" x14ac:dyDescent="0.2">
      <c r="A148" s="23" t="s">
        <v>51</v>
      </c>
      <c r="B148" s="23">
        <f>'Annual Raw'!C63</f>
        <v>120.9659</v>
      </c>
      <c r="C148" s="23">
        <f>'Annual Raw'!D63</f>
        <v>112.2851</v>
      </c>
      <c r="D148" s="23">
        <f>'Annual Raw'!E63</f>
        <v>129.61789999999999</v>
      </c>
      <c r="E148" s="23">
        <f>'Annual Raw'!F63</f>
        <v>139.23779999999999</v>
      </c>
      <c r="F148" s="23">
        <f>'Annual Raw'!G63</f>
        <v>182.26769999999999</v>
      </c>
      <c r="G148" s="23">
        <f>'Annual Raw'!H63</f>
        <v>164.2038</v>
      </c>
      <c r="H148" s="23">
        <f>'Annual Raw'!I63</f>
        <v>137.87209999999999</v>
      </c>
      <c r="I148" s="23">
        <f>'Annual Raw'!J63</f>
        <v>146.2039</v>
      </c>
      <c r="J148" s="23">
        <f>'Annual Raw'!K63</f>
        <v>179.1617</v>
      </c>
      <c r="K148" s="23">
        <f>'Annual Raw'!L63</f>
        <v>179.84350000000001</v>
      </c>
      <c r="L148" s="23">
        <f>'Annual Raw'!M63</f>
        <v>188.023</v>
      </c>
      <c r="M148" s="23">
        <f>'Annual Raw'!N63</f>
        <v>219.4521</v>
      </c>
      <c r="N148" s="23">
        <f>'Annual Raw'!O63</f>
        <v>239.5104</v>
      </c>
      <c r="O148" s="23">
        <f>'Annual Raw'!P63</f>
        <v>250.65520000000001</v>
      </c>
      <c r="P148" s="23">
        <f>'Annual Raw'!Q63</f>
        <v>265.88400000000001</v>
      </c>
      <c r="Q148" s="23">
        <f>'Annual Raw'!R63</f>
        <v>280.13780000000003</v>
      </c>
      <c r="R148" s="23">
        <f>'Annual Raw'!S63</f>
        <v>278.43</v>
      </c>
      <c r="S148" s="23">
        <f>'Annual Raw'!T63</f>
        <v>289.89999999999998</v>
      </c>
      <c r="T148" s="23">
        <f>'Annual Raw'!U63</f>
        <v>293.39</v>
      </c>
      <c r="U148" s="23">
        <f>'Annual Raw'!V63</f>
        <v>306.05</v>
      </c>
      <c r="V148" s="23">
        <f>'Annual Raw'!W63</f>
        <v>327.51</v>
      </c>
      <c r="W148" s="23">
        <f>'Annual Raw'!X63</f>
        <v>337.81</v>
      </c>
      <c r="X148" s="23">
        <f>'Annual Raw'!Y63</f>
        <v>364.78</v>
      </c>
      <c r="Y148" s="23">
        <f>'Annual Raw'!Z63</f>
        <v>399.58</v>
      </c>
      <c r="Z148" s="23">
        <f>'Annual Raw'!AA63</f>
        <v>435.72</v>
      </c>
      <c r="AA148" s="23">
        <f>'Annual Raw'!AB63</f>
        <v>507.88</v>
      </c>
      <c r="AB148" s="24">
        <f t="shared" si="1233"/>
        <v>610.74735757151927</v>
      </c>
      <c r="AC148" s="24">
        <f t="shared" si="1234"/>
        <v>692.86936410737223</v>
      </c>
      <c r="AD148" s="24">
        <f t="shared" si="1235"/>
        <v>767.03872454622729</v>
      </c>
      <c r="AE148" s="24">
        <f t="shared" si="1236"/>
        <v>834.02556838944395</v>
      </c>
      <c r="AJ148" s="23">
        <f>+'QTR Raw'!D69</f>
        <v>0</v>
      </c>
      <c r="AL148" s="23">
        <f>+'QTR Raw'!F69</f>
        <v>0</v>
      </c>
      <c r="AN148" s="23">
        <f>+'QTR Raw'!H69</f>
        <v>0</v>
      </c>
      <c r="AP148" s="23">
        <f>+'QTR Raw'!J69</f>
        <v>0</v>
      </c>
      <c r="AR148" s="23">
        <f>+'QTR Raw'!L69</f>
        <v>0</v>
      </c>
      <c r="AT148" s="23">
        <f>+'QTR Raw'!N69</f>
        <v>0</v>
      </c>
      <c r="AV148" s="23">
        <f>+'QTR Raw'!P69</f>
        <v>0</v>
      </c>
      <c r="AX148" s="23">
        <f>+'QTR Raw'!R69</f>
        <v>0</v>
      </c>
      <c r="AZ148" s="23">
        <f>+'QTR Raw'!T69</f>
        <v>0</v>
      </c>
      <c r="BB148" s="23">
        <f>+'QTR Raw'!V69</f>
        <v>0</v>
      </c>
      <c r="BD148" s="23">
        <f>+'QTR Raw'!X69</f>
        <v>0</v>
      </c>
      <c r="BF148" s="23">
        <f>+'QTR Raw'!Z69</f>
        <v>0</v>
      </c>
      <c r="BH148" s="23">
        <f>+'QTR Raw'!AB69</f>
        <v>0</v>
      </c>
      <c r="BJ148" s="23">
        <f>+'QTR Raw'!AD69</f>
        <v>0</v>
      </c>
      <c r="BL148" s="23">
        <f>+'QTR Raw'!AF69</f>
        <v>0</v>
      </c>
      <c r="BN148" s="23">
        <f>+'QTR Raw'!AH69</f>
        <v>0</v>
      </c>
      <c r="BP148" s="23">
        <f>+'QTR Raw'!AJ69</f>
        <v>0</v>
      </c>
      <c r="BR148" s="23">
        <f>+'QTR Raw'!AL69</f>
        <v>0</v>
      </c>
      <c r="BT148" s="23">
        <f>+'QTR Raw'!AN69</f>
        <v>0</v>
      </c>
      <c r="BV148" s="23">
        <f>+'QTR Raw'!AP69</f>
        <v>0</v>
      </c>
      <c r="BX148" s="23">
        <f>+'QTR Raw'!AR69</f>
        <v>0</v>
      </c>
      <c r="BZ148" s="23">
        <f>+'QTR Raw'!AT69</f>
        <v>0</v>
      </c>
      <c r="CB148" s="23">
        <f>+'QTR Raw'!AV69</f>
        <v>0</v>
      </c>
      <c r="CD148" s="23">
        <f>+'QTR Raw'!AX69</f>
        <v>0</v>
      </c>
      <c r="CF148" s="23">
        <f>+'QTR Raw'!AZ69</f>
        <v>0</v>
      </c>
      <c r="CH148" s="23">
        <f t="shared" si="1237"/>
        <v>435.72</v>
      </c>
      <c r="CI148" s="23">
        <f t="shared" ref="CI148:DB148" si="1239">CH148+CI48</f>
        <v>454.19000000000005</v>
      </c>
      <c r="CJ148" s="23">
        <f t="shared" si="1239"/>
        <v>478.61000000000007</v>
      </c>
      <c r="CK148" s="24">
        <f t="shared" si="1239"/>
        <v>499.23000000000008</v>
      </c>
      <c r="CL148" s="23">
        <f t="shared" si="1239"/>
        <v>519.82000000000005</v>
      </c>
      <c r="CM148" s="24">
        <f t="shared" si="1239"/>
        <v>543.42732227025181</v>
      </c>
      <c r="CN148" s="24">
        <f t="shared" si="1239"/>
        <v>566.44110317539196</v>
      </c>
      <c r="CO148" s="24">
        <f t="shared" si="1239"/>
        <v>588.87626568500036</v>
      </c>
      <c r="CP148" s="24">
        <f t="shared" si="1239"/>
        <v>610.74735757151927</v>
      </c>
      <c r="CQ148" s="24">
        <f t="shared" si="1239"/>
        <v>632.06856084355684</v>
      </c>
      <c r="CR148" s="24">
        <f t="shared" si="1239"/>
        <v>652.85370094201483</v>
      </c>
      <c r="CS148" s="24">
        <f t="shared" si="1239"/>
        <v>673.11625570500587</v>
      </c>
      <c r="CT148" s="24">
        <f t="shared" si="1239"/>
        <v>692.86936410737223</v>
      </c>
      <c r="CU148" s="24">
        <f t="shared" si="1239"/>
        <v>712.12583478047304</v>
      </c>
      <c r="CV148" s="24">
        <f t="shared" si="1239"/>
        <v>730.89815431776526</v>
      </c>
      <c r="CW148" s="24">
        <f t="shared" si="1239"/>
        <v>749.19849537156313</v>
      </c>
      <c r="CX148" s="24">
        <f t="shared" si="1239"/>
        <v>767.03872454622729</v>
      </c>
      <c r="CY148" s="24">
        <f t="shared" si="1239"/>
        <v>784.4304100929013</v>
      </c>
      <c r="CZ148" s="24">
        <f t="shared" si="1239"/>
        <v>801.38482941078439</v>
      </c>
      <c r="DA148" s="24">
        <f t="shared" si="1239"/>
        <v>817.91297635980618</v>
      </c>
      <c r="DB148" s="24">
        <f t="shared" si="1239"/>
        <v>834.02556838944395</v>
      </c>
      <c r="DE148" s="123"/>
      <c r="DF148" s="23">
        <v>519.34356281861938</v>
      </c>
    </row>
    <row r="149" spans="1:110" s="23" customFormat="1" outlineLevel="1" x14ac:dyDescent="0.2">
      <c r="A149" s="23" t="s">
        <v>52</v>
      </c>
      <c r="B149" s="23">
        <f>'Annual Raw'!C64</f>
        <v>0</v>
      </c>
      <c r="C149" s="23">
        <f>'Annual Raw'!D64</f>
        <v>0</v>
      </c>
      <c r="D149" s="23">
        <f>'Annual Raw'!E64</f>
        <v>0</v>
      </c>
      <c r="E149" s="23">
        <f>'Annual Raw'!F64</f>
        <v>0</v>
      </c>
      <c r="F149" s="23">
        <f>'Annual Raw'!G64</f>
        <v>0</v>
      </c>
      <c r="G149" s="23">
        <f>'Annual Raw'!H64</f>
        <v>0</v>
      </c>
      <c r="H149" s="23">
        <f>'Annual Raw'!I64</f>
        <v>0</v>
      </c>
      <c r="I149" s="23">
        <f>'Annual Raw'!J64</f>
        <v>0</v>
      </c>
      <c r="J149" s="23">
        <f>'Annual Raw'!K64</f>
        <v>4.6912000000000003</v>
      </c>
      <c r="K149" s="23">
        <f>'Annual Raw'!L64</f>
        <v>2.2711000000000001</v>
      </c>
      <c r="L149" s="23">
        <f>'Annual Raw'!M64</f>
        <v>0</v>
      </c>
      <c r="M149" s="23">
        <f>'Annual Raw'!N64</f>
        <v>0</v>
      </c>
      <c r="N149" s="23">
        <f>'Annual Raw'!O64</f>
        <v>0</v>
      </c>
      <c r="O149" s="23">
        <f>'Annual Raw'!P64</f>
        <v>0</v>
      </c>
      <c r="P149" s="23">
        <f>'Annual Raw'!Q64</f>
        <v>0</v>
      </c>
      <c r="Q149" s="23">
        <f>'Annual Raw'!R64</f>
        <v>0</v>
      </c>
      <c r="R149" s="23">
        <f>'Annual Raw'!S64</f>
        <v>0</v>
      </c>
      <c r="S149" s="23">
        <f>'Annual Raw'!T64</f>
        <v>0</v>
      </c>
      <c r="T149" s="23">
        <f>'Annual Raw'!U64</f>
        <v>0</v>
      </c>
      <c r="U149" s="23">
        <f>'Annual Raw'!V64</f>
        <v>0</v>
      </c>
      <c r="V149" s="23">
        <f>'Annual Raw'!W64</f>
        <v>0</v>
      </c>
      <c r="W149" s="23">
        <f>'Annual Raw'!X64</f>
        <v>0</v>
      </c>
      <c r="X149" s="23">
        <f>'Annual Raw'!Y64</f>
        <v>0</v>
      </c>
      <c r="Y149" s="23">
        <f>'Annual Raw'!Z64</f>
        <v>0</v>
      </c>
      <c r="Z149" s="23">
        <f>'Annual Raw'!AA64</f>
        <v>0</v>
      </c>
      <c r="AA149" s="23">
        <f>'Annual Raw'!AB64</f>
        <v>0</v>
      </c>
      <c r="AB149" s="24">
        <f t="shared" si="1233"/>
        <v>0</v>
      </c>
      <c r="AC149" s="24">
        <f t="shared" si="1234"/>
        <v>0</v>
      </c>
      <c r="AD149" s="24">
        <f t="shared" si="1235"/>
        <v>0</v>
      </c>
      <c r="AE149" s="24">
        <f t="shared" si="1236"/>
        <v>0</v>
      </c>
      <c r="AJ149" s="23">
        <f>+'QTR Raw'!D70</f>
        <v>0</v>
      </c>
      <c r="AL149" s="23">
        <f>+'QTR Raw'!F70</f>
        <v>0</v>
      </c>
      <c r="AN149" s="23">
        <f>+'QTR Raw'!H70</f>
        <v>0</v>
      </c>
      <c r="AP149" s="23">
        <f>+'QTR Raw'!J70</f>
        <v>0</v>
      </c>
      <c r="AR149" s="23">
        <f>+'QTR Raw'!L70</f>
        <v>0</v>
      </c>
      <c r="AT149" s="23">
        <f>+'QTR Raw'!N70</f>
        <v>0</v>
      </c>
      <c r="AV149" s="23">
        <f>+'QTR Raw'!P70</f>
        <v>0</v>
      </c>
      <c r="AX149" s="23">
        <f>+'QTR Raw'!R70</f>
        <v>0</v>
      </c>
      <c r="AZ149" s="23">
        <f>+'QTR Raw'!T70</f>
        <v>0</v>
      </c>
      <c r="BB149" s="23">
        <f>+'QTR Raw'!V70</f>
        <v>0</v>
      </c>
      <c r="BD149" s="23">
        <f>+'QTR Raw'!X70</f>
        <v>0</v>
      </c>
      <c r="BF149" s="23">
        <f>+'QTR Raw'!Z70</f>
        <v>0</v>
      </c>
      <c r="BH149" s="23">
        <f>+'QTR Raw'!AB70</f>
        <v>0</v>
      </c>
      <c r="BJ149" s="23">
        <f>+'QTR Raw'!AD70</f>
        <v>0</v>
      </c>
      <c r="BL149" s="23">
        <f>+'QTR Raw'!AF70</f>
        <v>0</v>
      </c>
      <c r="BN149" s="23">
        <f>+'QTR Raw'!AH70</f>
        <v>0</v>
      </c>
      <c r="BP149" s="23">
        <f>+'QTR Raw'!AJ70</f>
        <v>0</v>
      </c>
      <c r="BR149" s="23">
        <f>+'QTR Raw'!AL70</f>
        <v>0</v>
      </c>
      <c r="BT149" s="23">
        <f>+'QTR Raw'!AN70</f>
        <v>0</v>
      </c>
      <c r="BV149" s="23">
        <f>+'QTR Raw'!AP70</f>
        <v>0</v>
      </c>
      <c r="BX149" s="23">
        <f>+'QTR Raw'!AR70</f>
        <v>0</v>
      </c>
      <c r="BZ149" s="23">
        <f>+'QTR Raw'!AT70</f>
        <v>0</v>
      </c>
      <c r="CB149" s="23">
        <f>+'QTR Raw'!AV70</f>
        <v>0</v>
      </c>
      <c r="CD149" s="23">
        <f>+'QTR Raw'!AX70</f>
        <v>0</v>
      </c>
      <c r="CF149" s="23">
        <f>+'QTR Raw'!AZ70</f>
        <v>0</v>
      </c>
      <c r="CH149" s="23">
        <f t="shared" si="1237"/>
        <v>0</v>
      </c>
      <c r="CI149" s="23">
        <f>CH149</f>
        <v>0</v>
      </c>
      <c r="CJ149" s="23">
        <f>+'QTR Raw'!BD70</f>
        <v>0</v>
      </c>
      <c r="CK149" s="24">
        <f t="shared" ref="CK149:DB149" si="1240">CJ149</f>
        <v>0</v>
      </c>
      <c r="CL149" s="23">
        <f>+'QTR Raw'!BF70</f>
        <v>0</v>
      </c>
      <c r="CM149" s="24">
        <f t="shared" si="1240"/>
        <v>0</v>
      </c>
      <c r="CN149" s="24">
        <f t="shared" si="1240"/>
        <v>0</v>
      </c>
      <c r="CO149" s="24">
        <f t="shared" si="1240"/>
        <v>0</v>
      </c>
      <c r="CP149" s="24">
        <f t="shared" si="1240"/>
        <v>0</v>
      </c>
      <c r="CQ149" s="24">
        <f t="shared" si="1240"/>
        <v>0</v>
      </c>
      <c r="CR149" s="24">
        <f t="shared" si="1240"/>
        <v>0</v>
      </c>
      <c r="CS149" s="24">
        <f t="shared" si="1240"/>
        <v>0</v>
      </c>
      <c r="CT149" s="24">
        <f t="shared" si="1240"/>
        <v>0</v>
      </c>
      <c r="CU149" s="24">
        <f t="shared" si="1240"/>
        <v>0</v>
      </c>
      <c r="CV149" s="24">
        <f t="shared" si="1240"/>
        <v>0</v>
      </c>
      <c r="CW149" s="24">
        <f t="shared" si="1240"/>
        <v>0</v>
      </c>
      <c r="CX149" s="24">
        <f t="shared" si="1240"/>
        <v>0</v>
      </c>
      <c r="CY149" s="24">
        <f t="shared" si="1240"/>
        <v>0</v>
      </c>
      <c r="CZ149" s="24">
        <f t="shared" si="1240"/>
        <v>0</v>
      </c>
      <c r="DA149" s="24">
        <f t="shared" si="1240"/>
        <v>0</v>
      </c>
      <c r="DB149" s="24">
        <f t="shared" si="1240"/>
        <v>0</v>
      </c>
      <c r="DE149" s="123"/>
      <c r="DF149" s="23">
        <v>0</v>
      </c>
    </row>
    <row r="150" spans="1:110" s="22" customFormat="1" outlineLevel="1" x14ac:dyDescent="0.2">
      <c r="A150" s="22" t="s">
        <v>53</v>
      </c>
      <c r="B150" s="22">
        <f>+B147-B148-B149</f>
        <v>133.8391</v>
      </c>
      <c r="C150" s="22">
        <f t="shared" ref="C150:W150" si="1241">+C147-C148-C149</f>
        <v>132.2542</v>
      </c>
      <c r="D150" s="22">
        <f t="shared" si="1241"/>
        <v>146.13759999999999</v>
      </c>
      <c r="E150" s="22">
        <f t="shared" si="1241"/>
        <v>144.65289999999999</v>
      </c>
      <c r="F150" s="22">
        <f t="shared" si="1241"/>
        <v>101.03900000000004</v>
      </c>
      <c r="G150" s="22">
        <f t="shared" si="1241"/>
        <v>149.0729</v>
      </c>
      <c r="H150" s="22">
        <f t="shared" si="1241"/>
        <v>147.25049999999999</v>
      </c>
      <c r="I150" s="22">
        <f t="shared" si="1241"/>
        <v>170.1251</v>
      </c>
      <c r="J150" s="22">
        <f t="shared" si="1241"/>
        <v>214.76819999999995</v>
      </c>
      <c r="K150" s="22">
        <f t="shared" si="1241"/>
        <v>283.24709999999999</v>
      </c>
      <c r="L150" s="22">
        <f t="shared" si="1241"/>
        <v>221.0549</v>
      </c>
      <c r="M150" s="22">
        <f t="shared" si="1241"/>
        <v>200.43349999999995</v>
      </c>
      <c r="N150" s="22">
        <f t="shared" si="1241"/>
        <v>210.9966</v>
      </c>
      <c r="O150" s="22">
        <f t="shared" si="1241"/>
        <v>288.41139999999996</v>
      </c>
      <c r="P150" s="22">
        <f t="shared" si="1241"/>
        <v>189.05250000000001</v>
      </c>
      <c r="Q150" s="22">
        <f t="shared" si="1241"/>
        <v>203.75620000000004</v>
      </c>
      <c r="R150" s="22">
        <f t="shared" si="1241"/>
        <v>181.91999999999996</v>
      </c>
      <c r="S150" s="22">
        <f t="shared" si="1241"/>
        <v>180.13000000000005</v>
      </c>
      <c r="T150" s="22">
        <f t="shared" si="1241"/>
        <v>224.45999999999992</v>
      </c>
      <c r="U150" s="22">
        <f t="shared" si="1241"/>
        <v>262.73999999999995</v>
      </c>
      <c r="V150" s="22">
        <f t="shared" si="1241"/>
        <v>260.12000000000012</v>
      </c>
      <c r="W150" s="22">
        <f t="shared" si="1241"/>
        <v>258.0499999999999</v>
      </c>
      <c r="X150" s="22">
        <f t="shared" ref="X150:Y150" si="1242">+X147-X148-X149</f>
        <v>402.95000000000005</v>
      </c>
      <c r="Y150" s="22">
        <f t="shared" si="1242"/>
        <v>430.50999999999993</v>
      </c>
      <c r="Z150" s="22">
        <f t="shared" ref="Z150:AE150" si="1243">+Z147-Z148-Z149</f>
        <v>857.23</v>
      </c>
      <c r="AA150" s="22">
        <f t="shared" ref="AA150" si="1244">+AA147-AA148-AA149</f>
        <v>970.54000000000008</v>
      </c>
      <c r="AB150" s="21">
        <f t="shared" si="1243"/>
        <v>848.02264242848071</v>
      </c>
      <c r="AC150" s="21">
        <f t="shared" si="1243"/>
        <v>765.90063589262775</v>
      </c>
      <c r="AD150" s="21">
        <f t="shared" si="1243"/>
        <v>691.7312754537727</v>
      </c>
      <c r="AE150" s="21">
        <f t="shared" si="1243"/>
        <v>624.74443161055603</v>
      </c>
      <c r="AJ150" s="22">
        <f t="shared" ref="AJ150:AL150" si="1245">+AJ147-AJ148-AJ149</f>
        <v>212.31</v>
      </c>
      <c r="AK150" s="22">
        <f t="shared" ref="AK150:CE150" si="1246">+AJ150</f>
        <v>212.31</v>
      </c>
      <c r="AL150" s="22">
        <f t="shared" si="1245"/>
        <v>211</v>
      </c>
      <c r="AM150" s="22">
        <f t="shared" si="1246"/>
        <v>211</v>
      </c>
      <c r="AN150" s="22">
        <f t="shared" ref="AN150" si="1247">+AN147-AN148-AN149</f>
        <v>205.29</v>
      </c>
      <c r="AO150" s="22">
        <f t="shared" si="1246"/>
        <v>205.29</v>
      </c>
      <c r="AP150" s="22">
        <f t="shared" ref="AP150:CD150" si="1248">+AP147-AP148-AP149</f>
        <v>210.34</v>
      </c>
      <c r="AQ150" s="22">
        <f t="shared" si="1246"/>
        <v>210.34</v>
      </c>
      <c r="AR150" s="22">
        <f t="shared" si="1248"/>
        <v>203.5</v>
      </c>
      <c r="AS150" s="22">
        <f t="shared" si="1246"/>
        <v>203.5</v>
      </c>
      <c r="AT150" s="22">
        <f t="shared" si="1248"/>
        <v>193.47</v>
      </c>
      <c r="AU150" s="22">
        <f t="shared" si="1246"/>
        <v>193.47</v>
      </c>
      <c r="AV150" s="22">
        <f t="shared" si="1248"/>
        <v>208.27</v>
      </c>
      <c r="AW150" s="22">
        <f t="shared" si="1246"/>
        <v>208.27</v>
      </c>
      <c r="AX150" s="22">
        <f t="shared" si="1248"/>
        <v>203.76</v>
      </c>
      <c r="AY150" s="22">
        <f t="shared" si="1246"/>
        <v>203.76</v>
      </c>
      <c r="AZ150" s="22">
        <f t="shared" si="1248"/>
        <v>201.13</v>
      </c>
      <c r="BA150" s="22">
        <f t="shared" si="1246"/>
        <v>201.13</v>
      </c>
      <c r="BB150" s="22">
        <f t="shared" si="1248"/>
        <v>181.92</v>
      </c>
      <c r="BC150" s="22">
        <f t="shared" si="1246"/>
        <v>181.92</v>
      </c>
      <c r="BD150" s="22">
        <f t="shared" si="1248"/>
        <v>180.18</v>
      </c>
      <c r="BE150" s="22">
        <f t="shared" si="1246"/>
        <v>180.18</v>
      </c>
      <c r="BF150" s="22">
        <f t="shared" si="1248"/>
        <v>180.13</v>
      </c>
      <c r="BG150" s="22">
        <f t="shared" si="1246"/>
        <v>180.13</v>
      </c>
      <c r="BH150" s="22">
        <f t="shared" si="1248"/>
        <v>177.49</v>
      </c>
      <c r="BI150" s="22">
        <f t="shared" si="1246"/>
        <v>177.49</v>
      </c>
      <c r="BJ150" s="22">
        <f t="shared" si="1248"/>
        <v>224.46</v>
      </c>
      <c r="BK150" s="22">
        <f t="shared" si="1246"/>
        <v>224.46</v>
      </c>
      <c r="BL150" s="22">
        <f t="shared" si="1248"/>
        <v>226.45</v>
      </c>
      <c r="BM150" s="22">
        <f t="shared" si="1246"/>
        <v>226.45</v>
      </c>
      <c r="BN150" s="22">
        <f t="shared" si="1248"/>
        <v>249.71</v>
      </c>
      <c r="BO150" s="22">
        <f t="shared" si="1246"/>
        <v>249.71</v>
      </c>
      <c r="BP150" s="22">
        <f t="shared" si="1248"/>
        <v>243.25</v>
      </c>
      <c r="BQ150" s="22">
        <f t="shared" si="1246"/>
        <v>243.25</v>
      </c>
      <c r="BR150" s="22">
        <f t="shared" si="1248"/>
        <v>246.83</v>
      </c>
      <c r="BS150" s="22">
        <f t="shared" si="1246"/>
        <v>246.83</v>
      </c>
      <c r="BT150" s="22">
        <f t="shared" si="1248"/>
        <v>240.25</v>
      </c>
      <c r="BU150" s="22">
        <f t="shared" si="1246"/>
        <v>240.25</v>
      </c>
      <c r="BV150" s="22">
        <f t="shared" si="1248"/>
        <v>237.62</v>
      </c>
      <c r="BW150" s="22">
        <f t="shared" si="1246"/>
        <v>237.62</v>
      </c>
      <c r="BX150" s="22">
        <f t="shared" si="1248"/>
        <v>255.37</v>
      </c>
      <c r="BY150" s="22">
        <f t="shared" si="1246"/>
        <v>255.37</v>
      </c>
      <c r="BZ150" s="22">
        <f t="shared" si="1248"/>
        <v>367.26</v>
      </c>
      <c r="CA150" s="22">
        <f t="shared" si="1246"/>
        <v>367.26</v>
      </c>
      <c r="CB150" s="22">
        <f t="shared" si="1248"/>
        <v>370.02</v>
      </c>
      <c r="CC150" s="22">
        <f t="shared" si="1246"/>
        <v>370.02</v>
      </c>
      <c r="CD150" s="22">
        <f t="shared" si="1248"/>
        <v>395.76</v>
      </c>
      <c r="CE150" s="22">
        <f t="shared" si="1246"/>
        <v>395.76</v>
      </c>
      <c r="CF150" s="22">
        <f t="shared" ref="CF150:CI150" si="1249">+CF147-CF148-CF149</f>
        <v>662.4</v>
      </c>
      <c r="CG150" s="22">
        <f t="shared" ref="CG150:CI153" si="1250">+CF150</f>
        <v>662.4</v>
      </c>
      <c r="CH150" s="22">
        <f t="shared" si="1249"/>
        <v>857.23</v>
      </c>
      <c r="CI150" s="22">
        <f t="shared" si="1249"/>
        <v>838.76</v>
      </c>
      <c r="CJ150" s="23">
        <f>+'QTR Raw'!BD68</f>
        <v>839.56</v>
      </c>
      <c r="CK150" s="21">
        <f t="shared" ref="CK150:DB150" si="1251">+CK147-CK148-CK149</f>
        <v>818.94</v>
      </c>
      <c r="CL150" s="23">
        <f>+'QTR Raw'!BF68</f>
        <v>938.95</v>
      </c>
      <c r="CM150" s="21">
        <f t="shared" si="1251"/>
        <v>915.34267772974817</v>
      </c>
      <c r="CN150" s="21">
        <f t="shared" si="1251"/>
        <v>892.32889682460802</v>
      </c>
      <c r="CO150" s="21">
        <f t="shared" si="1251"/>
        <v>869.89373431499962</v>
      </c>
      <c r="CP150" s="21">
        <f t="shared" si="1251"/>
        <v>848.02264242848071</v>
      </c>
      <c r="CQ150" s="21">
        <f t="shared" si="1251"/>
        <v>826.70143915644314</v>
      </c>
      <c r="CR150" s="21">
        <f t="shared" si="1251"/>
        <v>805.91629905798516</v>
      </c>
      <c r="CS150" s="21">
        <f t="shared" si="1251"/>
        <v>785.65374429499411</v>
      </c>
      <c r="CT150" s="21">
        <f t="shared" si="1251"/>
        <v>765.90063589262775</v>
      </c>
      <c r="CU150" s="21">
        <f t="shared" si="1251"/>
        <v>746.64416521952694</v>
      </c>
      <c r="CV150" s="21">
        <f t="shared" si="1251"/>
        <v>727.87184568223472</v>
      </c>
      <c r="CW150" s="21">
        <f t="shared" si="1251"/>
        <v>709.57150462843686</v>
      </c>
      <c r="CX150" s="21">
        <f t="shared" si="1251"/>
        <v>691.7312754537727</v>
      </c>
      <c r="CY150" s="21">
        <f t="shared" si="1251"/>
        <v>674.33958990709868</v>
      </c>
      <c r="CZ150" s="21">
        <f t="shared" si="1251"/>
        <v>657.38517058921559</v>
      </c>
      <c r="DA150" s="21">
        <f t="shared" si="1251"/>
        <v>640.8570236401938</v>
      </c>
      <c r="DB150" s="21">
        <f t="shared" si="1251"/>
        <v>624.74443161055603</v>
      </c>
      <c r="DE150" s="126"/>
      <c r="DF150" s="22">
        <v>798.8264371813807</v>
      </c>
    </row>
    <row r="151" spans="1:110" s="23" customFormat="1" outlineLevel="1" x14ac:dyDescent="0.2">
      <c r="A151" s="23" t="s">
        <v>54</v>
      </c>
      <c r="B151" s="23">
        <f>'Annual Raw'!C86</f>
        <v>0</v>
      </c>
      <c r="C151" s="23">
        <f>'Annual Raw'!D86</f>
        <v>0</v>
      </c>
      <c r="D151" s="23">
        <f>'Annual Raw'!E86</f>
        <v>0</v>
      </c>
      <c r="E151" s="23">
        <f>'Annual Raw'!F86</f>
        <v>0</v>
      </c>
      <c r="F151" s="23">
        <f>'Annual Raw'!G86</f>
        <v>3.0457999999999998</v>
      </c>
      <c r="G151" s="23">
        <f>'Annual Raw'!H86</f>
        <v>3.0457999999999998</v>
      </c>
      <c r="H151" s="23">
        <f>'Annual Raw'!I86</f>
        <v>0</v>
      </c>
      <c r="I151" s="23">
        <f>'Annual Raw'!J86</f>
        <v>0</v>
      </c>
      <c r="J151" s="23">
        <f>'Annual Raw'!K86</f>
        <v>67.535700000000006</v>
      </c>
      <c r="K151" s="23">
        <f>'Annual Raw'!L86</f>
        <v>0</v>
      </c>
      <c r="L151" s="23">
        <f>'Annual Raw'!M86</f>
        <v>89.402500000000003</v>
      </c>
      <c r="M151" s="23">
        <f>'Annual Raw'!N86</f>
        <v>88.954400000000007</v>
      </c>
      <c r="N151" s="23">
        <f>'Annual Raw'!O86</f>
        <v>88.840400000000002</v>
      </c>
      <c r="O151" s="23">
        <f>'Annual Raw'!P86</f>
        <v>0</v>
      </c>
      <c r="P151" s="23">
        <f>'Annual Raw'!Q86</f>
        <v>79.780299999999997</v>
      </c>
      <c r="Q151" s="23">
        <f>'Annual Raw'!R86</f>
        <v>72.310500000000005</v>
      </c>
      <c r="R151" s="23">
        <f>'Annual Raw'!S86</f>
        <v>72.31</v>
      </c>
      <c r="S151" s="23">
        <f>'Annual Raw'!T86</f>
        <v>72.31</v>
      </c>
      <c r="T151" s="23">
        <f>'Annual Raw'!U86</f>
        <v>72.31</v>
      </c>
      <c r="U151" s="23">
        <f>'Annual Raw'!V86</f>
        <v>72.31</v>
      </c>
      <c r="V151" s="23">
        <f>'Annual Raw'!W86</f>
        <v>72.31</v>
      </c>
      <c r="W151" s="23">
        <f>'Annual Raw'!X86</f>
        <v>72.31</v>
      </c>
      <c r="X151" s="23">
        <f>'Annual Raw'!Y86</f>
        <v>72.31</v>
      </c>
      <c r="Y151" s="23">
        <f>'Annual Raw'!Z86</f>
        <v>72.31</v>
      </c>
      <c r="Z151" s="23">
        <f>'Annual Raw'!AA86</f>
        <v>72.31</v>
      </c>
      <c r="AA151" s="23">
        <f>'Annual Raw'!AB86</f>
        <v>72.31</v>
      </c>
      <c r="AB151" s="24">
        <f t="shared" si="1233"/>
        <v>72.31</v>
      </c>
      <c r="AC151" s="24">
        <f t="shared" si="1234"/>
        <v>72.31</v>
      </c>
      <c r="AD151" s="24">
        <f t="shared" si="1235"/>
        <v>72.31</v>
      </c>
      <c r="AE151" s="24">
        <f t="shared" si="1236"/>
        <v>72.31</v>
      </c>
      <c r="AJ151" s="23">
        <f>+'QTR Raw'!D72</f>
        <v>88.19</v>
      </c>
      <c r="AK151" s="23">
        <f>+AJ151</f>
        <v>88.19</v>
      </c>
      <c r="AL151" s="23">
        <f>+'QTR Raw'!F72</f>
        <v>88.84</v>
      </c>
      <c r="AM151" s="23">
        <f t="shared" ref="AK151:CE153" si="1252">+AL151</f>
        <v>88.84</v>
      </c>
      <c r="AN151" s="23">
        <f>+'QTR Raw'!H72</f>
        <v>89.97</v>
      </c>
      <c r="AO151" s="23">
        <f t="shared" si="1252"/>
        <v>89.97</v>
      </c>
      <c r="AP151" s="23">
        <f>+'QTR Raw'!J72</f>
        <v>79.849999999999994</v>
      </c>
      <c r="AQ151" s="23">
        <f t="shared" si="1252"/>
        <v>79.849999999999994</v>
      </c>
      <c r="AR151" s="23">
        <f>+'QTR Raw'!L72</f>
        <v>79.58</v>
      </c>
      <c r="AS151" s="23">
        <f t="shared" si="1252"/>
        <v>79.58</v>
      </c>
      <c r="AT151" s="23">
        <f>+'QTR Raw'!N72</f>
        <v>79.78</v>
      </c>
      <c r="AU151" s="23">
        <f t="shared" si="1252"/>
        <v>79.78</v>
      </c>
      <c r="AV151" s="23">
        <f>+'QTR Raw'!P72</f>
        <v>79.930000000000007</v>
      </c>
      <c r="AW151" s="23">
        <f t="shared" si="1252"/>
        <v>79.930000000000007</v>
      </c>
      <c r="AX151" s="23">
        <f>+'QTR Raw'!R72</f>
        <v>72.31</v>
      </c>
      <c r="AY151" s="23">
        <f t="shared" si="1252"/>
        <v>72.31</v>
      </c>
      <c r="AZ151" s="23">
        <f>+'QTR Raw'!T72</f>
        <v>72.31</v>
      </c>
      <c r="BA151" s="23">
        <f t="shared" si="1252"/>
        <v>72.31</v>
      </c>
      <c r="BB151" s="23">
        <f>+'QTR Raw'!V72</f>
        <v>72.31</v>
      </c>
      <c r="BC151" s="23">
        <f t="shared" si="1252"/>
        <v>72.31</v>
      </c>
      <c r="BD151" s="23">
        <f>+'QTR Raw'!X72</f>
        <v>72.31</v>
      </c>
      <c r="BE151" s="23">
        <f t="shared" si="1252"/>
        <v>72.31</v>
      </c>
      <c r="BF151" s="23">
        <f>+'QTR Raw'!Z72</f>
        <v>72.31</v>
      </c>
      <c r="BG151" s="23">
        <f t="shared" si="1252"/>
        <v>72.31</v>
      </c>
      <c r="BH151" s="23">
        <f>+'QTR Raw'!AB72</f>
        <v>72.31</v>
      </c>
      <c r="BI151" s="23">
        <f t="shared" si="1252"/>
        <v>72.31</v>
      </c>
      <c r="BJ151" s="23">
        <f>+'QTR Raw'!AD72</f>
        <v>72.31</v>
      </c>
      <c r="BK151" s="23">
        <f t="shared" si="1252"/>
        <v>72.31</v>
      </c>
      <c r="BL151" s="23">
        <f>+'QTR Raw'!AF72</f>
        <v>72.31</v>
      </c>
      <c r="BM151" s="23">
        <f t="shared" si="1252"/>
        <v>72.31</v>
      </c>
      <c r="BN151" s="23">
        <f>+'QTR Raw'!AH72</f>
        <v>72.31</v>
      </c>
      <c r="BO151" s="23">
        <f t="shared" si="1252"/>
        <v>72.31</v>
      </c>
      <c r="BP151" s="23">
        <f>+'QTR Raw'!AJ72</f>
        <v>72.31</v>
      </c>
      <c r="BQ151" s="23">
        <f t="shared" si="1252"/>
        <v>72.31</v>
      </c>
      <c r="BR151" s="23">
        <f>+'QTR Raw'!AL72</f>
        <v>72.31</v>
      </c>
      <c r="BS151" s="23">
        <f t="shared" si="1252"/>
        <v>72.31</v>
      </c>
      <c r="BT151" s="23">
        <f>+'QTR Raw'!AN72</f>
        <v>72.31</v>
      </c>
      <c r="BU151" s="23">
        <f t="shared" si="1252"/>
        <v>72.31</v>
      </c>
      <c r="BV151" s="23">
        <f>+'QTR Raw'!AP72</f>
        <v>72.31</v>
      </c>
      <c r="BW151" s="23">
        <f t="shared" si="1252"/>
        <v>72.31</v>
      </c>
      <c r="BX151" s="23">
        <f>+'QTR Raw'!AR72</f>
        <v>72.31</v>
      </c>
      <c r="BY151" s="23">
        <f t="shared" si="1252"/>
        <v>72.31</v>
      </c>
      <c r="BZ151" s="23">
        <f>+'QTR Raw'!AT72</f>
        <v>72.31</v>
      </c>
      <c r="CA151" s="23">
        <f t="shared" si="1252"/>
        <v>72.31</v>
      </c>
      <c r="CB151" s="23">
        <f>+'QTR Raw'!AV72</f>
        <v>72.31</v>
      </c>
      <c r="CC151" s="23">
        <f t="shared" si="1252"/>
        <v>72.31</v>
      </c>
      <c r="CD151" s="23">
        <f>+'QTR Raw'!AX72</f>
        <v>72.31</v>
      </c>
      <c r="CE151" s="23">
        <f t="shared" si="1252"/>
        <v>72.31</v>
      </c>
      <c r="CF151" s="23">
        <f>+'QTR Raw'!AZ72</f>
        <v>72.31</v>
      </c>
      <c r="CG151" s="23">
        <f t="shared" si="1250"/>
        <v>72.31</v>
      </c>
      <c r="CH151" s="23">
        <f t="shared" si="1237"/>
        <v>72.31</v>
      </c>
      <c r="CI151" s="23">
        <f t="shared" si="1250"/>
        <v>72.31</v>
      </c>
      <c r="CJ151" s="23">
        <f>+'QTR Raw'!BD72</f>
        <v>72.31</v>
      </c>
      <c r="CK151" s="24">
        <f t="shared" ref="CK151:CK153" si="1253">+CJ151</f>
        <v>72.31</v>
      </c>
      <c r="CL151" s="23">
        <f>+'QTR Raw'!BF72</f>
        <v>72.31</v>
      </c>
      <c r="CM151" s="24">
        <f t="shared" ref="CM151:CM153" si="1254">+CL151</f>
        <v>72.31</v>
      </c>
      <c r="CN151" s="24">
        <f t="shared" ref="CN151:CN153" si="1255">+CM151</f>
        <v>72.31</v>
      </c>
      <c r="CO151" s="24">
        <f t="shared" ref="CO151:CO153" si="1256">+CN151</f>
        <v>72.31</v>
      </c>
      <c r="CP151" s="24">
        <f t="shared" ref="CP151:CP153" si="1257">+CO151</f>
        <v>72.31</v>
      </c>
      <c r="CQ151" s="24">
        <f t="shared" ref="CQ151:CQ153" si="1258">+CP151</f>
        <v>72.31</v>
      </c>
      <c r="CR151" s="24">
        <f t="shared" ref="CR151:CR153" si="1259">+CQ151</f>
        <v>72.31</v>
      </c>
      <c r="CS151" s="24">
        <f t="shared" ref="CS151:CS153" si="1260">+CR151</f>
        <v>72.31</v>
      </c>
      <c r="CT151" s="24">
        <f t="shared" ref="CT151:CT153" si="1261">+CS151</f>
        <v>72.31</v>
      </c>
      <c r="CU151" s="24">
        <f t="shared" ref="CU151:CU153" si="1262">+CT151</f>
        <v>72.31</v>
      </c>
      <c r="CV151" s="24">
        <f t="shared" ref="CV151:CV153" si="1263">+CU151</f>
        <v>72.31</v>
      </c>
      <c r="CW151" s="24">
        <f t="shared" ref="CW151:CW153" si="1264">+CV151</f>
        <v>72.31</v>
      </c>
      <c r="CX151" s="24">
        <f t="shared" ref="CX151:CX153" si="1265">+CW151</f>
        <v>72.31</v>
      </c>
      <c r="CY151" s="24">
        <f t="shared" ref="CY151:CY153" si="1266">+CX151</f>
        <v>72.31</v>
      </c>
      <c r="CZ151" s="24">
        <f t="shared" ref="CZ151:CZ153" si="1267">+CY151</f>
        <v>72.31</v>
      </c>
      <c r="DA151" s="24">
        <f t="shared" ref="DA151:DA153" si="1268">+CZ151</f>
        <v>72.31</v>
      </c>
      <c r="DB151" s="24">
        <f t="shared" ref="DB151:DB153" si="1269">+DA151</f>
        <v>72.31</v>
      </c>
      <c r="DE151" s="123"/>
      <c r="DF151" s="23">
        <v>72.31</v>
      </c>
    </row>
    <row r="152" spans="1:110" s="23" customFormat="1" outlineLevel="1" x14ac:dyDescent="0.2">
      <c r="A152" s="23" t="s">
        <v>55</v>
      </c>
      <c r="B152" s="23">
        <f>'Annual Raw'!C68</f>
        <v>0</v>
      </c>
      <c r="C152" s="23">
        <f>'Annual Raw'!D68</f>
        <v>0</v>
      </c>
      <c r="D152" s="23">
        <f>'Annual Raw'!E68</f>
        <v>0</v>
      </c>
      <c r="E152" s="23">
        <f>'Annual Raw'!F68</f>
        <v>0</v>
      </c>
      <c r="F152" s="23">
        <f>'Annual Raw'!G68</f>
        <v>0</v>
      </c>
      <c r="G152" s="23">
        <f>'Annual Raw'!H68</f>
        <v>0</v>
      </c>
      <c r="H152" s="23">
        <f>'Annual Raw'!I68</f>
        <v>0</v>
      </c>
      <c r="I152" s="23">
        <f>'Annual Raw'!J68</f>
        <v>0</v>
      </c>
      <c r="J152" s="23">
        <f>'Annual Raw'!K68</f>
        <v>0</v>
      </c>
      <c r="K152" s="23">
        <f>'Annual Raw'!L68</f>
        <v>0</v>
      </c>
      <c r="L152" s="23">
        <f>'Annual Raw'!M68</f>
        <v>0.36630000000000001</v>
      </c>
      <c r="M152" s="23">
        <f>'Annual Raw'!N68</f>
        <v>0.53700000000000003</v>
      </c>
      <c r="N152" s="23">
        <f>'Annual Raw'!O68</f>
        <v>0</v>
      </c>
      <c r="O152" s="23">
        <f>'Annual Raw'!P68</f>
        <v>0</v>
      </c>
      <c r="P152" s="23">
        <f>'Annual Raw'!Q68</f>
        <v>0</v>
      </c>
      <c r="Q152" s="23">
        <f>'Annual Raw'!R68</f>
        <v>0</v>
      </c>
      <c r="R152" s="23">
        <f>'Annual Raw'!S68</f>
        <v>0</v>
      </c>
      <c r="S152" s="23">
        <f>'Annual Raw'!T68</f>
        <v>0</v>
      </c>
      <c r="T152" s="23">
        <f>'Annual Raw'!U68</f>
        <v>0</v>
      </c>
      <c r="U152" s="23">
        <f>'Annual Raw'!V68</f>
        <v>0</v>
      </c>
      <c r="V152" s="23">
        <f>'Annual Raw'!W68</f>
        <v>0</v>
      </c>
      <c r="W152" s="23">
        <f>'Annual Raw'!X68</f>
        <v>0</v>
      </c>
      <c r="X152" s="23">
        <f>'Annual Raw'!Y68</f>
        <v>0</v>
      </c>
      <c r="Y152" s="23">
        <f>'Annual Raw'!Z68</f>
        <v>0</v>
      </c>
      <c r="Z152" s="23">
        <f>'Annual Raw'!AA68</f>
        <v>0</v>
      </c>
      <c r="AA152" s="23">
        <f>'Annual Raw'!AB68</f>
        <v>0</v>
      </c>
      <c r="AB152" s="24">
        <f t="shared" si="1233"/>
        <v>0</v>
      </c>
      <c r="AC152" s="24">
        <f t="shared" si="1234"/>
        <v>0</v>
      </c>
      <c r="AD152" s="24">
        <f t="shared" si="1235"/>
        <v>0</v>
      </c>
      <c r="AE152" s="24">
        <f t="shared" si="1236"/>
        <v>0</v>
      </c>
      <c r="AK152" s="23">
        <f t="shared" si="1252"/>
        <v>0</v>
      </c>
      <c r="AM152" s="23">
        <f t="shared" si="1252"/>
        <v>0</v>
      </c>
      <c r="AO152" s="23">
        <f t="shared" si="1252"/>
        <v>0</v>
      </c>
      <c r="AQ152" s="23">
        <f t="shared" si="1252"/>
        <v>0</v>
      </c>
      <c r="AS152" s="23">
        <f t="shared" si="1252"/>
        <v>0</v>
      </c>
      <c r="AU152" s="23">
        <f t="shared" si="1252"/>
        <v>0</v>
      </c>
      <c r="AW152" s="23">
        <f t="shared" si="1252"/>
        <v>0</v>
      </c>
      <c r="AY152" s="23">
        <f t="shared" si="1252"/>
        <v>0</v>
      </c>
      <c r="BA152" s="23">
        <f t="shared" si="1252"/>
        <v>0</v>
      </c>
      <c r="BC152" s="23">
        <f t="shared" si="1252"/>
        <v>0</v>
      </c>
      <c r="BE152" s="23">
        <f t="shared" si="1252"/>
        <v>0</v>
      </c>
      <c r="BG152" s="23">
        <f t="shared" si="1252"/>
        <v>0</v>
      </c>
      <c r="BI152" s="23">
        <f t="shared" si="1252"/>
        <v>0</v>
      </c>
      <c r="BK152" s="23">
        <f t="shared" si="1252"/>
        <v>0</v>
      </c>
      <c r="BM152" s="23">
        <f t="shared" si="1252"/>
        <v>0</v>
      </c>
      <c r="BO152" s="23">
        <f t="shared" si="1252"/>
        <v>0</v>
      </c>
      <c r="BQ152" s="23">
        <f t="shared" si="1252"/>
        <v>0</v>
      </c>
      <c r="BS152" s="23">
        <f t="shared" si="1252"/>
        <v>0</v>
      </c>
      <c r="BU152" s="23">
        <f t="shared" si="1252"/>
        <v>0</v>
      </c>
      <c r="BW152" s="23">
        <f t="shared" si="1252"/>
        <v>0</v>
      </c>
      <c r="BY152" s="23">
        <f t="shared" si="1252"/>
        <v>0</v>
      </c>
      <c r="CA152" s="23">
        <f t="shared" si="1252"/>
        <v>0</v>
      </c>
      <c r="CC152" s="23">
        <f t="shared" si="1252"/>
        <v>0</v>
      </c>
      <c r="CE152" s="23">
        <f t="shared" si="1252"/>
        <v>0</v>
      </c>
      <c r="CG152" s="23">
        <f t="shared" si="1250"/>
        <v>0</v>
      </c>
      <c r="CH152" s="23">
        <f t="shared" si="1237"/>
        <v>0</v>
      </c>
      <c r="CI152" s="23">
        <f t="shared" si="1250"/>
        <v>0</v>
      </c>
      <c r="CK152" s="24">
        <f t="shared" si="1253"/>
        <v>0</v>
      </c>
      <c r="CM152" s="24">
        <f t="shared" si="1254"/>
        <v>0</v>
      </c>
      <c r="CN152" s="24">
        <f t="shared" si="1255"/>
        <v>0</v>
      </c>
      <c r="CO152" s="24">
        <f t="shared" si="1256"/>
        <v>0</v>
      </c>
      <c r="CP152" s="24">
        <f t="shared" si="1257"/>
        <v>0</v>
      </c>
      <c r="CQ152" s="24">
        <f t="shared" si="1258"/>
        <v>0</v>
      </c>
      <c r="CR152" s="24">
        <f t="shared" si="1259"/>
        <v>0</v>
      </c>
      <c r="CS152" s="24">
        <f t="shared" si="1260"/>
        <v>0</v>
      </c>
      <c r="CT152" s="24">
        <f t="shared" si="1261"/>
        <v>0</v>
      </c>
      <c r="CU152" s="24">
        <f t="shared" si="1262"/>
        <v>0</v>
      </c>
      <c r="CV152" s="24">
        <f t="shared" si="1263"/>
        <v>0</v>
      </c>
      <c r="CW152" s="24">
        <f t="shared" si="1264"/>
        <v>0</v>
      </c>
      <c r="CX152" s="24">
        <f t="shared" si="1265"/>
        <v>0</v>
      </c>
      <c r="CY152" s="24">
        <f t="shared" si="1266"/>
        <v>0</v>
      </c>
      <c r="CZ152" s="24">
        <f t="shared" si="1267"/>
        <v>0</v>
      </c>
      <c r="DA152" s="24">
        <f t="shared" si="1268"/>
        <v>0</v>
      </c>
      <c r="DB152" s="24">
        <f t="shared" si="1269"/>
        <v>0</v>
      </c>
      <c r="DE152" s="123"/>
      <c r="DF152" s="23">
        <v>0</v>
      </c>
    </row>
    <row r="153" spans="1:110" s="23" customFormat="1" outlineLevel="1" x14ac:dyDescent="0.2">
      <c r="A153" s="23" t="s">
        <v>56</v>
      </c>
      <c r="B153" s="23">
        <f>'Annual Raw'!C67+'Annual Raw'!C66+'Annual Raw'!C69+'Annual Raw'!C70</f>
        <v>8.4748999999999999</v>
      </c>
      <c r="C153" s="23">
        <f>'Annual Raw'!D67+'Annual Raw'!D66+'Annual Raw'!D69+'Annual Raw'!D70</f>
        <v>2.0910000000000002</v>
      </c>
      <c r="D153" s="23">
        <f>'Annual Raw'!E67+'Annual Raw'!E66+'Annual Raw'!E69+'Annual Raw'!E70</f>
        <v>0.69230000000000003</v>
      </c>
      <c r="E153" s="23">
        <f>'Annual Raw'!F67+'Annual Raw'!F66+'Annual Raw'!F69+'Annual Raw'!F70</f>
        <v>4.5265000000000004</v>
      </c>
      <c r="F153" s="23">
        <f>'Annual Raw'!G67+'Annual Raw'!G66+'Annual Raw'!G69+'Annual Raw'!G70</f>
        <v>7.1734999999999998</v>
      </c>
      <c r="G153" s="23">
        <f>'Annual Raw'!H67+'Annual Raw'!H66+'Annual Raw'!H69+'Annual Raw'!H70</f>
        <v>11.3691</v>
      </c>
      <c r="H153" s="23">
        <f>'Annual Raw'!I67+'Annual Raw'!I66+'Annual Raw'!I69+'Annual Raw'!I70</f>
        <v>12.8454</v>
      </c>
      <c r="I153" s="23">
        <f>'Annual Raw'!J67+'Annual Raw'!J66+'Annual Raw'!J69+'Annual Raw'!J70</f>
        <v>19.7193</v>
      </c>
      <c r="J153" s="23">
        <f>'Annual Raw'!K67+'Annual Raw'!K66+'Annual Raw'!K69+'Annual Raw'!K70</f>
        <v>13.2387</v>
      </c>
      <c r="K153" s="23">
        <f>'Annual Raw'!L67+'Annual Raw'!L66+'Annual Raw'!L69+'Annual Raw'!L70</f>
        <v>19.3431</v>
      </c>
      <c r="L153" s="23">
        <f>'Annual Raw'!M67+'Annual Raw'!M66+'Annual Raw'!M69+'Annual Raw'!M70</f>
        <v>0.60860000000000003</v>
      </c>
      <c r="M153" s="23">
        <f>'Annual Raw'!N67+'Annual Raw'!N66+'Annual Raw'!N69+'Annual Raw'!N70</f>
        <v>4.0330000000000004</v>
      </c>
      <c r="N153" s="23">
        <f>'Annual Raw'!O67+'Annual Raw'!O66+'Annual Raw'!O69+'Annual Raw'!O70</f>
        <v>5.1999999999999998E-3</v>
      </c>
      <c r="O153" s="23">
        <f>'Annual Raw'!P67+'Annual Raw'!P66+'Annual Raw'!P69+'Annual Raw'!P70</f>
        <v>1.7735000000000001</v>
      </c>
      <c r="P153" s="23">
        <f>'Annual Raw'!Q67+'Annual Raw'!Q66+'Annual Raw'!Q69+'Annual Raw'!Q70</f>
        <v>4.4217000000000004</v>
      </c>
      <c r="Q153" s="23">
        <f>'Annual Raw'!R67+'Annual Raw'!R66+'Annual Raw'!R69+'Annual Raw'!R70</f>
        <v>30.264899999999997</v>
      </c>
      <c r="R153" s="23">
        <f>'Annual Raw'!S67+'Annual Raw'!S66+'Annual Raw'!S69+'Annual Raw'!S70</f>
        <v>46.209999999999994</v>
      </c>
      <c r="S153" s="23">
        <f>'Annual Raw'!T67+'Annual Raw'!T66+'Annual Raw'!T69+'Annual Raw'!T70</f>
        <v>48.79</v>
      </c>
      <c r="T153" s="23">
        <f>'Annual Raw'!U67+'Annual Raw'!U66+'Annual Raw'!U69+'Annual Raw'!U70</f>
        <v>61.930000000000007</v>
      </c>
      <c r="U153" s="23">
        <f>'Annual Raw'!V67+'Annual Raw'!V66+'Annual Raw'!V69+'Annual Raw'!V70</f>
        <v>71.62</v>
      </c>
      <c r="V153" s="23">
        <f>'Annual Raw'!W67+'Annual Raw'!W66+'Annual Raw'!W69+'Annual Raw'!W70</f>
        <v>64.36</v>
      </c>
      <c r="W153" s="23">
        <f>'Annual Raw'!X67+'Annual Raw'!X66+'Annual Raw'!X69+'Annual Raw'!X70</f>
        <v>112.61</v>
      </c>
      <c r="X153" s="23">
        <f>'Annual Raw'!Y67+'Annual Raw'!Y66+'Annual Raw'!Y69+'Annual Raw'!Y70</f>
        <v>147.66</v>
      </c>
      <c r="Y153" s="23">
        <f>'Annual Raw'!Z67+'Annual Raw'!Z66+'Annual Raw'!Z69+'Annual Raw'!Z70</f>
        <v>412.44</v>
      </c>
      <c r="Z153" s="23">
        <f>'Annual Raw'!AA67+'Annual Raw'!AA66+'Annual Raw'!AA69+'Annual Raw'!AA70</f>
        <v>126.28999999999999</v>
      </c>
      <c r="AA153" s="23">
        <f>'Annual Raw'!AB67+'Annual Raw'!AB66+'Annual Raw'!AB69+'Annual Raw'!AB70</f>
        <v>59.61</v>
      </c>
      <c r="AB153" s="24">
        <f t="shared" si="1233"/>
        <v>22.07</v>
      </c>
      <c r="AC153" s="24">
        <f t="shared" si="1234"/>
        <v>22.07</v>
      </c>
      <c r="AD153" s="24">
        <f t="shared" si="1235"/>
        <v>22.07</v>
      </c>
      <c r="AE153" s="24">
        <f t="shared" si="1236"/>
        <v>22.07</v>
      </c>
      <c r="AJ153" s="23">
        <f>+'QTR Raw'!D74+'QTR Raw'!D75</f>
        <v>0</v>
      </c>
      <c r="AK153" s="23">
        <f t="shared" si="1252"/>
        <v>0</v>
      </c>
      <c r="AL153" s="23">
        <f>+'QTR Raw'!F74+'QTR Raw'!F75</f>
        <v>0</v>
      </c>
      <c r="AM153" s="23">
        <f t="shared" si="1252"/>
        <v>0</v>
      </c>
      <c r="AN153" s="23">
        <f>+'QTR Raw'!H74+'QTR Raw'!H75</f>
        <v>0</v>
      </c>
      <c r="AO153" s="23">
        <f t="shared" si="1252"/>
        <v>0</v>
      </c>
      <c r="AP153" s="23">
        <f>+'QTR Raw'!J74+'QTR Raw'!J75</f>
        <v>0</v>
      </c>
      <c r="AQ153" s="23">
        <f t="shared" si="1252"/>
        <v>0</v>
      </c>
      <c r="AR153" s="23">
        <f>+'QTR Raw'!L74+'QTR Raw'!L75</f>
        <v>0</v>
      </c>
      <c r="AS153" s="23">
        <f t="shared" si="1252"/>
        <v>0</v>
      </c>
      <c r="AT153" s="23">
        <f>+'QTR Raw'!N74+'QTR Raw'!N75</f>
        <v>0</v>
      </c>
      <c r="AU153" s="23">
        <f t="shared" si="1252"/>
        <v>0</v>
      </c>
      <c r="AV153" s="23">
        <f>+'QTR Raw'!P74+'QTR Raw'!P75</f>
        <v>0</v>
      </c>
      <c r="AW153" s="23">
        <f t="shared" si="1252"/>
        <v>0</v>
      </c>
      <c r="AX153" s="23">
        <f>+'QTR Raw'!R74+'QTR Raw'!R75</f>
        <v>1.29</v>
      </c>
      <c r="AY153" s="23">
        <f t="shared" si="1252"/>
        <v>1.29</v>
      </c>
      <c r="AZ153" s="23">
        <f>+'QTR Raw'!T74+'QTR Raw'!T75</f>
        <v>2.3199999999999998</v>
      </c>
      <c r="BA153" s="23">
        <f t="shared" si="1252"/>
        <v>2.3199999999999998</v>
      </c>
      <c r="BB153" s="23">
        <f>+'QTR Raw'!V74+'QTR Raw'!V75</f>
        <v>0.55000000000000004</v>
      </c>
      <c r="BC153" s="23">
        <f t="shared" si="1252"/>
        <v>0.55000000000000004</v>
      </c>
      <c r="BD153" s="23">
        <f>+'QTR Raw'!X74+'QTR Raw'!X75</f>
        <v>1.79</v>
      </c>
      <c r="BE153" s="23">
        <f t="shared" si="1252"/>
        <v>1.79</v>
      </c>
      <c r="BF153" s="23">
        <f>+'QTR Raw'!Z74+'QTR Raw'!Z75</f>
        <v>4.08</v>
      </c>
      <c r="BG153" s="23">
        <f t="shared" si="1252"/>
        <v>4.08</v>
      </c>
      <c r="BH153" s="23">
        <f>+'QTR Raw'!AB74+'QTR Raw'!AB75</f>
        <v>20.67</v>
      </c>
      <c r="BI153" s="23">
        <f t="shared" si="1252"/>
        <v>20.67</v>
      </c>
      <c r="BJ153" s="23">
        <f>+'QTR Raw'!AD74+'QTR Raw'!AD75</f>
        <v>15.66</v>
      </c>
      <c r="BK153" s="23">
        <f t="shared" si="1252"/>
        <v>15.66</v>
      </c>
      <c r="BL153" s="23">
        <f>+'QTR Raw'!AF74+'QTR Raw'!AF75</f>
        <v>30.47</v>
      </c>
      <c r="BM153" s="23">
        <f t="shared" si="1252"/>
        <v>30.47</v>
      </c>
      <c r="BN153" s="23">
        <f>+'QTR Raw'!AH74+'QTR Raw'!AH75</f>
        <v>26.28</v>
      </c>
      <c r="BO153" s="23">
        <f t="shared" si="1252"/>
        <v>26.28</v>
      </c>
      <c r="BP153" s="23">
        <f>+'QTR Raw'!AJ74+'QTR Raw'!AJ75</f>
        <v>17</v>
      </c>
      <c r="BQ153" s="23">
        <f t="shared" si="1252"/>
        <v>17</v>
      </c>
      <c r="BR153" s="23">
        <f>+'QTR Raw'!AL74+'QTR Raw'!AL75</f>
        <v>8.81</v>
      </c>
      <c r="BS153" s="23">
        <f t="shared" si="1252"/>
        <v>8.81</v>
      </c>
      <c r="BT153" s="23">
        <f>+'QTR Raw'!AN74+'QTR Raw'!AN75</f>
        <v>14.83</v>
      </c>
      <c r="BU153" s="23">
        <f t="shared" si="1252"/>
        <v>14.83</v>
      </c>
      <c r="BV153" s="23">
        <f>+'QTR Raw'!AP74+'QTR Raw'!AP75</f>
        <v>59.29</v>
      </c>
      <c r="BW153" s="23">
        <f t="shared" si="1252"/>
        <v>59.29</v>
      </c>
      <c r="BX153" s="23">
        <f>+'QTR Raw'!AR74+'QTR Raw'!AR75</f>
        <v>142.09</v>
      </c>
      <c r="BY153" s="23">
        <f t="shared" si="1252"/>
        <v>142.09</v>
      </c>
      <c r="BZ153" s="23">
        <f>+'QTR Raw'!AT74+'QTR Raw'!AT75</f>
        <v>98.25</v>
      </c>
      <c r="CA153" s="23">
        <f t="shared" si="1252"/>
        <v>98.25</v>
      </c>
      <c r="CB153" s="23">
        <f>+'QTR Raw'!AV74+'QTR Raw'!AV75</f>
        <v>150.38</v>
      </c>
      <c r="CC153" s="23">
        <f t="shared" si="1252"/>
        <v>150.38</v>
      </c>
      <c r="CD153" s="23">
        <f>+'QTR Raw'!AX74+'QTR Raw'!AX75</f>
        <v>367.51</v>
      </c>
      <c r="CE153" s="23">
        <f t="shared" si="1252"/>
        <v>367.51</v>
      </c>
      <c r="CF153" s="23">
        <f>+'QTR Raw'!AZ74+'QTR Raw'!AZ75</f>
        <v>193.15</v>
      </c>
      <c r="CG153" s="23">
        <f t="shared" si="1250"/>
        <v>193.15</v>
      </c>
      <c r="CH153" s="23">
        <f t="shared" si="1237"/>
        <v>126.28999999999999</v>
      </c>
      <c r="CI153" s="23">
        <f t="shared" si="1250"/>
        <v>126.28999999999999</v>
      </c>
      <c r="CJ153" s="23">
        <f>+'QTR Raw'!BD74+'QTR Raw'!BD75</f>
        <v>75.17</v>
      </c>
      <c r="CK153" s="24">
        <f t="shared" si="1253"/>
        <v>75.17</v>
      </c>
      <c r="CL153" s="23">
        <f>+'QTR Raw'!BF74+'QTR Raw'!BF75</f>
        <v>22.07</v>
      </c>
      <c r="CM153" s="24">
        <f t="shared" si="1254"/>
        <v>22.07</v>
      </c>
      <c r="CN153" s="24">
        <f t="shared" si="1255"/>
        <v>22.07</v>
      </c>
      <c r="CO153" s="24">
        <f t="shared" si="1256"/>
        <v>22.07</v>
      </c>
      <c r="CP153" s="24">
        <f t="shared" si="1257"/>
        <v>22.07</v>
      </c>
      <c r="CQ153" s="24">
        <f t="shared" si="1258"/>
        <v>22.07</v>
      </c>
      <c r="CR153" s="24">
        <f t="shared" si="1259"/>
        <v>22.07</v>
      </c>
      <c r="CS153" s="24">
        <f t="shared" si="1260"/>
        <v>22.07</v>
      </c>
      <c r="CT153" s="24">
        <f t="shared" si="1261"/>
        <v>22.07</v>
      </c>
      <c r="CU153" s="24">
        <f t="shared" si="1262"/>
        <v>22.07</v>
      </c>
      <c r="CV153" s="24">
        <f t="shared" si="1263"/>
        <v>22.07</v>
      </c>
      <c r="CW153" s="24">
        <f t="shared" si="1264"/>
        <v>22.07</v>
      </c>
      <c r="CX153" s="24">
        <f t="shared" si="1265"/>
        <v>22.07</v>
      </c>
      <c r="CY153" s="24">
        <f t="shared" si="1266"/>
        <v>22.07</v>
      </c>
      <c r="CZ153" s="24">
        <f t="shared" si="1267"/>
        <v>22.07</v>
      </c>
      <c r="DA153" s="24">
        <f t="shared" si="1268"/>
        <v>22.07</v>
      </c>
      <c r="DB153" s="24">
        <f t="shared" si="1269"/>
        <v>22.07</v>
      </c>
      <c r="DE153" s="123"/>
      <c r="DF153" s="23">
        <v>75.17</v>
      </c>
    </row>
    <row r="154" spans="1:110" s="22" customFormat="1" x14ac:dyDescent="0.2">
      <c r="A154" s="22" t="s">
        <v>57</v>
      </c>
      <c r="B154" s="22">
        <f>B150+B153+B152</f>
        <v>142.31399999999999</v>
      </c>
      <c r="C154" s="22">
        <f t="shared" ref="C154:D154" si="1270">C150+C153+C152</f>
        <v>134.34520000000001</v>
      </c>
      <c r="D154" s="22">
        <f t="shared" si="1270"/>
        <v>146.82989999999998</v>
      </c>
      <c r="E154" s="22">
        <f t="shared" ref="E154:Y154" si="1271">E150+E153+E152+E151</f>
        <v>149.17939999999999</v>
      </c>
      <c r="F154" s="22">
        <f t="shared" si="1271"/>
        <v>111.25830000000005</v>
      </c>
      <c r="G154" s="22">
        <f t="shared" si="1271"/>
        <v>163.48779999999999</v>
      </c>
      <c r="H154" s="22">
        <f t="shared" si="1271"/>
        <v>160.0959</v>
      </c>
      <c r="I154" s="22">
        <f t="shared" si="1271"/>
        <v>189.84440000000001</v>
      </c>
      <c r="J154" s="22">
        <f t="shared" si="1271"/>
        <v>295.54259999999994</v>
      </c>
      <c r="K154" s="22">
        <f t="shared" si="1271"/>
        <v>302.59019999999998</v>
      </c>
      <c r="L154" s="22">
        <f t="shared" si="1271"/>
        <v>311.4323</v>
      </c>
      <c r="M154" s="22">
        <f t="shared" si="1271"/>
        <v>293.95789999999994</v>
      </c>
      <c r="N154" s="22">
        <f t="shared" si="1271"/>
        <v>299.84219999999999</v>
      </c>
      <c r="O154" s="22">
        <f t="shared" si="1271"/>
        <v>290.18489999999997</v>
      </c>
      <c r="P154" s="22">
        <f t="shared" si="1271"/>
        <v>273.25450000000001</v>
      </c>
      <c r="Q154" s="22">
        <f t="shared" si="1271"/>
        <v>306.33160000000004</v>
      </c>
      <c r="R154" s="22">
        <f t="shared" si="1271"/>
        <v>300.43999999999994</v>
      </c>
      <c r="S154" s="22">
        <f t="shared" si="1271"/>
        <v>301.23</v>
      </c>
      <c r="T154" s="22">
        <f t="shared" si="1271"/>
        <v>358.69999999999993</v>
      </c>
      <c r="U154" s="22">
        <f t="shared" si="1271"/>
        <v>406.66999999999996</v>
      </c>
      <c r="V154" s="22">
        <f t="shared" si="1271"/>
        <v>396.79000000000013</v>
      </c>
      <c r="W154" s="22">
        <f t="shared" si="1271"/>
        <v>442.96999999999991</v>
      </c>
      <c r="X154" s="22">
        <f t="shared" si="1271"/>
        <v>622.92000000000007</v>
      </c>
      <c r="Y154" s="22">
        <f t="shared" si="1271"/>
        <v>915.26</v>
      </c>
      <c r="Z154" s="22">
        <f>Z150+Z153+Z152+Z151</f>
        <v>1055.83</v>
      </c>
      <c r="AA154" s="22">
        <f>AA150+AA153+AA152+AA151</f>
        <v>1102.46</v>
      </c>
      <c r="AB154" s="161">
        <f t="shared" ref="AB154:AE154" si="1272">AB150+AB153+AB152+AB151</f>
        <v>942.4026424284807</v>
      </c>
      <c r="AC154" s="161">
        <f t="shared" si="1272"/>
        <v>860.28063589262774</v>
      </c>
      <c r="AD154" s="161">
        <f t="shared" si="1272"/>
        <v>786.11127545377281</v>
      </c>
      <c r="AE154" s="161">
        <f t="shared" si="1272"/>
        <v>719.12443161055603</v>
      </c>
      <c r="AJ154" s="22">
        <f t="shared" ref="AJ154" si="1273">AJ150+AJ153+AJ151+AJ152</f>
        <v>300.5</v>
      </c>
      <c r="AK154" s="22">
        <f t="shared" ref="AK154" si="1274">AK150+AK153+AK151+AK152</f>
        <v>300.5</v>
      </c>
      <c r="AL154" s="22">
        <f t="shared" ref="AL154:AM154" si="1275">AL150+AL153+AL151+AL152</f>
        <v>299.84000000000003</v>
      </c>
      <c r="AM154" s="22">
        <f t="shared" si="1275"/>
        <v>299.84000000000003</v>
      </c>
      <c r="AN154" s="22">
        <f t="shared" ref="AN154:AO154" si="1276">AN150+AN153+AN151+AN152</f>
        <v>295.26</v>
      </c>
      <c r="AO154" s="22">
        <f t="shared" si="1276"/>
        <v>295.26</v>
      </c>
      <c r="AP154" s="22">
        <f t="shared" ref="AP154:CE154" si="1277">AP150+AP153+AP151+AP152</f>
        <v>290.19</v>
      </c>
      <c r="AQ154" s="22">
        <f t="shared" si="1277"/>
        <v>290.19</v>
      </c>
      <c r="AR154" s="22">
        <f t="shared" si="1277"/>
        <v>283.08</v>
      </c>
      <c r="AS154" s="22">
        <f t="shared" si="1277"/>
        <v>283.08</v>
      </c>
      <c r="AT154" s="22">
        <f t="shared" si="1277"/>
        <v>273.25</v>
      </c>
      <c r="AU154" s="22">
        <f t="shared" si="1277"/>
        <v>273.25</v>
      </c>
      <c r="AV154" s="22">
        <f t="shared" si="1277"/>
        <v>288.20000000000005</v>
      </c>
      <c r="AW154" s="22">
        <f t="shared" si="1277"/>
        <v>288.20000000000005</v>
      </c>
      <c r="AX154" s="22">
        <f t="shared" si="1277"/>
        <v>277.36</v>
      </c>
      <c r="AY154" s="22">
        <f t="shared" si="1277"/>
        <v>277.36</v>
      </c>
      <c r="AZ154" s="22">
        <f t="shared" si="1277"/>
        <v>275.76</v>
      </c>
      <c r="BA154" s="22">
        <f t="shared" si="1277"/>
        <v>275.76</v>
      </c>
      <c r="BB154" s="22">
        <f t="shared" si="1277"/>
        <v>254.78</v>
      </c>
      <c r="BC154" s="22">
        <f t="shared" si="1277"/>
        <v>254.78</v>
      </c>
      <c r="BD154" s="22">
        <f t="shared" si="1277"/>
        <v>254.28</v>
      </c>
      <c r="BE154" s="22">
        <f t="shared" si="1277"/>
        <v>254.28</v>
      </c>
      <c r="BF154" s="22">
        <f t="shared" si="1277"/>
        <v>256.52</v>
      </c>
      <c r="BG154" s="22">
        <f t="shared" si="1277"/>
        <v>256.52</v>
      </c>
      <c r="BH154" s="22">
        <f t="shared" si="1277"/>
        <v>270.47000000000003</v>
      </c>
      <c r="BI154" s="22">
        <f t="shared" si="1277"/>
        <v>270.47000000000003</v>
      </c>
      <c r="BJ154" s="22">
        <f t="shared" si="1277"/>
        <v>312.43</v>
      </c>
      <c r="BK154" s="22">
        <f t="shared" si="1277"/>
        <v>312.43</v>
      </c>
      <c r="BL154" s="22">
        <f t="shared" si="1277"/>
        <v>329.22999999999996</v>
      </c>
      <c r="BM154" s="22">
        <f t="shared" si="1277"/>
        <v>329.22999999999996</v>
      </c>
      <c r="BN154" s="22">
        <f t="shared" si="1277"/>
        <v>348.3</v>
      </c>
      <c r="BO154" s="22">
        <f t="shared" si="1277"/>
        <v>348.3</v>
      </c>
      <c r="BP154" s="22">
        <f t="shared" si="1277"/>
        <v>332.56</v>
      </c>
      <c r="BQ154" s="22">
        <f t="shared" si="1277"/>
        <v>332.56</v>
      </c>
      <c r="BR154" s="22">
        <f t="shared" si="1277"/>
        <v>327.95000000000005</v>
      </c>
      <c r="BS154" s="22">
        <f t="shared" si="1277"/>
        <v>327.95000000000005</v>
      </c>
      <c r="BT154" s="22">
        <f t="shared" si="1277"/>
        <v>327.39</v>
      </c>
      <c r="BU154" s="22">
        <f t="shared" si="1277"/>
        <v>327.39</v>
      </c>
      <c r="BV154" s="22">
        <f t="shared" si="1277"/>
        <v>369.22</v>
      </c>
      <c r="BW154" s="22">
        <f t="shared" si="1277"/>
        <v>369.22</v>
      </c>
      <c r="BX154" s="22">
        <f t="shared" si="1277"/>
        <v>469.77000000000004</v>
      </c>
      <c r="BY154" s="22">
        <f t="shared" si="1277"/>
        <v>469.77000000000004</v>
      </c>
      <c r="BZ154" s="22">
        <f t="shared" si="1277"/>
        <v>537.81999999999994</v>
      </c>
      <c r="CA154" s="22">
        <f t="shared" si="1277"/>
        <v>537.81999999999994</v>
      </c>
      <c r="CB154" s="22">
        <f t="shared" si="1277"/>
        <v>592.71</v>
      </c>
      <c r="CC154" s="22">
        <f t="shared" si="1277"/>
        <v>592.71</v>
      </c>
      <c r="CD154" s="22">
        <f t="shared" si="1277"/>
        <v>835.57999999999993</v>
      </c>
      <c r="CE154" s="22">
        <f t="shared" si="1277"/>
        <v>835.57999999999993</v>
      </c>
      <c r="CF154" s="22">
        <f t="shared" ref="CF154:CG154" si="1278">CF150+CF153+CF151+CF152</f>
        <v>927.8599999999999</v>
      </c>
      <c r="CG154" s="22">
        <f t="shared" si="1278"/>
        <v>927.8599999999999</v>
      </c>
      <c r="CH154" s="22">
        <f t="shared" ref="CH154:CJ154" si="1279">CH150+CH153+CH151+CH152</f>
        <v>1055.83</v>
      </c>
      <c r="CI154" s="22">
        <f t="shared" si="1279"/>
        <v>1037.3599999999999</v>
      </c>
      <c r="CJ154" s="22">
        <f t="shared" si="1279"/>
        <v>987.04</v>
      </c>
      <c r="CK154" s="21">
        <f t="shared" ref="CK154:DB154" si="1280">CK150+CK153+CK151+CK152</f>
        <v>966.42000000000007</v>
      </c>
      <c r="CL154" s="22">
        <f t="shared" si="1280"/>
        <v>1033.3300000000002</v>
      </c>
      <c r="CM154" s="21">
        <f t="shared" si="1280"/>
        <v>1009.7226777297483</v>
      </c>
      <c r="CN154" s="21">
        <f t="shared" si="1280"/>
        <v>986.70889682460802</v>
      </c>
      <c r="CO154" s="21">
        <f t="shared" si="1280"/>
        <v>964.27373431499973</v>
      </c>
      <c r="CP154" s="21">
        <f t="shared" si="1280"/>
        <v>942.4026424284807</v>
      </c>
      <c r="CQ154" s="21">
        <f t="shared" si="1280"/>
        <v>921.08143915644314</v>
      </c>
      <c r="CR154" s="21">
        <f t="shared" si="1280"/>
        <v>900.29629905798515</v>
      </c>
      <c r="CS154" s="21">
        <f t="shared" si="1280"/>
        <v>880.03374429499422</v>
      </c>
      <c r="CT154" s="21">
        <f t="shared" si="1280"/>
        <v>860.28063589262774</v>
      </c>
      <c r="CU154" s="21">
        <f t="shared" si="1280"/>
        <v>841.02416521952705</v>
      </c>
      <c r="CV154" s="21">
        <f t="shared" si="1280"/>
        <v>822.25184568223472</v>
      </c>
      <c r="CW154" s="21">
        <f t="shared" si="1280"/>
        <v>803.95150462843685</v>
      </c>
      <c r="CX154" s="21">
        <f t="shared" si="1280"/>
        <v>786.11127545377281</v>
      </c>
      <c r="CY154" s="21">
        <f t="shared" si="1280"/>
        <v>768.71958990709868</v>
      </c>
      <c r="CZ154" s="21">
        <f t="shared" si="1280"/>
        <v>751.76517058921559</v>
      </c>
      <c r="DA154" s="21">
        <f t="shared" si="1280"/>
        <v>735.23702364019391</v>
      </c>
      <c r="DB154" s="21">
        <f t="shared" si="1280"/>
        <v>719.12443161055603</v>
      </c>
      <c r="DE154" s="126"/>
      <c r="DF154" s="22">
        <v>946.30643718138072</v>
      </c>
    </row>
    <row r="155" spans="1:110" s="23" customFormat="1" x14ac:dyDescent="0.2">
      <c r="AB155" s="24"/>
      <c r="AC155" s="24"/>
      <c r="AD155" s="24"/>
      <c r="AE155" s="24"/>
      <c r="CK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x14ac:dyDescent="0.2">
      <c r="A156" s="23" t="s">
        <v>58</v>
      </c>
      <c r="B156" s="23">
        <f>'Annual Raw'!C71</f>
        <v>31.269400000000001</v>
      </c>
      <c r="C156" s="23">
        <f>'Annual Raw'!D71</f>
        <v>31.2196</v>
      </c>
      <c r="D156" s="23">
        <f>'Annual Raw'!E71</f>
        <v>22.732900000000001</v>
      </c>
      <c r="E156" s="23">
        <f>'Annual Raw'!F71</f>
        <v>32.448700000000002</v>
      </c>
      <c r="F156" s="23">
        <f>'Annual Raw'!G71</f>
        <v>29.685099999999998</v>
      </c>
      <c r="G156" s="23">
        <f>'Annual Raw'!H71</f>
        <v>28.568899999999999</v>
      </c>
      <c r="H156" s="23">
        <f>'Annual Raw'!I71</f>
        <v>29.323599999999999</v>
      </c>
      <c r="I156" s="23">
        <f>'Annual Raw'!J71</f>
        <v>31.2393</v>
      </c>
      <c r="J156" s="23">
        <f>'Annual Raw'!K71</f>
        <v>31.835599999999999</v>
      </c>
      <c r="K156" s="23">
        <f>'Annual Raw'!L71</f>
        <v>24.926600000000001</v>
      </c>
      <c r="L156" s="23">
        <f>'Annual Raw'!M71</f>
        <v>43.866100000000003</v>
      </c>
      <c r="M156" s="23">
        <f>'Annual Raw'!N71</f>
        <v>88.268000000000001</v>
      </c>
      <c r="N156" s="23">
        <f>'Annual Raw'!O71</f>
        <v>139.31299999999999</v>
      </c>
      <c r="O156" s="23">
        <f>'Annual Raw'!P71</f>
        <v>139.3246</v>
      </c>
      <c r="P156" s="23">
        <f>'Annual Raw'!Q71</f>
        <v>626.90449999999998</v>
      </c>
      <c r="Q156" s="23">
        <f>'Annual Raw'!R71</f>
        <v>1278.152</v>
      </c>
      <c r="R156" s="23">
        <f>'Annual Raw'!S71</f>
        <v>2068.33</v>
      </c>
      <c r="S156" s="23">
        <f>'Annual Raw'!T71</f>
        <v>2265.9499999999998</v>
      </c>
      <c r="T156" s="23">
        <f>'Annual Raw'!U71</f>
        <v>1150.17</v>
      </c>
      <c r="U156" s="23">
        <f>'Annual Raw'!V71</f>
        <v>1822.9</v>
      </c>
      <c r="V156" s="23">
        <f>'Annual Raw'!W71</f>
        <v>2797.11</v>
      </c>
      <c r="W156" s="23">
        <f>'Annual Raw'!X71</f>
        <v>3181.12</v>
      </c>
      <c r="X156" s="23">
        <f>'Annual Raw'!Y71</f>
        <v>2801.48</v>
      </c>
      <c r="Y156" s="23">
        <f>'Annual Raw'!Z71</f>
        <v>3006.79</v>
      </c>
      <c r="Z156" s="23">
        <f>'Annual Raw'!AA71</f>
        <v>2844.55</v>
      </c>
      <c r="AA156" s="23">
        <f>'Annual Raw'!AB71</f>
        <v>2484.62</v>
      </c>
      <c r="AB156" s="24">
        <f>+CP156</f>
        <v>2522.16</v>
      </c>
      <c r="AC156" s="24">
        <f>+CT156</f>
        <v>2522.16</v>
      </c>
      <c r="AD156" s="24">
        <f>+CX156</f>
        <v>2522.16</v>
      </c>
      <c r="AE156" s="24">
        <f>+DB156</f>
        <v>2522.16</v>
      </c>
      <c r="AJ156" s="23">
        <f>+'QTR Raw'!D77</f>
        <v>72.34</v>
      </c>
      <c r="AK156" s="23">
        <f t="shared" ref="AK156:CE156" si="1281">+AJ156</f>
        <v>72.34</v>
      </c>
      <c r="AL156" s="23">
        <f>+'QTR Raw'!F77</f>
        <v>139.31</v>
      </c>
      <c r="AM156" s="23">
        <f t="shared" si="1281"/>
        <v>139.31</v>
      </c>
      <c r="AN156" s="23">
        <f>+'QTR Raw'!H77</f>
        <v>89.01</v>
      </c>
      <c r="AO156" s="23">
        <f t="shared" si="1281"/>
        <v>89.01</v>
      </c>
      <c r="AP156" s="23">
        <f>+'QTR Raw'!J77</f>
        <v>139.32</v>
      </c>
      <c r="AQ156" s="23">
        <f t="shared" si="1281"/>
        <v>139.32</v>
      </c>
      <c r="AR156" s="23">
        <f>+'QTR Raw'!L77</f>
        <v>89.97</v>
      </c>
      <c r="AS156" s="23">
        <f t="shared" si="1281"/>
        <v>89.97</v>
      </c>
      <c r="AT156" s="23">
        <f>+'QTR Raw'!N77</f>
        <v>626.9</v>
      </c>
      <c r="AU156" s="23">
        <f t="shared" si="1281"/>
        <v>626.9</v>
      </c>
      <c r="AV156" s="23">
        <f>+'QTR Raw'!P77</f>
        <v>628.30999999999995</v>
      </c>
      <c r="AW156" s="23">
        <f t="shared" si="1281"/>
        <v>628.30999999999995</v>
      </c>
      <c r="AX156" s="23">
        <f>+'QTR Raw'!R77</f>
        <v>1307.1199999999999</v>
      </c>
      <c r="AY156" s="23">
        <f t="shared" si="1281"/>
        <v>1307.1199999999999</v>
      </c>
      <c r="AZ156" s="23">
        <f>+'QTR Raw'!T77</f>
        <v>1764.61</v>
      </c>
      <c r="BA156" s="23">
        <f t="shared" si="1281"/>
        <v>1764.61</v>
      </c>
      <c r="BB156" s="23">
        <f>+'QTR Raw'!V77</f>
        <v>2113.9899999999998</v>
      </c>
      <c r="BC156" s="23">
        <f t="shared" si="1281"/>
        <v>2113.9899999999998</v>
      </c>
      <c r="BD156" s="23">
        <f>+'QTR Raw'!X77</f>
        <v>2467.34</v>
      </c>
      <c r="BE156" s="23">
        <f t="shared" si="1281"/>
        <v>2467.34</v>
      </c>
      <c r="BF156" s="23">
        <f>+'QTR Raw'!Z77</f>
        <v>2310.66</v>
      </c>
      <c r="BG156" s="23">
        <f t="shared" si="1281"/>
        <v>2310.66</v>
      </c>
      <c r="BH156" s="23">
        <f>+'QTR Raw'!AB77</f>
        <v>2386.0100000000002</v>
      </c>
      <c r="BI156" s="23">
        <f t="shared" si="1281"/>
        <v>2386.0100000000002</v>
      </c>
      <c r="BJ156" s="23">
        <f>+'QTR Raw'!AD77</f>
        <v>1196.44</v>
      </c>
      <c r="BK156" s="23">
        <f t="shared" si="1281"/>
        <v>1196.44</v>
      </c>
      <c r="BL156" s="23">
        <f>+'QTR Raw'!AF77</f>
        <v>1021.64</v>
      </c>
      <c r="BM156" s="23">
        <f t="shared" si="1281"/>
        <v>1021.64</v>
      </c>
      <c r="BN156" s="23">
        <f>+'QTR Raw'!AH77</f>
        <v>1868.24</v>
      </c>
      <c r="BO156" s="23">
        <f t="shared" si="1281"/>
        <v>1868.24</v>
      </c>
      <c r="BP156" s="23">
        <f>+'QTR Raw'!AJ77</f>
        <v>2035.59</v>
      </c>
      <c r="BQ156" s="23">
        <f t="shared" si="1281"/>
        <v>2035.59</v>
      </c>
      <c r="BR156" s="23">
        <f>+'QTR Raw'!AL77</f>
        <v>2852.66</v>
      </c>
      <c r="BS156" s="23">
        <f t="shared" si="1281"/>
        <v>2852.66</v>
      </c>
      <c r="BT156" s="23">
        <f>+'QTR Raw'!AN77</f>
        <v>2859.91</v>
      </c>
      <c r="BU156" s="23">
        <f t="shared" si="1281"/>
        <v>2859.91</v>
      </c>
      <c r="BV156" s="23">
        <f>+'QTR Raw'!AP77</f>
        <v>3234.44</v>
      </c>
      <c r="BW156" s="23">
        <f t="shared" si="1281"/>
        <v>3234.44</v>
      </c>
      <c r="BX156" s="23">
        <f>+'QTR Raw'!AR77</f>
        <v>2468</v>
      </c>
      <c r="BY156" s="23">
        <f t="shared" si="1281"/>
        <v>2468</v>
      </c>
      <c r="BZ156" s="23">
        <f>+'QTR Raw'!AT77</f>
        <v>2850.89</v>
      </c>
      <c r="CA156" s="23">
        <f t="shared" si="1281"/>
        <v>2850.89</v>
      </c>
      <c r="CB156" s="23">
        <f>+'QTR Raw'!AV77</f>
        <v>3019.15</v>
      </c>
      <c r="CC156" s="23">
        <f t="shared" si="1281"/>
        <v>3019.15</v>
      </c>
      <c r="CD156" s="23">
        <f>+'QTR Raw'!AX77</f>
        <v>3051.72</v>
      </c>
      <c r="CE156" s="23">
        <f t="shared" si="1281"/>
        <v>3051.72</v>
      </c>
      <c r="CF156" s="23">
        <f>+'QTR Raw'!AZ77</f>
        <v>3404.39</v>
      </c>
      <c r="CG156" s="23">
        <f t="shared" ref="CG156:CI159" si="1282">+CF156</f>
        <v>3404.39</v>
      </c>
      <c r="CH156" s="23">
        <f t="shared" ref="CH156:CH171" si="1283">Z156</f>
        <v>2844.55</v>
      </c>
      <c r="CI156" s="23">
        <f t="shared" si="1282"/>
        <v>2844.55</v>
      </c>
      <c r="CJ156" s="23">
        <f>+'QTR Raw'!BD77</f>
        <v>2659.97</v>
      </c>
      <c r="CK156" s="24">
        <f t="shared" ref="CK156" si="1284">+CJ156</f>
        <v>2659.97</v>
      </c>
      <c r="CL156" s="23">
        <f>+'QTR Raw'!BF77</f>
        <v>2522.16</v>
      </c>
      <c r="CM156" s="24">
        <f t="shared" ref="CM156" si="1285">+CL156</f>
        <v>2522.16</v>
      </c>
      <c r="CN156" s="24">
        <f t="shared" ref="CN156" si="1286">+CM156</f>
        <v>2522.16</v>
      </c>
      <c r="CO156" s="24">
        <f t="shared" ref="CO156" si="1287">+CN156</f>
        <v>2522.16</v>
      </c>
      <c r="CP156" s="24">
        <f t="shared" ref="CP156" si="1288">+CO156</f>
        <v>2522.16</v>
      </c>
      <c r="CQ156" s="24">
        <f t="shared" ref="CQ156" si="1289">+CP156</f>
        <v>2522.16</v>
      </c>
      <c r="CR156" s="24">
        <f t="shared" ref="CR156" si="1290">+CQ156</f>
        <v>2522.16</v>
      </c>
      <c r="CS156" s="24">
        <f t="shared" ref="CS156" si="1291">+CR156</f>
        <v>2522.16</v>
      </c>
      <c r="CT156" s="24">
        <f t="shared" ref="CT156" si="1292">+CS156</f>
        <v>2522.16</v>
      </c>
      <c r="CU156" s="24">
        <f t="shared" ref="CU156" si="1293">+CT156</f>
        <v>2522.16</v>
      </c>
      <c r="CV156" s="24">
        <f t="shared" ref="CV156" si="1294">+CU156</f>
        <v>2522.16</v>
      </c>
      <c r="CW156" s="24">
        <f t="shared" ref="CW156" si="1295">+CV156</f>
        <v>2522.16</v>
      </c>
      <c r="CX156" s="24">
        <f t="shared" ref="CX156" si="1296">+CW156</f>
        <v>2522.16</v>
      </c>
      <c r="CY156" s="24">
        <f t="shared" ref="CY156" si="1297">+CX156</f>
        <v>2522.16</v>
      </c>
      <c r="CZ156" s="24">
        <f t="shared" ref="CZ156" si="1298">+CY156</f>
        <v>2522.16</v>
      </c>
      <c r="DA156" s="24">
        <f t="shared" ref="DA156" si="1299">+CZ156</f>
        <v>2522.16</v>
      </c>
      <c r="DB156" s="24">
        <f t="shared" ref="DB156" si="1300">+DA156</f>
        <v>2522.16</v>
      </c>
      <c r="DE156" s="123"/>
      <c r="DF156" s="23">
        <v>2659.97</v>
      </c>
    </row>
    <row r="157" spans="1:110" s="23" customFormat="1" x14ac:dyDescent="0.2">
      <c r="AB157" s="24"/>
      <c r="AC157" s="24"/>
      <c r="AD157" s="24"/>
      <c r="AE157" s="24"/>
      <c r="CK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outlineLevel="1" x14ac:dyDescent="0.2">
      <c r="A158" s="23" t="s">
        <v>59</v>
      </c>
      <c r="B158" s="23">
        <f>'Annual Raw'!C72</f>
        <v>0</v>
      </c>
      <c r="C158" s="23">
        <f>'Annual Raw'!D72</f>
        <v>0</v>
      </c>
      <c r="D158" s="23">
        <f>'Annual Raw'!E72</f>
        <v>0</v>
      </c>
      <c r="E158" s="23">
        <f>'Annual Raw'!F72+'Annual Raw'!F61</f>
        <v>0</v>
      </c>
      <c r="F158" s="23">
        <f>'Annual Raw'!G72+'Annual Raw'!G61</f>
        <v>0</v>
      </c>
      <c r="G158" s="23">
        <f>'Annual Raw'!H72+'Annual Raw'!H61</f>
        <v>0</v>
      </c>
      <c r="H158" s="23">
        <f>'Annual Raw'!I72+'Annual Raw'!I61</f>
        <v>0</v>
      </c>
      <c r="I158" s="23">
        <f>'Annual Raw'!J72+'Annual Raw'!J61</f>
        <v>0</v>
      </c>
      <c r="J158" s="23">
        <f>'Annual Raw'!K72+'Annual Raw'!K61</f>
        <v>0</v>
      </c>
      <c r="K158" s="23">
        <f>'Annual Raw'!L72+'Annual Raw'!L61</f>
        <v>0</v>
      </c>
      <c r="L158" s="23">
        <f>'Annual Raw'!M72+'Annual Raw'!M61</f>
        <v>173.4237</v>
      </c>
      <c r="M158" s="23">
        <f>'Annual Raw'!N72+'Annual Raw'!N61</f>
        <v>227.77699999999999</v>
      </c>
      <c r="N158" s="23">
        <f>'Annual Raw'!O72+'Annual Raw'!O61</f>
        <v>222.5583</v>
      </c>
      <c r="O158" s="23">
        <f>'Annual Raw'!P72+'Annual Raw'!P61</f>
        <v>261.93</v>
      </c>
      <c r="P158" s="23">
        <f>'Annual Raw'!Q72+'Annual Raw'!Q61</f>
        <v>173.65039999999999</v>
      </c>
      <c r="Q158" s="23">
        <f>'Annual Raw'!R72+'Annual Raw'!R61</f>
        <v>122.492</v>
      </c>
      <c r="R158" s="23">
        <f>'Annual Raw'!S72+'Annual Raw'!S61</f>
        <v>75.06</v>
      </c>
      <c r="S158" s="23">
        <f>'Annual Raw'!T72+'Annual Raw'!T61</f>
        <v>99.31</v>
      </c>
      <c r="T158" s="23">
        <f>'Annual Raw'!U72+'Annual Raw'!U61</f>
        <v>193.72</v>
      </c>
      <c r="U158" s="23">
        <f>'Annual Raw'!V72+'Annual Raw'!V61</f>
        <v>202.08</v>
      </c>
      <c r="V158" s="23">
        <f>'Annual Raw'!W72+'Annual Raw'!W61</f>
        <v>133</v>
      </c>
      <c r="W158" s="23">
        <f>'Annual Raw'!X72+'Annual Raw'!X61</f>
        <v>120.95</v>
      </c>
      <c r="X158" s="23">
        <f>'Annual Raw'!Y72+'Annual Raw'!Y61</f>
        <v>113.69</v>
      </c>
      <c r="Y158" s="23">
        <f>'Annual Raw'!Z72+'Annual Raw'!Z61</f>
        <v>129.4</v>
      </c>
      <c r="Z158" s="23">
        <f>'Annual Raw'!AA72+'Annual Raw'!AA61</f>
        <v>235.01</v>
      </c>
      <c r="AA158" s="23">
        <f>'Annual Raw'!AB72+'Annual Raw'!AB61</f>
        <v>187.21</v>
      </c>
      <c r="AB158" s="24">
        <f t="shared" ref="AB158:AB163" si="1301">+CP158</f>
        <v>0</v>
      </c>
      <c r="AC158" s="24">
        <f t="shared" ref="AC158:AC163" si="1302">+CT158</f>
        <v>0</v>
      </c>
      <c r="AD158" s="24">
        <f t="shared" ref="AD158:AD163" si="1303">+CX158</f>
        <v>0</v>
      </c>
      <c r="AE158" s="24">
        <f t="shared" ref="AE158:AE163" si="1304">+DB158</f>
        <v>0</v>
      </c>
      <c r="AJ158" s="23">
        <f>+'QTR Raw'!D78</f>
        <v>152.25</v>
      </c>
      <c r="AK158" s="23">
        <f t="shared" ref="AK158:CE163" si="1305">+AJ158</f>
        <v>152.25</v>
      </c>
      <c r="AL158" s="23">
        <f>+'QTR Raw'!F78</f>
        <v>129.74</v>
      </c>
      <c r="AM158" s="23">
        <f t="shared" si="1305"/>
        <v>129.74</v>
      </c>
      <c r="AN158" s="23">
        <f>+'QTR Raw'!H78</f>
        <v>134.13999999999999</v>
      </c>
      <c r="AO158" s="23">
        <f t="shared" si="1305"/>
        <v>134.13999999999999</v>
      </c>
      <c r="AP158" s="23">
        <f>+'QTR Raw'!J78</f>
        <v>123.26</v>
      </c>
      <c r="AQ158" s="23">
        <f t="shared" si="1305"/>
        <v>123.26</v>
      </c>
      <c r="AR158" s="23">
        <f>+'QTR Raw'!L78</f>
        <v>77.959999999999994</v>
      </c>
      <c r="AS158" s="23">
        <f t="shared" si="1305"/>
        <v>77.959999999999994</v>
      </c>
      <c r="AT158" s="23">
        <f>+'QTR Raw'!N78</f>
        <v>109.29</v>
      </c>
      <c r="AU158" s="23">
        <f t="shared" si="1305"/>
        <v>109.29</v>
      </c>
      <c r="AV158" s="23">
        <f>+'QTR Raw'!P78</f>
        <v>116.97</v>
      </c>
      <c r="AW158" s="23">
        <f t="shared" si="1305"/>
        <v>116.97</v>
      </c>
      <c r="AX158" s="23">
        <f>+'QTR Raw'!R78</f>
        <v>1.06</v>
      </c>
      <c r="AY158" s="23">
        <f t="shared" si="1305"/>
        <v>1.06</v>
      </c>
      <c r="AZ158" s="23">
        <f>+'QTR Raw'!T78</f>
        <v>0</v>
      </c>
      <c r="BA158" s="23">
        <f t="shared" si="1305"/>
        <v>0</v>
      </c>
      <c r="BB158" s="23">
        <f>+'QTR Raw'!V78</f>
        <v>0.72</v>
      </c>
      <c r="BC158" s="23">
        <f t="shared" si="1305"/>
        <v>0.72</v>
      </c>
      <c r="BD158" s="23">
        <f>+'QTR Raw'!X78</f>
        <v>0.53</v>
      </c>
      <c r="BE158" s="23">
        <f t="shared" si="1305"/>
        <v>0.53</v>
      </c>
      <c r="BF158" s="23">
        <f>+'QTR Raw'!Z78</f>
        <v>0.5</v>
      </c>
      <c r="BG158" s="23">
        <f t="shared" si="1305"/>
        <v>0.5</v>
      </c>
      <c r="BH158" s="23">
        <f>+'QTR Raw'!AB78</f>
        <v>0.33</v>
      </c>
      <c r="BI158" s="23">
        <f t="shared" si="1305"/>
        <v>0.33</v>
      </c>
      <c r="BJ158" s="23">
        <f>+'QTR Raw'!AD78</f>
        <v>0.31</v>
      </c>
      <c r="BK158" s="23">
        <f t="shared" si="1305"/>
        <v>0.31</v>
      </c>
      <c r="BL158" s="23">
        <f>+'QTR Raw'!AF78</f>
        <v>0.3</v>
      </c>
      <c r="BM158" s="23">
        <f t="shared" si="1305"/>
        <v>0.3</v>
      </c>
      <c r="BN158" s="23">
        <f>+'QTR Raw'!AH78</f>
        <v>0.22</v>
      </c>
      <c r="BO158" s="23">
        <f t="shared" si="1305"/>
        <v>0.22</v>
      </c>
      <c r="BP158" s="23">
        <f>+'QTR Raw'!AJ78</f>
        <v>0.2</v>
      </c>
      <c r="BQ158" s="23">
        <f t="shared" si="1305"/>
        <v>0.2</v>
      </c>
      <c r="BR158" s="23">
        <f>+'QTR Raw'!AL78</f>
        <v>0.17</v>
      </c>
      <c r="BS158" s="23">
        <f t="shared" si="1305"/>
        <v>0.17</v>
      </c>
      <c r="BT158" s="23">
        <f>+'QTR Raw'!AN78</f>
        <v>0.13</v>
      </c>
      <c r="BU158" s="23">
        <f t="shared" si="1305"/>
        <v>0.13</v>
      </c>
      <c r="BV158" s="23">
        <f>+'QTR Raw'!AP78</f>
        <v>0.1</v>
      </c>
      <c r="BW158" s="23">
        <f t="shared" si="1305"/>
        <v>0.1</v>
      </c>
      <c r="BX158" s="23">
        <f>+'QTR Raw'!AR78</f>
        <v>0.1</v>
      </c>
      <c r="BY158" s="23">
        <f t="shared" si="1305"/>
        <v>0.1</v>
      </c>
      <c r="BZ158" s="23">
        <f>+'QTR Raw'!AT78</f>
        <v>0.08</v>
      </c>
      <c r="CA158" s="23">
        <f t="shared" si="1305"/>
        <v>0.08</v>
      </c>
      <c r="CB158" s="23">
        <f>+'QTR Raw'!AV78</f>
        <v>0.06</v>
      </c>
      <c r="CC158" s="23">
        <f t="shared" si="1305"/>
        <v>0.06</v>
      </c>
      <c r="CD158" s="23">
        <f>+'QTR Raw'!AX78</f>
        <v>7.0000000000000007E-2</v>
      </c>
      <c r="CE158" s="23">
        <f t="shared" si="1305"/>
        <v>7.0000000000000007E-2</v>
      </c>
      <c r="CF158" s="23">
        <f>+'QTR Raw'!AZ78</f>
        <v>7.0000000000000007E-2</v>
      </c>
      <c r="CG158" s="23">
        <f t="shared" si="1282"/>
        <v>7.0000000000000007E-2</v>
      </c>
      <c r="CH158" s="23">
        <f t="shared" si="1283"/>
        <v>235.01</v>
      </c>
      <c r="CJ158" s="23">
        <f>+'QTR Raw'!BD78</f>
        <v>0.06</v>
      </c>
      <c r="CK158" s="24"/>
      <c r="CL158" s="23">
        <f>+'QTR Raw'!BF78</f>
        <v>7.0000000000000007E-2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7.0000000000000007E-2</v>
      </c>
    </row>
    <row r="159" spans="1:110" s="23" customFormat="1" outlineLevel="1" x14ac:dyDescent="0.2">
      <c r="A159" s="23" t="s">
        <v>60</v>
      </c>
      <c r="B159" s="23">
        <f>'Annual Raw'!C73+'Annual Raw'!C81</f>
        <v>0</v>
      </c>
      <c r="C159" s="23">
        <f>'Annual Raw'!D73+'Annual Raw'!D81</f>
        <v>0</v>
      </c>
      <c r="D159" s="23">
        <f>'Annual Raw'!E73+'Annual Raw'!E81</f>
        <v>0</v>
      </c>
      <c r="E159" s="23">
        <f>'Annual Raw'!F73+'Annual Raw'!F81</f>
        <v>0</v>
      </c>
      <c r="F159" s="23">
        <f>'Annual Raw'!G73+'Annual Raw'!G81</f>
        <v>0</v>
      </c>
      <c r="G159" s="23">
        <f>'Annual Raw'!H73+'Annual Raw'!H81</f>
        <v>0</v>
      </c>
      <c r="H159" s="23">
        <f>'Annual Raw'!I73+'Annual Raw'!I81</f>
        <v>0</v>
      </c>
      <c r="I159" s="23">
        <f>'Annual Raw'!J73+'Annual Raw'!J81</f>
        <v>0</v>
      </c>
      <c r="J159" s="23">
        <f>'Annual Raw'!K73+'Annual Raw'!K81</f>
        <v>0</v>
      </c>
      <c r="K159" s="23">
        <f>'Annual Raw'!L73+'Annual Raw'!L81</f>
        <v>0</v>
      </c>
      <c r="L159" s="23">
        <f>'Annual Raw'!M73+'Annual Raw'!M81</f>
        <v>9.0154999999999994</v>
      </c>
      <c r="M159" s="23">
        <f>'Annual Raw'!N73+'Annual Raw'!N81</f>
        <v>11.2301</v>
      </c>
      <c r="N159" s="23">
        <f>'Annual Raw'!O73+'Annual Raw'!O81</f>
        <v>11.637700000000001</v>
      </c>
      <c r="O159" s="23">
        <f>'Annual Raw'!P73+'Annual Raw'!P81</f>
        <v>13.683400000000001</v>
      </c>
      <c r="P159" s="23">
        <f>'Annual Raw'!Q73+'Annual Raw'!Q81</f>
        <v>40.9101</v>
      </c>
      <c r="Q159" s="23">
        <f>'Annual Raw'!R73+'Annual Raw'!R81</f>
        <v>5.8433999999999999</v>
      </c>
      <c r="R159" s="23">
        <f>'Annual Raw'!S73+'Annual Raw'!S81</f>
        <v>15.67</v>
      </c>
      <c r="S159" s="23">
        <f>'Annual Raw'!T73+'Annual Raw'!T81</f>
        <v>27.78</v>
      </c>
      <c r="T159" s="23">
        <f>'Annual Raw'!U73+'Annual Raw'!U81</f>
        <v>66.33</v>
      </c>
      <c r="U159" s="23">
        <f>'Annual Raw'!V73+'Annual Raw'!V81</f>
        <v>73.11</v>
      </c>
      <c r="V159" s="23">
        <f>'Annual Raw'!W73+'Annual Raw'!W81</f>
        <v>83.4</v>
      </c>
      <c r="W159" s="23">
        <f>'Annual Raw'!X73+'Annual Raw'!X81</f>
        <v>78.069999999999993</v>
      </c>
      <c r="X159" s="23">
        <f>'Annual Raw'!Y73+'Annual Raw'!Y81</f>
        <v>258.87</v>
      </c>
      <c r="Y159" s="23">
        <f>'Annual Raw'!Z73+'Annual Raw'!Z81</f>
        <v>218.34</v>
      </c>
      <c r="Z159" s="23">
        <f>'Annual Raw'!AA73+'Annual Raw'!AA81</f>
        <v>94.34</v>
      </c>
      <c r="AA159" s="23">
        <f>'Annual Raw'!AB73+'Annual Raw'!AB81</f>
        <v>355.59</v>
      </c>
      <c r="AB159" s="24">
        <f t="shared" si="1301"/>
        <v>0</v>
      </c>
      <c r="AC159" s="24">
        <f t="shared" si="1302"/>
        <v>0</v>
      </c>
      <c r="AD159" s="24">
        <f t="shared" si="1303"/>
        <v>0</v>
      </c>
      <c r="AE159" s="24">
        <f t="shared" si="1304"/>
        <v>0</v>
      </c>
      <c r="AJ159" s="23">
        <f>+'QTR Raw'!D79+'QTR Raw'!D76</f>
        <v>102.59</v>
      </c>
      <c r="AK159" s="23">
        <f t="shared" si="1305"/>
        <v>102.59</v>
      </c>
      <c r="AL159" s="23">
        <f>+'QTR Raw'!F79+'QTR Raw'!F76</f>
        <v>104.46</v>
      </c>
      <c r="AM159" s="23">
        <f t="shared" si="1305"/>
        <v>104.46</v>
      </c>
      <c r="AN159" s="23">
        <f>+'QTR Raw'!H79+'QTR Raw'!H76</f>
        <v>111.01</v>
      </c>
      <c r="AO159" s="23">
        <f t="shared" si="1305"/>
        <v>111.01</v>
      </c>
      <c r="AP159" s="23">
        <f>+'QTR Raw'!J79+'QTR Raw'!J76</f>
        <v>152.36000000000001</v>
      </c>
      <c r="AQ159" s="23">
        <f t="shared" si="1305"/>
        <v>152.36000000000001</v>
      </c>
      <c r="AR159" s="23">
        <f>+'QTR Raw'!L79+'QTR Raw'!L76</f>
        <v>172.74</v>
      </c>
      <c r="AS159" s="23">
        <f t="shared" si="1305"/>
        <v>172.74</v>
      </c>
      <c r="AT159" s="23">
        <f>+'QTR Raw'!N79+'QTR Raw'!N76</f>
        <v>105.27</v>
      </c>
      <c r="AU159" s="23">
        <f t="shared" si="1305"/>
        <v>105.27</v>
      </c>
      <c r="AV159" s="23">
        <f>+'QTR Raw'!P79+'QTR Raw'!P76</f>
        <v>155.62</v>
      </c>
      <c r="AW159" s="23">
        <f t="shared" si="1305"/>
        <v>155.62</v>
      </c>
      <c r="AX159" s="23">
        <f>+'QTR Raw'!R79+'QTR Raw'!R76</f>
        <v>127.28</v>
      </c>
      <c r="AY159" s="23">
        <f t="shared" si="1305"/>
        <v>127.28</v>
      </c>
      <c r="AZ159" s="23">
        <f>+'QTR Raw'!T79+'QTR Raw'!T76</f>
        <v>350.16</v>
      </c>
      <c r="BA159" s="23">
        <f t="shared" si="1305"/>
        <v>350.16</v>
      </c>
      <c r="BB159" s="23">
        <f>+'QTR Raw'!V79+'QTR Raw'!V76</f>
        <v>90.01</v>
      </c>
      <c r="BC159" s="23">
        <f t="shared" si="1305"/>
        <v>90.01</v>
      </c>
      <c r="BD159" s="23">
        <f>+'QTR Raw'!X79+'QTR Raw'!X76</f>
        <v>161.69999999999999</v>
      </c>
      <c r="BE159" s="23">
        <f t="shared" si="1305"/>
        <v>161.69999999999999</v>
      </c>
      <c r="BF159" s="23">
        <f>+'QTR Raw'!Z79+'QTR Raw'!Z76</f>
        <v>126.59</v>
      </c>
      <c r="BG159" s="23">
        <f t="shared" si="1305"/>
        <v>126.59</v>
      </c>
      <c r="BH159" s="23">
        <f>+'QTR Raw'!AB79+'QTR Raw'!AB76</f>
        <v>182.32</v>
      </c>
      <c r="BI159" s="23">
        <f t="shared" si="1305"/>
        <v>182.32</v>
      </c>
      <c r="BJ159" s="23">
        <f>+'QTR Raw'!AD79+'QTR Raw'!AD76</f>
        <v>259.74</v>
      </c>
      <c r="BK159" s="23">
        <f t="shared" si="1305"/>
        <v>259.74</v>
      </c>
      <c r="BL159" s="23">
        <f>+'QTR Raw'!AF79+'QTR Raw'!AF76</f>
        <v>335.91</v>
      </c>
      <c r="BM159" s="23">
        <f t="shared" si="1305"/>
        <v>335.91</v>
      </c>
      <c r="BN159" s="23">
        <f>+'QTR Raw'!AH79+'QTR Raw'!AH76</f>
        <v>288</v>
      </c>
      <c r="BO159" s="23">
        <f t="shared" si="1305"/>
        <v>288</v>
      </c>
      <c r="BP159" s="23">
        <f>+'QTR Raw'!AJ79+'QTR Raw'!AJ76</f>
        <v>275.57</v>
      </c>
      <c r="BQ159" s="23">
        <f t="shared" si="1305"/>
        <v>275.57</v>
      </c>
      <c r="BR159" s="23">
        <f>+'QTR Raw'!AL79+'QTR Raw'!AL76</f>
        <v>229.52</v>
      </c>
      <c r="BS159" s="23">
        <f t="shared" si="1305"/>
        <v>229.52</v>
      </c>
      <c r="BT159" s="23">
        <f>+'QTR Raw'!AN79+'QTR Raw'!AN76</f>
        <v>210.36</v>
      </c>
      <c r="BU159" s="23">
        <f t="shared" si="1305"/>
        <v>210.36</v>
      </c>
      <c r="BV159" s="23">
        <f>+'QTR Raw'!AP79+'QTR Raw'!AP76</f>
        <v>219.35</v>
      </c>
      <c r="BW159" s="23">
        <f t="shared" si="1305"/>
        <v>219.35</v>
      </c>
      <c r="BX159" s="23">
        <f>+'QTR Raw'!AR79+'QTR Raw'!AR76</f>
        <v>291.41000000000003</v>
      </c>
      <c r="BY159" s="23">
        <f t="shared" si="1305"/>
        <v>291.41000000000003</v>
      </c>
      <c r="BZ159" s="23">
        <f>+'QTR Raw'!AT79+'QTR Raw'!AT76</f>
        <v>408.17</v>
      </c>
      <c r="CA159" s="23">
        <f t="shared" si="1305"/>
        <v>408.17</v>
      </c>
      <c r="CB159" s="23">
        <f>+'QTR Raw'!AV79+'QTR Raw'!AV76</f>
        <v>413.55</v>
      </c>
      <c r="CC159" s="23">
        <f t="shared" si="1305"/>
        <v>413.55</v>
      </c>
      <c r="CD159" s="23">
        <f>+'QTR Raw'!AX79+'QTR Raw'!AX76</f>
        <v>382.42</v>
      </c>
      <c r="CE159" s="23">
        <f t="shared" si="1305"/>
        <v>382.42</v>
      </c>
      <c r="CF159" s="23">
        <f>+'QTR Raw'!AZ79+'QTR Raw'!AZ76</f>
        <v>318.56</v>
      </c>
      <c r="CG159" s="23">
        <f t="shared" si="1282"/>
        <v>318.56</v>
      </c>
      <c r="CH159" s="23">
        <f t="shared" si="1283"/>
        <v>94.34</v>
      </c>
      <c r="CJ159" s="23">
        <f>+'QTR Raw'!BD79+'QTR Raw'!BD76</f>
        <v>635.74</v>
      </c>
      <c r="CK159" s="24"/>
      <c r="CL159" s="23">
        <f>+'QTR Raw'!BF79+'QTR Raw'!BF76</f>
        <v>574.32000000000005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574.32000000000005</v>
      </c>
    </row>
    <row r="160" spans="1:110" s="23" customFormat="1" outlineLevel="1" x14ac:dyDescent="0.2">
      <c r="A160" s="23" t="s">
        <v>61</v>
      </c>
      <c r="B160" s="23">
        <f>'Annual Raw'!C76</f>
        <v>145.94149999999999</v>
      </c>
      <c r="C160" s="23">
        <f>'Annual Raw'!D76</f>
        <v>126.23699999999999</v>
      </c>
      <c r="D160" s="23">
        <f>'Annual Raw'!E76</f>
        <v>140.92830000000001</v>
      </c>
      <c r="E160" s="23">
        <f>'Annual Raw'!F76</f>
        <v>173.03020000000001</v>
      </c>
      <c r="F160" s="23">
        <f>'Annual Raw'!G76</f>
        <v>261.65519999999998</v>
      </c>
      <c r="G160" s="23">
        <f>'Annual Raw'!H76</f>
        <v>316.99650000000003</v>
      </c>
      <c r="H160" s="23">
        <f>'Annual Raw'!I76</f>
        <v>512.29250000000002</v>
      </c>
      <c r="I160" s="23">
        <f>'Annual Raw'!J76</f>
        <v>639.84609999999998</v>
      </c>
      <c r="J160" s="23">
        <f>'Annual Raw'!K76</f>
        <v>1119.3878</v>
      </c>
      <c r="K160" s="23">
        <f>'Annual Raw'!L76</f>
        <v>657.92420000000004</v>
      </c>
      <c r="L160" s="23">
        <f>'Annual Raw'!M76</f>
        <v>821.46119999999996</v>
      </c>
      <c r="M160" s="23">
        <f>'Annual Raw'!N76</f>
        <v>833.39880000000005</v>
      </c>
      <c r="N160" s="23">
        <f>'Annual Raw'!O76</f>
        <v>978.40340000000003</v>
      </c>
      <c r="O160" s="23">
        <f>'Annual Raw'!P76</f>
        <v>900.98400000000004</v>
      </c>
      <c r="P160" s="23">
        <f>'Annual Raw'!Q76</f>
        <v>867.06410000000005</v>
      </c>
      <c r="Q160" s="23">
        <f>'Annual Raw'!R76</f>
        <v>724.68179999999995</v>
      </c>
      <c r="R160" s="23">
        <f>'Annual Raw'!S76</f>
        <v>907.03</v>
      </c>
      <c r="S160" s="23">
        <f>'Annual Raw'!T76</f>
        <v>812.99</v>
      </c>
      <c r="T160" s="23">
        <f>'Annual Raw'!U76</f>
        <v>1090.6600000000001</v>
      </c>
      <c r="U160" s="23">
        <f>'Annual Raw'!V76</f>
        <v>1468.94</v>
      </c>
      <c r="V160" s="23">
        <f>'Annual Raw'!W76</f>
        <v>1279.5999999999999</v>
      </c>
      <c r="W160" s="23">
        <f>'Annual Raw'!X76</f>
        <v>1661.39</v>
      </c>
      <c r="X160" s="23">
        <f>'Annual Raw'!Y76</f>
        <v>1591.97</v>
      </c>
      <c r="Y160" s="23">
        <f>'Annual Raw'!Z76</f>
        <v>2135.38</v>
      </c>
      <c r="Z160" s="23">
        <f>'Annual Raw'!AA76</f>
        <v>2714.81</v>
      </c>
      <c r="AA160" s="23">
        <f>'Annual Raw'!AB76</f>
        <v>3432.85</v>
      </c>
      <c r="AB160" s="24">
        <f t="shared" si="1301"/>
        <v>4119.42</v>
      </c>
      <c r="AC160" s="24">
        <f t="shared" si="1302"/>
        <v>4737.3329999999996</v>
      </c>
      <c r="AD160" s="24">
        <f t="shared" si="1303"/>
        <v>5447.9329500000003</v>
      </c>
      <c r="AE160" s="24">
        <f t="shared" si="1304"/>
        <v>6265.1228924999996</v>
      </c>
      <c r="AJ160" s="23">
        <f>+'QTR Raw'!D81</f>
        <v>853.2</v>
      </c>
      <c r="AK160" s="23">
        <f>+AK195*AK26/90</f>
        <v>844.44445894769387</v>
      </c>
      <c r="AL160" s="23">
        <f>+'QTR Raw'!F81</f>
        <v>978.4</v>
      </c>
      <c r="AM160" s="23">
        <f>+AM195*AM26/90</f>
        <v>982.19203436206635</v>
      </c>
      <c r="AN160" s="23">
        <f>+'QTR Raw'!H81</f>
        <v>850.58</v>
      </c>
      <c r="AO160" s="23">
        <f>+AO195*AO26/90</f>
        <v>881.17798857967875</v>
      </c>
      <c r="AP160" s="23">
        <f>+'QTR Raw'!J81</f>
        <v>900.98</v>
      </c>
      <c r="AQ160" s="23">
        <f>+AQ195*AQ26/90</f>
        <v>1082.3881387193142</v>
      </c>
      <c r="AR160" s="23">
        <f>+'QTR Raw'!L81</f>
        <v>847.16</v>
      </c>
      <c r="AS160" s="23">
        <f>+AS195*AS26/90</f>
        <v>818.32051063829795</v>
      </c>
      <c r="AT160" s="23">
        <f>+'QTR Raw'!N81</f>
        <v>867.06</v>
      </c>
      <c r="AU160" s="23">
        <f>+AU195*AU26/90</f>
        <v>906.91646650603695</v>
      </c>
      <c r="AV160" s="23">
        <f>+'QTR Raw'!P81</f>
        <v>945.25</v>
      </c>
      <c r="AW160" s="23">
        <f>+AW195*AW26/90</f>
        <v>1143.2442389268924</v>
      </c>
      <c r="AX160" s="23">
        <f>+'QTR Raw'!R81</f>
        <v>724.68</v>
      </c>
      <c r="AY160" s="23">
        <f>+AY195*AY26/90</f>
        <v>719.49971406491477</v>
      </c>
      <c r="AZ160" s="23">
        <f>+'QTR Raw'!T81</f>
        <v>716.58</v>
      </c>
      <c r="BA160" s="23">
        <f>+BA195*BA26/90</f>
        <v>861.88775742261544</v>
      </c>
      <c r="BB160" s="23">
        <f>+'QTR Raw'!V81</f>
        <v>907.03</v>
      </c>
      <c r="BC160" s="23">
        <f>+BC195*BC26/90</f>
        <v>856.95134657429071</v>
      </c>
      <c r="BD160" s="23">
        <f>+'QTR Raw'!X81</f>
        <v>702.87</v>
      </c>
      <c r="BE160" s="23">
        <f>+BE195*BE26/90</f>
        <v>932.00056225945548</v>
      </c>
      <c r="BF160" s="23">
        <f>+'QTR Raw'!Z81</f>
        <v>812.99</v>
      </c>
      <c r="BG160" s="23">
        <f>+BG195*BG26/90</f>
        <v>852.56431379919718</v>
      </c>
      <c r="BH160" s="23">
        <f>+'QTR Raw'!AB81</f>
        <v>1076.48</v>
      </c>
      <c r="BI160" s="23">
        <f>+BI195*BI26/90</f>
        <v>1129.8132312714581</v>
      </c>
      <c r="BJ160" s="23">
        <f>+'QTR Raw'!AD81</f>
        <v>1090.6600000000001</v>
      </c>
      <c r="BK160" s="23">
        <f>+BK195*BK26/90</f>
        <v>1403.2167497236819</v>
      </c>
      <c r="BL160" s="23">
        <f>+'QTR Raw'!AF81</f>
        <v>815.68</v>
      </c>
      <c r="BM160" s="23">
        <f>+BM195*BM26/90</f>
        <v>856.16169233582286</v>
      </c>
      <c r="BN160" s="23">
        <f>+'QTR Raw'!AH81</f>
        <v>1468.94</v>
      </c>
      <c r="BO160" s="23">
        <f>+BO195*BO26/90</f>
        <v>911.70544239889387</v>
      </c>
      <c r="BP160" s="23">
        <f>+'QTR Raw'!AJ81</f>
        <v>1277.52</v>
      </c>
      <c r="BQ160" s="23">
        <f>+BQ195*BQ26/90</f>
        <v>1580.2352145063071</v>
      </c>
      <c r="BR160" s="23">
        <f>+'QTR Raw'!AL81</f>
        <v>1279.5999999999999</v>
      </c>
      <c r="BS160" s="23">
        <f>+BS195*BS26/90</f>
        <v>861.47617718712036</v>
      </c>
      <c r="BT160" s="23">
        <f>+'QTR Raw'!AN81</f>
        <v>1214.45</v>
      </c>
      <c r="BU160" s="23">
        <f>+BU195*BU26/90</f>
        <v>1289.5927815734008</v>
      </c>
      <c r="BV160" s="23">
        <f>+'QTR Raw'!AP81</f>
        <v>1661.39</v>
      </c>
      <c r="BW160" s="23">
        <f>+BW195*BW26/90</f>
        <v>1724.5788688132366</v>
      </c>
      <c r="BX160" s="23">
        <f>+'QTR Raw'!AR81</f>
        <v>1561.04</v>
      </c>
      <c r="BY160" s="23">
        <f>+BY195*BY26/90</f>
        <v>1770.4751489515711</v>
      </c>
      <c r="BZ160" s="23">
        <f>+'QTR Raw'!AT81</f>
        <v>1591.97</v>
      </c>
      <c r="CA160" s="23">
        <f>+CA195*CA26/90</f>
        <v>1808.9814408143941</v>
      </c>
      <c r="CB160" s="23">
        <f>+'QTR Raw'!AV81</f>
        <v>1600.18</v>
      </c>
      <c r="CC160" s="23">
        <f>+CC195*CC26/90</f>
        <v>1832.5698962381421</v>
      </c>
      <c r="CD160" s="23">
        <f>+'QTR Raw'!AX81</f>
        <v>2135.38</v>
      </c>
      <c r="CE160" s="23">
        <f>+CE195*CE26/90</f>
        <v>2500.2492784947462</v>
      </c>
      <c r="CF160" s="23">
        <f>+'QTR Raw'!AZ81</f>
        <v>2103.4899999999998</v>
      </c>
      <c r="CG160" s="23">
        <f>+CG195*CG26/90</f>
        <v>2493.8119566952132</v>
      </c>
      <c r="CH160" s="23">
        <f t="shared" si="1283"/>
        <v>2714.81</v>
      </c>
      <c r="CI160" s="23">
        <f>+CI195*CI26/90</f>
        <v>2242.760735009103</v>
      </c>
      <c r="CJ160" s="23">
        <f>+'QTR Raw'!BD81</f>
        <v>3110.48</v>
      </c>
      <c r="CK160" s="24">
        <f t="shared" ref="CK160:DB160" si="1306">+CK195*CK26/90</f>
        <v>4069.1378549153937</v>
      </c>
      <c r="CL160" s="23">
        <f>+'QTR Raw'!BF81</f>
        <v>3432.85</v>
      </c>
      <c r="CM160" s="24">
        <f t="shared" si="1306"/>
        <v>3319.4004749756027</v>
      </c>
      <c r="CN160" s="24">
        <f t="shared" si="1306"/>
        <v>1978.3005862315176</v>
      </c>
      <c r="CO160" s="24">
        <f t="shared" si="1306"/>
        <v>2588.0178634281469</v>
      </c>
      <c r="CP160" s="24">
        <f t="shared" si="1306"/>
        <v>4119.42</v>
      </c>
      <c r="CQ160" s="24">
        <f t="shared" si="1306"/>
        <v>3817.3105462219437</v>
      </c>
      <c r="CR160" s="24">
        <f t="shared" si="1306"/>
        <v>2275.0456741662451</v>
      </c>
      <c r="CS160" s="24">
        <f t="shared" si="1306"/>
        <v>2976.2205429423693</v>
      </c>
      <c r="CT160" s="24">
        <f t="shared" si="1306"/>
        <v>4737.3329999999996</v>
      </c>
      <c r="CU160" s="24">
        <f t="shared" si="1306"/>
        <v>4389.9071281552351</v>
      </c>
      <c r="CV160" s="24">
        <f t="shared" si="1306"/>
        <v>2616.3025252911821</v>
      </c>
      <c r="CW160" s="24">
        <f t="shared" si="1306"/>
        <v>3422.6536243837245</v>
      </c>
      <c r="CX160" s="24">
        <f t="shared" si="1306"/>
        <v>5447.9329500000003</v>
      </c>
      <c r="CY160" s="24">
        <f t="shared" si="1306"/>
        <v>5048.3931973785211</v>
      </c>
      <c r="CZ160" s="24">
        <f t="shared" si="1306"/>
        <v>3008.7479040848598</v>
      </c>
      <c r="DA160" s="24">
        <f t="shared" si="1306"/>
        <v>3936.051668041282</v>
      </c>
      <c r="DB160" s="24">
        <f t="shared" si="1306"/>
        <v>6265.1228924999996</v>
      </c>
      <c r="DE160" s="123"/>
      <c r="DF160" s="23">
        <v>6980.9344409045216</v>
      </c>
    </row>
    <row r="161" spans="1:110" s="23" customFormat="1" outlineLevel="1" x14ac:dyDescent="0.2">
      <c r="A161" s="23" t="s">
        <v>62</v>
      </c>
      <c r="B161" s="23">
        <f>'Annual Raw'!C77</f>
        <v>180.82560000000001</v>
      </c>
      <c r="C161" s="23">
        <f>'Annual Raw'!D77</f>
        <v>247.92869999999999</v>
      </c>
      <c r="D161" s="23">
        <f>'Annual Raw'!E77</f>
        <v>367.73340000000002</v>
      </c>
      <c r="E161" s="23">
        <f>'Annual Raw'!F77</f>
        <v>392.47379999999998</v>
      </c>
      <c r="F161" s="23">
        <f>'Annual Raw'!G77</f>
        <v>403.69009999999997</v>
      </c>
      <c r="G161" s="23">
        <f>'Annual Raw'!H77</f>
        <v>442.67309999999998</v>
      </c>
      <c r="H161" s="23">
        <f>'Annual Raw'!I77</f>
        <v>485.88330000000002</v>
      </c>
      <c r="I161" s="23">
        <f>'Annual Raw'!J77</f>
        <v>570.25009999999997</v>
      </c>
      <c r="J161" s="23">
        <f>'Annual Raw'!K77</f>
        <v>952.08690000000001</v>
      </c>
      <c r="K161" s="23">
        <f>'Annual Raw'!L77</f>
        <v>1005.9733</v>
      </c>
      <c r="L161" s="23">
        <f>'Annual Raw'!M77</f>
        <v>1065.3484000000001</v>
      </c>
      <c r="M161" s="23">
        <f>'Annual Raw'!N77</f>
        <v>1166.8009</v>
      </c>
      <c r="N161" s="23">
        <f>'Annual Raw'!O77</f>
        <v>1361.7822000000001</v>
      </c>
      <c r="O161" s="23">
        <f>'Annual Raw'!P77</f>
        <v>1335.1729</v>
      </c>
      <c r="P161" s="23">
        <f>'Annual Raw'!Q77</f>
        <v>1338.5961</v>
      </c>
      <c r="Q161" s="23">
        <f>'Annual Raw'!R77</f>
        <v>1367.2228</v>
      </c>
      <c r="R161" s="23">
        <f>'Annual Raw'!S77</f>
        <v>1454.11</v>
      </c>
      <c r="S161" s="23">
        <f>'Annual Raw'!T77</f>
        <v>1570.28</v>
      </c>
      <c r="T161" s="23">
        <f>'Annual Raw'!U77</f>
        <v>1803.17</v>
      </c>
      <c r="U161" s="23">
        <f>'Annual Raw'!V77</f>
        <v>1827.25</v>
      </c>
      <c r="V161" s="23">
        <f>'Annual Raw'!W77</f>
        <v>1800.93</v>
      </c>
      <c r="W161" s="23">
        <f>'Annual Raw'!X77</f>
        <v>2109.67</v>
      </c>
      <c r="X161" s="23">
        <f>'Annual Raw'!Y77</f>
        <v>2191.85</v>
      </c>
      <c r="Y161" s="23">
        <f>'Annual Raw'!Z77</f>
        <v>2400.31</v>
      </c>
      <c r="Z161" s="23">
        <f>'Annual Raw'!AA77</f>
        <v>2231.86</v>
      </c>
      <c r="AA161" s="23">
        <f>'Annual Raw'!AB77</f>
        <v>3034.95</v>
      </c>
      <c r="AB161" s="24">
        <f t="shared" si="1301"/>
        <v>3641.9399999999991</v>
      </c>
      <c r="AC161" s="24">
        <f t="shared" si="1302"/>
        <v>4188.2309999999989</v>
      </c>
      <c r="AD161" s="24">
        <f t="shared" si="1303"/>
        <v>4816.4656499999992</v>
      </c>
      <c r="AE161" s="24">
        <f t="shared" si="1304"/>
        <v>5538.9354974999987</v>
      </c>
      <c r="AJ161" s="23">
        <f>+'QTR Raw'!D82</f>
        <v>1157.18</v>
      </c>
      <c r="AK161" s="23">
        <f>+AK196*AK26/90</f>
        <v>1145.3050152427243</v>
      </c>
      <c r="AL161" s="23">
        <f>+'QTR Raw'!F82</f>
        <v>1361.78</v>
      </c>
      <c r="AM161" s="23">
        <f>+AM196*AM26/90</f>
        <v>1367.0579196173087</v>
      </c>
      <c r="AN161" s="23">
        <f>+'QTR Raw'!H82</f>
        <v>1137.71</v>
      </c>
      <c r="AO161" s="23">
        <f>+AO196*AO26/90</f>
        <v>1178.6369411307417</v>
      </c>
      <c r="AP161" s="23">
        <f>+'QTR Raw'!J82</f>
        <v>1335.17</v>
      </c>
      <c r="AQ161" s="23">
        <f>+AQ196*AQ26/90</f>
        <v>1604.0002787785152</v>
      </c>
      <c r="AR161" s="23">
        <f>+'QTR Raw'!L82</f>
        <v>1123.49</v>
      </c>
      <c r="AS161" s="23">
        <f>+AS196*AS26/90</f>
        <v>1085.2435319148938</v>
      </c>
      <c r="AT161" s="23">
        <f>+'QTR Raw'!N82</f>
        <v>1338.6</v>
      </c>
      <c r="AU161" s="23">
        <f>+AU196*AU26/90</f>
        <v>1400.1319194346192</v>
      </c>
      <c r="AV161" s="23">
        <f>+'QTR Raw'!P82</f>
        <v>1100.9100000000001</v>
      </c>
      <c r="AW161" s="23">
        <f>+AW196*AW26/90</f>
        <v>1331.5091405205028</v>
      </c>
      <c r="AX161" s="23">
        <f>+'QTR Raw'!R82</f>
        <v>1367.22</v>
      </c>
      <c r="AY161" s="23">
        <f>+AY196*AY26/90</f>
        <v>1357.4465958268929</v>
      </c>
      <c r="AZ161" s="23">
        <f>+'QTR Raw'!T82</f>
        <v>761.1</v>
      </c>
      <c r="BA161" s="23">
        <f>+BA196*BA26/90</f>
        <v>915.4355022109919</v>
      </c>
      <c r="BB161" s="23">
        <f>+'QTR Raw'!V82</f>
        <v>1454.11</v>
      </c>
      <c r="BC161" s="23">
        <f>+BC196*BC26/90</f>
        <v>1373.8261386802442</v>
      </c>
      <c r="BD161" s="23">
        <f>+'QTR Raw'!X82</f>
        <v>1273.0899999999999</v>
      </c>
      <c r="BE161" s="23">
        <f>+BE196*BE26/90</f>
        <v>1688.1081790471778</v>
      </c>
      <c r="BF161" s="23">
        <f>+'QTR Raw'!Z82</f>
        <v>1570.28</v>
      </c>
      <c r="BG161" s="23">
        <f>+BG196*BG26/90</f>
        <v>1646.717291322899</v>
      </c>
      <c r="BH161" s="23">
        <f>+'QTR Raw'!AB82</f>
        <v>1477.14</v>
      </c>
      <c r="BI161" s="23">
        <f>+BI196*BI26/90</f>
        <v>1550.3235698204537</v>
      </c>
      <c r="BJ161" s="23">
        <f>+'QTR Raw'!AD82</f>
        <v>1803.17</v>
      </c>
      <c r="BK161" s="23">
        <f>+BK196*BK26/90</f>
        <v>2319.914864943476</v>
      </c>
      <c r="BL161" s="23">
        <f>+'QTR Raw'!AF82</f>
        <v>1623.81</v>
      </c>
      <c r="BM161" s="23">
        <f>+BM196*BM26/90</f>
        <v>1704.3986828558166</v>
      </c>
      <c r="BN161" s="23">
        <f>+'QTR Raw'!AH82</f>
        <v>1827.25</v>
      </c>
      <c r="BO161" s="23">
        <f>+BO196*BO26/90</f>
        <v>1134.0924541665274</v>
      </c>
      <c r="BP161" s="23">
        <f>+'QTR Raw'!AJ82</f>
        <v>1599.61</v>
      </c>
      <c r="BQ161" s="23">
        <f>+BQ196*BQ26/90</f>
        <v>1978.6461671648453</v>
      </c>
      <c r="BR161" s="23">
        <f>+'QTR Raw'!AL82</f>
        <v>1800.93</v>
      </c>
      <c r="BS161" s="23">
        <f>+BS196*BS26/90</f>
        <v>1212.4556828552679</v>
      </c>
      <c r="BT161" s="23">
        <f>+'QTR Raw'!AN82</f>
        <v>1793</v>
      </c>
      <c r="BU161" s="23">
        <f>+BU196*BU26/90</f>
        <v>1903.9399377175737</v>
      </c>
      <c r="BV161" s="23">
        <f>+'QTR Raw'!AP82</f>
        <v>2109.67</v>
      </c>
      <c r="BW161" s="23">
        <f>+BW196*BW26/90</f>
        <v>2189.908632030541</v>
      </c>
      <c r="BX161" s="23">
        <f>+'QTR Raw'!AR82</f>
        <v>1799.47</v>
      </c>
      <c r="BY161" s="23">
        <f>+BY196*BY26/90</f>
        <v>2040.8938376235608</v>
      </c>
      <c r="BZ161" s="23">
        <f>+'QTR Raw'!AT82</f>
        <v>2191.85</v>
      </c>
      <c r="CA161" s="23">
        <f>+CA196*CA26/90</f>
        <v>2490.6348555871209</v>
      </c>
      <c r="CB161" s="23">
        <f>+'QTR Raw'!AV82</f>
        <v>1512.56</v>
      </c>
      <c r="CC161" s="23">
        <f>+CC196*CC26/90</f>
        <v>1732.2250760876673</v>
      </c>
      <c r="CD161" s="23">
        <f>+'QTR Raw'!AX82</f>
        <v>2400.31</v>
      </c>
      <c r="CE161" s="23">
        <f>+CE196*CE26/90</f>
        <v>2810.4474827261301</v>
      </c>
      <c r="CF161" s="23">
        <f>+'QTR Raw'!AZ82</f>
        <v>1907.72</v>
      </c>
      <c r="CG161" s="23">
        <f>+CG196*CG26/90</f>
        <v>2261.7150288456764</v>
      </c>
      <c r="CH161" s="23">
        <f t="shared" si="1283"/>
        <v>2231.86</v>
      </c>
      <c r="CI161" s="23">
        <f>+CI196*CI26/90</f>
        <v>1843.7857433991389</v>
      </c>
      <c r="CJ161" s="23">
        <f>+'QTR Raw'!BD82</f>
        <v>1794.58</v>
      </c>
      <c r="CK161" s="24">
        <f t="shared" ref="CK161:DB161" si="1307">+CK196*CK26/90</f>
        <v>2347.6741247891214</v>
      </c>
      <c r="CL161" s="23">
        <f>+'QTR Raw'!BF82</f>
        <v>3034.95</v>
      </c>
      <c r="CM161" s="24">
        <f t="shared" si="1307"/>
        <v>2934.6503551064584</v>
      </c>
      <c r="CN161" s="24">
        <f t="shared" si="1307"/>
        <v>1748.9967124061184</v>
      </c>
      <c r="CO161" s="24">
        <f t="shared" si="1307"/>
        <v>2288.0419519091292</v>
      </c>
      <c r="CP161" s="24">
        <f t="shared" si="1307"/>
        <v>3641.9399999999991</v>
      </c>
      <c r="CQ161" s="24">
        <f t="shared" si="1307"/>
        <v>3374.8479083724269</v>
      </c>
      <c r="CR161" s="24">
        <f t="shared" si="1307"/>
        <v>2011.3462192670365</v>
      </c>
      <c r="CS161" s="24">
        <f t="shared" si="1307"/>
        <v>2631.2482446954982</v>
      </c>
      <c r="CT161" s="24">
        <f t="shared" si="1307"/>
        <v>4188.2309999999989</v>
      </c>
      <c r="CU161" s="24">
        <f t="shared" si="1307"/>
        <v>3881.0750946282915</v>
      </c>
      <c r="CV161" s="24">
        <f t="shared" si="1307"/>
        <v>2313.0481521570914</v>
      </c>
      <c r="CW161" s="24">
        <f t="shared" si="1307"/>
        <v>3025.9354813998229</v>
      </c>
      <c r="CX161" s="24">
        <f t="shared" si="1307"/>
        <v>4816.4656499999992</v>
      </c>
      <c r="CY161" s="24">
        <f t="shared" si="1307"/>
        <v>4463.2363588225353</v>
      </c>
      <c r="CZ161" s="24">
        <f t="shared" si="1307"/>
        <v>2660.0053749806557</v>
      </c>
      <c r="DA161" s="24">
        <f t="shared" si="1307"/>
        <v>3479.8258036097959</v>
      </c>
      <c r="DB161" s="24">
        <f t="shared" si="1307"/>
        <v>5538.9354974999987</v>
      </c>
      <c r="DE161" s="123"/>
      <c r="DF161" s="23">
        <v>4027.6244595555791</v>
      </c>
    </row>
    <row r="162" spans="1:110" s="23" customFormat="1" outlineLevel="1" x14ac:dyDescent="0.2">
      <c r="A162" s="23" t="s">
        <v>63</v>
      </c>
      <c r="B162" s="23">
        <f>'Annual Raw'!C79</f>
        <v>0</v>
      </c>
      <c r="C162" s="23">
        <f>'Annual Raw'!D79</f>
        <v>0</v>
      </c>
      <c r="D162" s="23">
        <f>'Annual Raw'!E79</f>
        <v>0</v>
      </c>
      <c r="E162" s="23">
        <f>'Annual Raw'!F79</f>
        <v>0</v>
      </c>
      <c r="F162" s="23">
        <f>'Annual Raw'!G79</f>
        <v>0.14810000000000001</v>
      </c>
      <c r="G162" s="23">
        <f>'Annual Raw'!H79</f>
        <v>0.25929999999999997</v>
      </c>
      <c r="H162" s="23">
        <f>'Annual Raw'!I79</f>
        <v>19.595099999999999</v>
      </c>
      <c r="I162" s="23">
        <f>'Annual Raw'!J79</f>
        <v>23.021000000000001</v>
      </c>
      <c r="J162" s="23">
        <f>'Annual Raw'!K79</f>
        <v>0</v>
      </c>
      <c r="K162" s="23">
        <f>'Annual Raw'!L79</f>
        <v>0.4723</v>
      </c>
      <c r="L162" s="23">
        <f>'Annual Raw'!M79</f>
        <v>18.5169</v>
      </c>
      <c r="M162" s="23">
        <f>'Annual Raw'!N79</f>
        <v>19.094100000000001</v>
      </c>
      <c r="N162" s="23">
        <f>'Annual Raw'!O79</f>
        <v>20.748899999999999</v>
      </c>
      <c r="O162" s="23">
        <f>'Annual Raw'!P79</f>
        <v>46.709499999999998</v>
      </c>
      <c r="P162" s="23">
        <f>'Annual Raw'!Q79</f>
        <v>24.403700000000001</v>
      </c>
      <c r="Q162" s="23">
        <f>'Annual Raw'!R79</f>
        <v>1028.0555999999999</v>
      </c>
      <c r="R162" s="23">
        <f>'Annual Raw'!S79</f>
        <v>890.92</v>
      </c>
      <c r="S162" s="23">
        <f>'Annual Raw'!T79</f>
        <v>1175.96</v>
      </c>
      <c r="T162" s="23">
        <f>'Annual Raw'!U79</f>
        <v>105.88</v>
      </c>
      <c r="U162" s="23">
        <f>'Annual Raw'!V79</f>
        <v>152.82</v>
      </c>
      <c r="V162" s="23">
        <f>'Annual Raw'!W79</f>
        <v>98.81</v>
      </c>
      <c r="W162" s="23">
        <f>'Annual Raw'!X79</f>
        <v>112.32</v>
      </c>
      <c r="X162" s="23">
        <f>'Annual Raw'!Y79</f>
        <v>207.93</v>
      </c>
      <c r="Y162" s="23">
        <f>'Annual Raw'!Z79</f>
        <v>216.75</v>
      </c>
      <c r="Z162" s="23">
        <f>'Annual Raw'!AA79</f>
        <v>363.87</v>
      </c>
      <c r="AA162" s="23">
        <f>'Annual Raw'!AB79</f>
        <v>359.66</v>
      </c>
      <c r="AB162" s="24">
        <f t="shared" si="1301"/>
        <v>4053.3240000000001</v>
      </c>
      <c r="AC162" s="24">
        <f t="shared" si="1302"/>
        <v>4661.3226000000004</v>
      </c>
      <c r="AD162" s="24">
        <f t="shared" si="1303"/>
        <v>5360.5209900000009</v>
      </c>
      <c r="AE162" s="24">
        <f t="shared" si="1304"/>
        <v>6164.5991385000007</v>
      </c>
      <c r="AJ162" s="23">
        <f>+'QTR Raw'!D84</f>
        <v>903.05</v>
      </c>
      <c r="AK162" s="23">
        <f t="shared" si="1305"/>
        <v>903.05</v>
      </c>
      <c r="AL162" s="23">
        <f>+'QTR Raw'!F84</f>
        <v>726.29</v>
      </c>
      <c r="AM162" s="23">
        <f t="shared" si="1305"/>
        <v>726.29</v>
      </c>
      <c r="AN162" s="23">
        <f>+'QTR Raw'!H84</f>
        <v>676.14</v>
      </c>
      <c r="AO162" s="23">
        <f t="shared" si="1305"/>
        <v>676.14</v>
      </c>
      <c r="AP162" s="23">
        <f>+'QTR Raw'!J84</f>
        <v>716.33</v>
      </c>
      <c r="AQ162" s="23">
        <f t="shared" si="1305"/>
        <v>716.33</v>
      </c>
      <c r="AR162" s="23">
        <f>+'QTR Raw'!L84</f>
        <v>815.64</v>
      </c>
      <c r="AS162" s="23">
        <f t="shared" si="1305"/>
        <v>815.64</v>
      </c>
      <c r="AT162" s="23">
        <f>+'QTR Raw'!N84</f>
        <v>661.23</v>
      </c>
      <c r="AU162" s="23">
        <f t="shared" si="1305"/>
        <v>661.23</v>
      </c>
      <c r="AV162" s="23">
        <f>+'QTR Raw'!P84</f>
        <v>781.17</v>
      </c>
      <c r="AW162" s="23">
        <f t="shared" si="1305"/>
        <v>781.17</v>
      </c>
      <c r="AX162" s="23">
        <f>+'QTR Raw'!R84</f>
        <v>1177.71</v>
      </c>
      <c r="AY162" s="23">
        <f t="shared" si="1305"/>
        <v>1177.71</v>
      </c>
      <c r="AZ162" s="23">
        <f>+'QTR Raw'!T84</f>
        <v>1242.21</v>
      </c>
      <c r="BA162" s="23">
        <f t="shared" si="1305"/>
        <v>1242.21</v>
      </c>
      <c r="BB162" s="23">
        <f>+'QTR Raw'!V84</f>
        <v>1094.71</v>
      </c>
      <c r="BC162" s="23">
        <f t="shared" si="1305"/>
        <v>1094.71</v>
      </c>
      <c r="BD162" s="23">
        <f>+'QTR Raw'!X84</f>
        <v>1192.08</v>
      </c>
      <c r="BE162" s="23">
        <f t="shared" si="1305"/>
        <v>1192.08</v>
      </c>
      <c r="BF162" s="23">
        <f>+'QTR Raw'!Z84</f>
        <v>1438.62</v>
      </c>
      <c r="BG162" s="23">
        <f t="shared" si="1305"/>
        <v>1438.62</v>
      </c>
      <c r="BH162" s="23">
        <f>+'QTR Raw'!AB84</f>
        <v>1647.34</v>
      </c>
      <c r="BI162" s="23">
        <f t="shared" si="1305"/>
        <v>1647.34</v>
      </c>
      <c r="BJ162" s="23">
        <f>+'QTR Raw'!AD84</f>
        <v>1185.21</v>
      </c>
      <c r="BK162" s="23">
        <f t="shared" si="1305"/>
        <v>1185.21</v>
      </c>
      <c r="BL162" s="23">
        <f>+'QTR Raw'!AF84</f>
        <v>1311.98</v>
      </c>
      <c r="BM162" s="23">
        <f t="shared" si="1305"/>
        <v>1311.98</v>
      </c>
      <c r="BN162" s="23">
        <f>+'QTR Raw'!AH84</f>
        <v>1451.4</v>
      </c>
      <c r="BO162" s="23">
        <f t="shared" si="1305"/>
        <v>1451.4</v>
      </c>
      <c r="BP162" s="23">
        <f>+'QTR Raw'!AJ84</f>
        <v>1392.56</v>
      </c>
      <c r="BQ162" s="23">
        <f t="shared" si="1305"/>
        <v>1392.56</v>
      </c>
      <c r="BR162" s="23">
        <f>+'QTR Raw'!AL84</f>
        <v>1398.64</v>
      </c>
      <c r="BS162" s="23">
        <f t="shared" si="1305"/>
        <v>1398.64</v>
      </c>
      <c r="BT162" s="23">
        <f>+'QTR Raw'!AN84</f>
        <v>1155.49</v>
      </c>
      <c r="BU162" s="23">
        <f t="shared" si="1305"/>
        <v>1155.49</v>
      </c>
      <c r="BV162" s="23">
        <f>+'QTR Raw'!AP84</f>
        <v>1099.1300000000001</v>
      </c>
      <c r="BW162" s="23">
        <f t="shared" si="1305"/>
        <v>1099.1300000000001</v>
      </c>
      <c r="BX162" s="23">
        <f>+'QTR Raw'!AR84</f>
        <v>1404.85</v>
      </c>
      <c r="BY162" s="23">
        <f t="shared" si="1305"/>
        <v>1404.85</v>
      </c>
      <c r="BZ162" s="23">
        <f>+'QTR Raw'!AT84</f>
        <v>1646.64</v>
      </c>
      <c r="CA162" s="23">
        <f t="shared" si="1305"/>
        <v>1646.64</v>
      </c>
      <c r="CB162" s="23">
        <f>+'QTR Raw'!AV84</f>
        <v>1944.05</v>
      </c>
      <c r="CC162" s="23">
        <f t="shared" si="1305"/>
        <v>1944.05</v>
      </c>
      <c r="CD162" s="23">
        <f>+'QTR Raw'!AX84</f>
        <v>1833.9</v>
      </c>
      <c r="CE162" s="23">
        <f t="shared" si="1305"/>
        <v>1833.9</v>
      </c>
      <c r="CF162" s="23">
        <f>+'QTR Raw'!AZ84</f>
        <v>2171.81</v>
      </c>
      <c r="CG162" s="23">
        <f t="shared" ref="CG162:CG163" si="1308">+CF162</f>
        <v>2171.81</v>
      </c>
      <c r="CH162" s="23">
        <f t="shared" si="1283"/>
        <v>363.87</v>
      </c>
      <c r="CI162" s="23">
        <f>CI26/90*CI197</f>
        <v>2630.1204695903152</v>
      </c>
      <c r="CJ162" s="23">
        <f>+'QTR Raw'!BD84</f>
        <v>2819.27</v>
      </c>
      <c r="CK162" s="24">
        <f t="shared" ref="CK162:DB162" si="1309">CK26/90*CK197</f>
        <v>4521.3834750268397</v>
      </c>
      <c r="CL162" s="23">
        <f>+'QTR Raw'!BF84</f>
        <v>2802.19</v>
      </c>
      <c r="CM162" s="24">
        <f t="shared" si="1309"/>
        <v>3266.1407700185978</v>
      </c>
      <c r="CN162" s="24">
        <f t="shared" si="1309"/>
        <v>1946.5587984197487</v>
      </c>
      <c r="CO162" s="24">
        <f t="shared" si="1309"/>
        <v>2546.4931758019407</v>
      </c>
      <c r="CP162" s="24">
        <f t="shared" si="1309"/>
        <v>4053.3240000000001</v>
      </c>
      <c r="CQ162" s="24">
        <f t="shared" si="1309"/>
        <v>3756.0618855213875</v>
      </c>
      <c r="CR162" s="24">
        <f t="shared" si="1309"/>
        <v>2238.5426181827111</v>
      </c>
      <c r="CS162" s="24">
        <f t="shared" si="1309"/>
        <v>2928.4671521722316</v>
      </c>
      <c r="CT162" s="24">
        <f t="shared" si="1309"/>
        <v>4661.3226000000004</v>
      </c>
      <c r="CU162" s="24">
        <f t="shared" si="1309"/>
        <v>4319.4711683495962</v>
      </c>
      <c r="CV162" s="24">
        <f t="shared" si="1309"/>
        <v>2574.3240109101175</v>
      </c>
      <c r="CW162" s="24">
        <f t="shared" si="1309"/>
        <v>3367.7372249980667</v>
      </c>
      <c r="CX162" s="24">
        <f t="shared" si="1309"/>
        <v>5360.5209900000009</v>
      </c>
      <c r="CY162" s="24">
        <f t="shared" si="1309"/>
        <v>4967.3918436020358</v>
      </c>
      <c r="CZ162" s="24">
        <f t="shared" si="1309"/>
        <v>2960.472612546635</v>
      </c>
      <c r="DA162" s="24">
        <f t="shared" si="1309"/>
        <v>3872.8978087477758</v>
      </c>
      <c r="DB162" s="24">
        <f t="shared" si="1309"/>
        <v>6164.5991385000007</v>
      </c>
      <c r="DE162" s="123"/>
      <c r="DF162" s="23">
        <v>7756.7983063595939</v>
      </c>
    </row>
    <row r="163" spans="1:110" s="23" customFormat="1" outlineLevel="1" x14ac:dyDescent="0.2">
      <c r="A163" s="23" t="s">
        <v>64</v>
      </c>
      <c r="B163" s="23">
        <f>'Annual Raw'!C80</f>
        <v>100.7343</v>
      </c>
      <c r="C163" s="23">
        <f>'Annual Raw'!D80</f>
        <v>96.366900000000001</v>
      </c>
      <c r="D163" s="23">
        <f>'Annual Raw'!E80</f>
        <v>117.76090000000001</v>
      </c>
      <c r="E163" s="23">
        <f>'Annual Raw'!F80</f>
        <v>112.72920000000001</v>
      </c>
      <c r="F163" s="23">
        <f>'Annual Raw'!G80</f>
        <v>114.5506</v>
      </c>
      <c r="G163" s="23">
        <f>'Annual Raw'!H80</f>
        <v>126.85209999999999</v>
      </c>
      <c r="H163" s="23">
        <f>'Annual Raw'!I80</f>
        <v>155.4605</v>
      </c>
      <c r="I163" s="23">
        <f>'Annual Raw'!J80</f>
        <v>129.73779999999999</v>
      </c>
      <c r="J163" s="23">
        <f>'Annual Raw'!K80</f>
        <v>220.3372</v>
      </c>
      <c r="K163" s="23">
        <f>'Annual Raw'!L80</f>
        <v>691.64660000000003</v>
      </c>
      <c r="L163" s="23">
        <f>'Annual Raw'!M80</f>
        <v>970.71079999999995</v>
      </c>
      <c r="M163" s="23">
        <f>'Annual Raw'!N80</f>
        <v>997.49450000000002</v>
      </c>
      <c r="N163" s="23">
        <f>'Annual Raw'!O80</f>
        <v>890.01599999999996</v>
      </c>
      <c r="O163" s="23">
        <f>'Annual Raw'!P80</f>
        <v>857.19880000000001</v>
      </c>
      <c r="P163" s="23">
        <f>'Annual Raw'!Q80</f>
        <v>788.11170000000004</v>
      </c>
      <c r="Q163" s="23">
        <f>'Annual Raw'!R80</f>
        <v>152.49080000000001</v>
      </c>
      <c r="R163" s="23">
        <f>'Annual Raw'!S80</f>
        <v>206.53</v>
      </c>
      <c r="S163" s="23">
        <f>'Annual Raw'!T80</f>
        <v>266.98</v>
      </c>
      <c r="T163" s="23">
        <f>'Annual Raw'!U80</f>
        <v>1090.6600000000001</v>
      </c>
      <c r="U163" s="23">
        <f>'Annual Raw'!V80</f>
        <v>1300.6199999999999</v>
      </c>
      <c r="V163" s="23">
        <f>'Annual Raw'!W80</f>
        <v>1301.96</v>
      </c>
      <c r="W163" s="23">
        <f>'Annual Raw'!X80</f>
        <v>989.9</v>
      </c>
      <c r="X163" s="23">
        <f>'Annual Raw'!Y80</f>
        <v>1439.2</v>
      </c>
      <c r="Y163" s="23">
        <f>'Annual Raw'!Z80</f>
        <v>1618.42</v>
      </c>
      <c r="Z163" s="23">
        <f>'Annual Raw'!AA80</f>
        <v>2490.48</v>
      </c>
      <c r="AA163" s="23">
        <f>'Annual Raw'!AB80</f>
        <v>2443.7199999999998</v>
      </c>
      <c r="AB163" s="24">
        <f t="shared" si="1301"/>
        <v>0</v>
      </c>
      <c r="AC163" s="24">
        <f t="shared" si="1302"/>
        <v>0</v>
      </c>
      <c r="AD163" s="24">
        <f t="shared" si="1303"/>
        <v>0</v>
      </c>
      <c r="AE163" s="24">
        <f t="shared" si="1304"/>
        <v>0</v>
      </c>
      <c r="AJ163" s="23">
        <f>+'QTR Raw'!D85</f>
        <v>179.72</v>
      </c>
      <c r="AK163" s="23">
        <f t="shared" si="1305"/>
        <v>179.72</v>
      </c>
      <c r="AL163" s="23">
        <f>+'QTR Raw'!F85</f>
        <v>184.48</v>
      </c>
      <c r="AM163" s="23">
        <f t="shared" si="1305"/>
        <v>184.48</v>
      </c>
      <c r="AN163" s="23">
        <f>+'QTR Raw'!H85</f>
        <v>181.96</v>
      </c>
      <c r="AO163" s="23">
        <f t="shared" si="1305"/>
        <v>181.96</v>
      </c>
      <c r="AP163" s="23">
        <f>+'QTR Raw'!J85</f>
        <v>187.58</v>
      </c>
      <c r="AQ163" s="23">
        <f t="shared" si="1305"/>
        <v>187.58</v>
      </c>
      <c r="AR163" s="23">
        <f>+'QTR Raw'!L85</f>
        <v>170.64</v>
      </c>
      <c r="AS163" s="23">
        <f t="shared" si="1305"/>
        <v>170.64</v>
      </c>
      <c r="AT163" s="23">
        <f>+'QTR Raw'!N85</f>
        <v>151.30000000000001</v>
      </c>
      <c r="AU163" s="23">
        <f t="shared" si="1305"/>
        <v>151.30000000000001</v>
      </c>
      <c r="AV163" s="23">
        <f>+'QTR Raw'!P85</f>
        <v>177.92</v>
      </c>
      <c r="AW163" s="23">
        <f t="shared" si="1305"/>
        <v>177.92</v>
      </c>
      <c r="AX163" s="23">
        <f>+'QTR Raw'!R85</f>
        <v>2.85</v>
      </c>
      <c r="AY163" s="23">
        <f t="shared" si="1305"/>
        <v>2.85</v>
      </c>
      <c r="AZ163" s="23">
        <f>+'QTR Raw'!T85</f>
        <v>0</v>
      </c>
      <c r="BA163" s="23">
        <f t="shared" si="1305"/>
        <v>0</v>
      </c>
      <c r="BB163" s="23">
        <f>+'QTR Raw'!V85</f>
        <v>2.74</v>
      </c>
      <c r="BC163" s="23">
        <f t="shared" si="1305"/>
        <v>2.74</v>
      </c>
      <c r="BD163" s="23">
        <f>+'QTR Raw'!X85</f>
        <v>3.04</v>
      </c>
      <c r="BE163" s="23">
        <f t="shared" si="1305"/>
        <v>3.04</v>
      </c>
      <c r="BF163" s="23">
        <f>+'QTR Raw'!Z85</f>
        <v>4.32</v>
      </c>
      <c r="BG163" s="23">
        <f t="shared" si="1305"/>
        <v>4.32</v>
      </c>
      <c r="BH163" s="23">
        <f>+'QTR Raw'!AB85</f>
        <v>10.14</v>
      </c>
      <c r="BI163" s="23">
        <f t="shared" si="1305"/>
        <v>10.14</v>
      </c>
      <c r="BJ163" s="23">
        <f>+'QTR Raw'!AD85</f>
        <v>11.33</v>
      </c>
      <c r="BK163" s="23">
        <f t="shared" si="1305"/>
        <v>11.33</v>
      </c>
      <c r="BL163" s="23">
        <f>+'QTR Raw'!AF85</f>
        <v>1.25</v>
      </c>
      <c r="BM163" s="23">
        <f t="shared" si="1305"/>
        <v>1.25</v>
      </c>
      <c r="BN163" s="23">
        <f>+'QTR Raw'!AH85</f>
        <v>2.04</v>
      </c>
      <c r="BO163" s="23">
        <f t="shared" si="1305"/>
        <v>2.04</v>
      </c>
      <c r="BP163" s="23">
        <f>+'QTR Raw'!AJ85</f>
        <v>2.14</v>
      </c>
      <c r="BQ163" s="23">
        <f t="shared" si="1305"/>
        <v>2.14</v>
      </c>
      <c r="BR163" s="23">
        <f>+'QTR Raw'!AL85</f>
        <v>2.13</v>
      </c>
      <c r="BS163" s="23">
        <f t="shared" si="1305"/>
        <v>2.13</v>
      </c>
      <c r="BT163" s="23">
        <f>+'QTR Raw'!AN85</f>
        <v>1.98</v>
      </c>
      <c r="BU163" s="23">
        <f t="shared" si="1305"/>
        <v>1.98</v>
      </c>
      <c r="BV163" s="23">
        <f>+'QTR Raw'!AP85</f>
        <v>3.09</v>
      </c>
      <c r="BW163" s="23">
        <f t="shared" si="1305"/>
        <v>3.09</v>
      </c>
      <c r="BX163" s="23">
        <f>+'QTR Raw'!AR85</f>
        <v>1.31</v>
      </c>
      <c r="BY163" s="23">
        <f t="shared" si="1305"/>
        <v>1.31</v>
      </c>
      <c r="BZ163" s="23">
        <f>+'QTR Raw'!AT85</f>
        <v>0.49</v>
      </c>
      <c r="CA163" s="23">
        <f t="shared" si="1305"/>
        <v>0.49</v>
      </c>
      <c r="CB163" s="23">
        <f>+'QTR Raw'!AV85</f>
        <v>0.4</v>
      </c>
      <c r="CC163" s="23">
        <f t="shared" si="1305"/>
        <v>0.4</v>
      </c>
      <c r="CD163" s="23">
        <f>+'QTR Raw'!AX85</f>
        <v>1.27</v>
      </c>
      <c r="CE163" s="23">
        <f t="shared" si="1305"/>
        <v>1.27</v>
      </c>
      <c r="CF163" s="23">
        <f>+'QTR Raw'!AZ85</f>
        <v>0.88</v>
      </c>
      <c r="CG163" s="23">
        <f t="shared" si="1308"/>
        <v>0.88</v>
      </c>
      <c r="CH163" s="23">
        <f t="shared" si="1283"/>
        <v>2490.48</v>
      </c>
      <c r="CJ163" s="23">
        <f>+'QTR Raw'!BD85</f>
        <v>1.1100000000000001</v>
      </c>
      <c r="CK163" s="24"/>
      <c r="CL163" s="23">
        <f>+'QTR Raw'!BF85</f>
        <v>1.19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1.19</v>
      </c>
    </row>
    <row r="164" spans="1:110" s="22" customFormat="1" x14ac:dyDescent="0.2">
      <c r="A164" s="22" t="s">
        <v>65</v>
      </c>
      <c r="B164" s="22">
        <f>SUM(B158:B163)</f>
        <v>427.50140000000005</v>
      </c>
      <c r="C164" s="22">
        <f t="shared" ref="C164:V164" si="1310">SUM(C158:C163)</f>
        <v>470.5326</v>
      </c>
      <c r="D164" s="22">
        <f t="shared" si="1310"/>
        <v>626.42259999999999</v>
      </c>
      <c r="E164" s="22">
        <f t="shared" si="1310"/>
        <v>678.23320000000001</v>
      </c>
      <c r="F164" s="22">
        <f t="shared" si="1310"/>
        <v>780.04399999999998</v>
      </c>
      <c r="G164" s="22">
        <f t="shared" si="1310"/>
        <v>886.78099999999995</v>
      </c>
      <c r="H164" s="22">
        <f t="shared" si="1310"/>
        <v>1173.2313999999999</v>
      </c>
      <c r="I164" s="22">
        <f t="shared" si="1310"/>
        <v>1362.855</v>
      </c>
      <c r="J164" s="22">
        <f t="shared" si="1310"/>
        <v>2291.8118999999997</v>
      </c>
      <c r="K164" s="22">
        <f t="shared" si="1310"/>
        <v>2356.0164</v>
      </c>
      <c r="L164" s="22">
        <f>SUM(L158:L163)</f>
        <v>3058.4765000000002</v>
      </c>
      <c r="M164" s="22">
        <f>SUM(M158:M163)</f>
        <v>3255.7954</v>
      </c>
      <c r="N164" s="22">
        <f t="shared" si="1310"/>
        <v>3485.1465000000003</v>
      </c>
      <c r="O164" s="22">
        <f t="shared" si="1310"/>
        <v>3415.6786000000002</v>
      </c>
      <c r="P164" s="22">
        <f t="shared" si="1310"/>
        <v>3232.7360999999996</v>
      </c>
      <c r="Q164" s="22">
        <f t="shared" si="1310"/>
        <v>3400.7863999999995</v>
      </c>
      <c r="R164" s="22">
        <f t="shared" si="1310"/>
        <v>3549.32</v>
      </c>
      <c r="S164" s="22">
        <f t="shared" si="1310"/>
        <v>3953.3</v>
      </c>
      <c r="T164" s="22">
        <f t="shared" si="1310"/>
        <v>4350.42</v>
      </c>
      <c r="U164" s="22">
        <f t="shared" si="1310"/>
        <v>5024.82</v>
      </c>
      <c r="V164" s="22">
        <f t="shared" si="1310"/>
        <v>4697.7000000000007</v>
      </c>
      <c r="W164" s="22">
        <f t="shared" ref="W164" si="1311">SUM(W158:W163)</f>
        <v>5072.3</v>
      </c>
      <c r="X164" s="22">
        <f t="shared" ref="X164:Y164" si="1312">SUM(X158:X163)</f>
        <v>5803.51</v>
      </c>
      <c r="Y164" s="22">
        <f t="shared" si="1312"/>
        <v>6718.6</v>
      </c>
      <c r="Z164" s="22">
        <f t="shared" ref="Z164:AA164" si="1313">SUM(Z158:Z163)</f>
        <v>8130.3700000000008</v>
      </c>
      <c r="AA164" s="22">
        <f t="shared" si="1313"/>
        <v>9813.98</v>
      </c>
      <c r="AB164" s="21">
        <f t="shared" ref="AA164:AD164" si="1314">SUM(AB158:AB163)</f>
        <v>11814.683999999999</v>
      </c>
      <c r="AC164" s="21">
        <f t="shared" si="1314"/>
        <v>13586.886599999998</v>
      </c>
      <c r="AD164" s="21">
        <f t="shared" si="1314"/>
        <v>15624.919590000001</v>
      </c>
      <c r="AE164" s="21">
        <f t="shared" ref="AE164" si="1315">SUM(AE158:AE163)</f>
        <v>17968.6575285</v>
      </c>
      <c r="AJ164" s="22">
        <f t="shared" ref="AJ164" si="1316">SUM(AJ158:AJ163)</f>
        <v>3347.9900000000002</v>
      </c>
      <c r="AK164" s="22">
        <f t="shared" ref="AK164" si="1317">SUM(AK158:AK163)</f>
        <v>3327.3594741904176</v>
      </c>
      <c r="AL164" s="22">
        <f t="shared" ref="AL164:AM164" si="1318">SUM(AL158:AL163)</f>
        <v>3485.15</v>
      </c>
      <c r="AM164" s="22">
        <f t="shared" si="1318"/>
        <v>3494.2199539793751</v>
      </c>
      <c r="AN164" s="22">
        <f t="shared" ref="AN164:AO164" si="1319">SUM(AN158:AN163)</f>
        <v>3091.54</v>
      </c>
      <c r="AO164" s="22">
        <f t="shared" si="1319"/>
        <v>3163.0649297104205</v>
      </c>
      <c r="AP164" s="22">
        <f t="shared" ref="AP164:CE164" si="1320">SUM(AP158:AP163)</f>
        <v>3415.68</v>
      </c>
      <c r="AQ164" s="22">
        <f t="shared" si="1320"/>
        <v>3865.9184174978291</v>
      </c>
      <c r="AR164" s="22">
        <f t="shared" si="1320"/>
        <v>3207.6299999999997</v>
      </c>
      <c r="AS164" s="22">
        <f t="shared" si="1320"/>
        <v>3140.5440425531915</v>
      </c>
      <c r="AT164" s="22">
        <f t="shared" si="1320"/>
        <v>3232.75</v>
      </c>
      <c r="AU164" s="22">
        <f t="shared" si="1320"/>
        <v>3334.1383859406565</v>
      </c>
      <c r="AV164" s="22">
        <f t="shared" si="1320"/>
        <v>3277.84</v>
      </c>
      <c r="AW164" s="22">
        <f t="shared" si="1320"/>
        <v>3706.4333794473951</v>
      </c>
      <c r="AX164" s="22">
        <f t="shared" si="1320"/>
        <v>3400.7999999999997</v>
      </c>
      <c r="AY164" s="22">
        <f t="shared" si="1320"/>
        <v>3385.8463098918078</v>
      </c>
      <c r="AZ164" s="22">
        <f t="shared" si="1320"/>
        <v>3070.05</v>
      </c>
      <c r="BA164" s="22">
        <f t="shared" si="1320"/>
        <v>3369.6932596336073</v>
      </c>
      <c r="BB164" s="22">
        <f t="shared" si="1320"/>
        <v>3549.3199999999997</v>
      </c>
      <c r="BC164" s="22">
        <f t="shared" si="1320"/>
        <v>3418.9574852545347</v>
      </c>
      <c r="BD164" s="22">
        <f t="shared" si="1320"/>
        <v>3333.31</v>
      </c>
      <c r="BE164" s="22">
        <f t="shared" si="1320"/>
        <v>3977.4587413066329</v>
      </c>
      <c r="BF164" s="22">
        <f t="shared" si="1320"/>
        <v>3953.3</v>
      </c>
      <c r="BG164" s="22">
        <f t="shared" si="1320"/>
        <v>4069.3116051220964</v>
      </c>
      <c r="BH164" s="22">
        <f t="shared" si="1320"/>
        <v>4393.7500000000009</v>
      </c>
      <c r="BI164" s="22">
        <f t="shared" si="1320"/>
        <v>4520.2668010919124</v>
      </c>
      <c r="BJ164" s="22">
        <f t="shared" si="1320"/>
        <v>4350.42</v>
      </c>
      <c r="BK164" s="22">
        <f t="shared" si="1320"/>
        <v>5179.7216146671581</v>
      </c>
      <c r="BL164" s="22">
        <f t="shared" si="1320"/>
        <v>4088.93</v>
      </c>
      <c r="BM164" s="22">
        <f t="shared" si="1320"/>
        <v>4210.0003751916393</v>
      </c>
      <c r="BN164" s="22">
        <f t="shared" si="1320"/>
        <v>5037.8499999999995</v>
      </c>
      <c r="BO164" s="22">
        <f t="shared" si="1320"/>
        <v>3787.4578965654214</v>
      </c>
      <c r="BP164" s="22">
        <f t="shared" si="1320"/>
        <v>4547.5999999999995</v>
      </c>
      <c r="BQ164" s="22">
        <f t="shared" si="1320"/>
        <v>5229.351381671152</v>
      </c>
      <c r="BR164" s="22">
        <f t="shared" si="1320"/>
        <v>4710.9900000000007</v>
      </c>
      <c r="BS164" s="22">
        <f t="shared" si="1320"/>
        <v>3704.3918600423885</v>
      </c>
      <c r="BT164" s="22">
        <f t="shared" si="1320"/>
        <v>4375.41</v>
      </c>
      <c r="BU164" s="22">
        <f t="shared" si="1320"/>
        <v>4561.4927192909736</v>
      </c>
      <c r="BV164" s="22">
        <f t="shared" si="1320"/>
        <v>5092.7300000000005</v>
      </c>
      <c r="BW164" s="22">
        <f t="shared" si="1320"/>
        <v>5236.1575008437776</v>
      </c>
      <c r="BX164" s="22">
        <f t="shared" si="1320"/>
        <v>5058.18</v>
      </c>
      <c r="BY164" s="22">
        <f t="shared" si="1320"/>
        <v>5509.0389865751322</v>
      </c>
      <c r="BZ164" s="22">
        <f t="shared" si="1320"/>
        <v>5839.2</v>
      </c>
      <c r="CA164" s="22">
        <f t="shared" si="1320"/>
        <v>6354.9962964015149</v>
      </c>
      <c r="CB164" s="22">
        <f t="shared" si="1320"/>
        <v>5470.7999999999993</v>
      </c>
      <c r="CC164" s="22">
        <f t="shared" si="1320"/>
        <v>5922.8549723258093</v>
      </c>
      <c r="CD164" s="22">
        <f t="shared" si="1320"/>
        <v>6753.35</v>
      </c>
      <c r="CE164" s="22">
        <f t="shared" si="1320"/>
        <v>7528.3567612208772</v>
      </c>
      <c r="CF164" s="22">
        <f t="shared" ref="CF164:CG164" si="1321">SUM(CF158:CF163)</f>
        <v>6502.53</v>
      </c>
      <c r="CG164" s="22">
        <f t="shared" si="1321"/>
        <v>7246.8469855408903</v>
      </c>
      <c r="CH164" s="22">
        <f t="shared" ref="CH164:CI164" si="1322">SUM(CH158:CH163)</f>
        <v>8130.3700000000008</v>
      </c>
      <c r="CI164" s="22">
        <f t="shared" si="1322"/>
        <v>6716.6669479985576</v>
      </c>
      <c r="CJ164" s="22">
        <f t="shared" ref="CJ164:DB164" si="1323">SUM(CJ158:CJ163)</f>
        <v>8361.24</v>
      </c>
      <c r="CK164" s="21">
        <f t="shared" si="1323"/>
        <v>10938.195454731354</v>
      </c>
      <c r="CL164" s="22">
        <f t="shared" ref="CL164" si="1324">SUM(CL158:CL163)</f>
        <v>9845.57</v>
      </c>
      <c r="CM164" s="21">
        <f t="shared" si="1323"/>
        <v>9520.1916001006593</v>
      </c>
      <c r="CN164" s="21">
        <f t="shared" si="1323"/>
        <v>5673.8560970573853</v>
      </c>
      <c r="CO164" s="21">
        <f t="shared" si="1323"/>
        <v>7422.5529911392168</v>
      </c>
      <c r="CP164" s="21">
        <f t="shared" si="1323"/>
        <v>11814.683999999999</v>
      </c>
      <c r="CQ164" s="21">
        <f t="shared" si="1323"/>
        <v>10948.220340115759</v>
      </c>
      <c r="CR164" s="21">
        <f t="shared" si="1323"/>
        <v>6524.934511615993</v>
      </c>
      <c r="CS164" s="21">
        <f t="shared" si="1323"/>
        <v>8535.9359398100987</v>
      </c>
      <c r="CT164" s="21">
        <f t="shared" si="1323"/>
        <v>13586.886599999998</v>
      </c>
      <c r="CU164" s="21">
        <f t="shared" si="1323"/>
        <v>12590.453391133124</v>
      </c>
      <c r="CV164" s="21">
        <f t="shared" si="1323"/>
        <v>7503.674688358391</v>
      </c>
      <c r="CW164" s="21">
        <f t="shared" si="1323"/>
        <v>9816.3263307816142</v>
      </c>
      <c r="CX164" s="21">
        <f t="shared" si="1323"/>
        <v>15624.919590000001</v>
      </c>
      <c r="CY164" s="21">
        <f t="shared" si="1323"/>
        <v>14479.021399803092</v>
      </c>
      <c r="CZ164" s="21">
        <f t="shared" si="1323"/>
        <v>8629.22589161215</v>
      </c>
      <c r="DA164" s="21">
        <f t="shared" si="1323"/>
        <v>11288.775280398853</v>
      </c>
      <c r="DB164" s="21">
        <f t="shared" si="1323"/>
        <v>17968.6575285</v>
      </c>
      <c r="DE164" s="126"/>
      <c r="DF164" s="22">
        <v>18765.357206819695</v>
      </c>
    </row>
    <row r="165" spans="1:110" s="23" customFormat="1" outlineLevel="1" x14ac:dyDescent="0.2">
      <c r="A165" s="23" t="s">
        <v>66</v>
      </c>
      <c r="B165" s="23">
        <f>'Annual Raw'!C50+'Annual Raw'!C58</f>
        <v>0</v>
      </c>
      <c r="C165" s="23">
        <f>'Annual Raw'!D50+'Annual Raw'!D58</f>
        <v>0</v>
      </c>
      <c r="D165" s="23">
        <f>'Annual Raw'!E50+'Annual Raw'!E58</f>
        <v>0</v>
      </c>
      <c r="E165" s="23">
        <f>'Annual Raw'!F50+'Annual Raw'!F58</f>
        <v>0</v>
      </c>
      <c r="F165" s="23">
        <f>'Annual Raw'!G50+'Annual Raw'!G58</f>
        <v>0</v>
      </c>
      <c r="G165" s="23">
        <f>'Annual Raw'!H50+'Annual Raw'!H58</f>
        <v>0</v>
      </c>
      <c r="H165" s="23">
        <f>'Annual Raw'!I50+'Annual Raw'!I58</f>
        <v>0</v>
      </c>
      <c r="I165" s="23">
        <f>'Annual Raw'!J50+'Annual Raw'!J58</f>
        <v>0</v>
      </c>
      <c r="J165" s="23">
        <f>'Annual Raw'!K50+'Annual Raw'!K58</f>
        <v>0</v>
      </c>
      <c r="K165" s="23">
        <f>'Annual Raw'!L50+'Annual Raw'!L58</f>
        <v>0</v>
      </c>
      <c r="L165" s="23">
        <f>'Annual Raw'!M50+'Annual Raw'!M58</f>
        <v>0.73319999999999996</v>
      </c>
      <c r="M165" s="23">
        <f>'Annual Raw'!N50+'Annual Raw'!N58</f>
        <v>0.97629999999999995</v>
      </c>
      <c r="N165" s="23">
        <f>'Annual Raw'!O50+'Annual Raw'!O58</f>
        <v>0.48110000000000003</v>
      </c>
      <c r="O165" s="23">
        <f>'Annual Raw'!P50+'Annual Raw'!P58</f>
        <v>0.75280000000000002</v>
      </c>
      <c r="P165" s="23">
        <f>'Annual Raw'!Q50+'Annual Raw'!Q58</f>
        <v>0.81140000000000001</v>
      </c>
      <c r="Q165" s="23">
        <f>'Annual Raw'!R50+'Annual Raw'!R58</f>
        <v>0.80300000000000005</v>
      </c>
      <c r="R165" s="23">
        <f>'Annual Raw'!S50+'Annual Raw'!S58</f>
        <v>0.2</v>
      </c>
      <c r="S165" s="23">
        <f>'Annual Raw'!T50+'Annual Raw'!T58</f>
        <v>0.97</v>
      </c>
      <c r="T165" s="23">
        <f>'Annual Raw'!U50+'Annual Raw'!U58</f>
        <v>0.7</v>
      </c>
      <c r="U165" s="23">
        <f>'Annual Raw'!V50+'Annual Raw'!V58</f>
        <v>31.25</v>
      </c>
      <c r="V165" s="23">
        <f>'Annual Raw'!W50+'Annual Raw'!W58</f>
        <v>26.37</v>
      </c>
      <c r="W165" s="23">
        <f>'Annual Raw'!X50+'Annual Raw'!X58</f>
        <v>24.72</v>
      </c>
      <c r="X165" s="23">
        <f>'Annual Raw'!Y50+'Annual Raw'!Y58</f>
        <v>47.35</v>
      </c>
      <c r="Y165" s="23">
        <f>'Annual Raw'!Z50+'Annual Raw'!Z58</f>
        <v>39.82</v>
      </c>
      <c r="Z165" s="23">
        <f>'Annual Raw'!AA50+'Annual Raw'!AA58</f>
        <v>70.41</v>
      </c>
      <c r="AA165" s="23">
        <f>'Annual Raw'!AB50+'Annual Raw'!AB58</f>
        <v>71</v>
      </c>
      <c r="AB165" s="24">
        <f t="shared" ref="AB165:AB171" si="1325">+CP165</f>
        <v>0</v>
      </c>
      <c r="AC165" s="24">
        <f t="shared" ref="AC165:AC171" si="1326">+CT165</f>
        <v>0</v>
      </c>
      <c r="AD165" s="24">
        <f t="shared" ref="AD165:AD171" si="1327">+CX165</f>
        <v>0</v>
      </c>
      <c r="AE165" s="24">
        <f t="shared" ref="AE165:AE171" si="1328">+DB165</f>
        <v>0</v>
      </c>
      <c r="AJ165" s="23">
        <f>+'QTR Raw'!D64</f>
        <v>32.840000000000003</v>
      </c>
      <c r="AK165" s="23">
        <f t="shared" ref="AK165:CE171" si="1329">+AJ165</f>
        <v>32.840000000000003</v>
      </c>
      <c r="AL165" s="23">
        <f>+'QTR Raw'!F64</f>
        <v>27.96</v>
      </c>
      <c r="AM165" s="23">
        <f t="shared" si="1329"/>
        <v>27.96</v>
      </c>
      <c r="AN165" s="23">
        <f>+'QTR Raw'!H64</f>
        <v>36.78</v>
      </c>
      <c r="AO165" s="23">
        <f t="shared" si="1329"/>
        <v>36.78</v>
      </c>
      <c r="AP165" s="23">
        <f>+'QTR Raw'!J64</f>
        <v>29.87</v>
      </c>
      <c r="AQ165" s="23">
        <f t="shared" si="1329"/>
        <v>29.87</v>
      </c>
      <c r="AR165" s="23">
        <f>+'QTR Raw'!L64</f>
        <v>38.590000000000003</v>
      </c>
      <c r="AS165" s="23">
        <f t="shared" si="1329"/>
        <v>38.590000000000003</v>
      </c>
      <c r="AT165" s="23">
        <f>+'QTR Raw'!N64</f>
        <v>20.170000000000002</v>
      </c>
      <c r="AU165" s="23">
        <f t="shared" si="1329"/>
        <v>20.170000000000002</v>
      </c>
      <c r="AV165" s="23">
        <f>+'QTR Raw'!P64</f>
        <v>28.07</v>
      </c>
      <c r="AW165" s="23">
        <f t="shared" si="1329"/>
        <v>28.07</v>
      </c>
      <c r="AX165" s="23">
        <f>+'QTR Raw'!R64</f>
        <v>0.8</v>
      </c>
      <c r="AY165" s="23">
        <f t="shared" si="1329"/>
        <v>0.8</v>
      </c>
      <c r="AZ165" s="23">
        <f>+'QTR Raw'!T64</f>
        <v>35.299999999999997</v>
      </c>
      <c r="BA165" s="23">
        <f t="shared" si="1329"/>
        <v>35.299999999999997</v>
      </c>
      <c r="BB165" s="23">
        <f>+'QTR Raw'!V64</f>
        <v>0.2</v>
      </c>
      <c r="BC165" s="23">
        <f t="shared" si="1329"/>
        <v>0.2</v>
      </c>
      <c r="BD165" s="23">
        <f>+'QTR Raw'!X64</f>
        <v>1.17</v>
      </c>
      <c r="BE165" s="23">
        <f t="shared" si="1329"/>
        <v>1.17</v>
      </c>
      <c r="BF165" s="23">
        <f>+'QTR Raw'!Z64</f>
        <v>0.97</v>
      </c>
      <c r="BG165" s="23">
        <f t="shared" si="1329"/>
        <v>0.97</v>
      </c>
      <c r="BH165" s="23">
        <f>+'QTR Raw'!AB64</f>
        <v>1.01</v>
      </c>
      <c r="BI165" s="23">
        <f t="shared" si="1329"/>
        <v>1.01</v>
      </c>
      <c r="BJ165" s="23">
        <f>+'QTR Raw'!AD64</f>
        <v>0.7</v>
      </c>
      <c r="BK165" s="23">
        <f t="shared" si="1329"/>
        <v>0.7</v>
      </c>
      <c r="BL165" s="23">
        <f>+'QTR Raw'!AF64</f>
        <v>24.49</v>
      </c>
      <c r="BM165" s="23">
        <f t="shared" si="1329"/>
        <v>24.49</v>
      </c>
      <c r="BN165" s="23">
        <f>+'QTR Raw'!AH64</f>
        <v>31.25</v>
      </c>
      <c r="BO165" s="23">
        <f t="shared" si="1329"/>
        <v>31.25</v>
      </c>
      <c r="BP165" s="23">
        <f>+'QTR Raw'!AJ64</f>
        <v>29.03</v>
      </c>
      <c r="BQ165" s="23">
        <f t="shared" si="1329"/>
        <v>29.03</v>
      </c>
      <c r="BR165" s="23">
        <f>+'QTR Raw'!AL64</f>
        <v>32.03</v>
      </c>
      <c r="BS165" s="23">
        <f t="shared" si="1329"/>
        <v>32.03</v>
      </c>
      <c r="BT165" s="23">
        <f>+'QTR Raw'!AN64</f>
        <v>32.96</v>
      </c>
      <c r="BU165" s="23">
        <f t="shared" si="1329"/>
        <v>32.96</v>
      </c>
      <c r="BV165" s="23">
        <f>+'QTR Raw'!AP64</f>
        <v>37.4</v>
      </c>
      <c r="BW165" s="23">
        <f t="shared" si="1329"/>
        <v>37.4</v>
      </c>
      <c r="BX165" s="23">
        <f>+'QTR Raw'!AR64</f>
        <v>42.42</v>
      </c>
      <c r="BY165" s="23">
        <f t="shared" si="1329"/>
        <v>42.42</v>
      </c>
      <c r="BZ165" s="23">
        <f>+'QTR Raw'!AT64</f>
        <v>47.35</v>
      </c>
      <c r="CA165" s="23">
        <f t="shared" si="1329"/>
        <v>47.35</v>
      </c>
      <c r="CB165" s="23">
        <f>+'QTR Raw'!AV64</f>
        <v>44.63</v>
      </c>
      <c r="CC165" s="23">
        <f t="shared" si="1329"/>
        <v>44.63</v>
      </c>
      <c r="CD165" s="23">
        <f>+'QTR Raw'!AX64</f>
        <v>39.82</v>
      </c>
      <c r="CE165" s="23">
        <f t="shared" si="1329"/>
        <v>39.82</v>
      </c>
      <c r="CF165" s="23">
        <f>+'QTR Raw'!AZ64</f>
        <v>72.52</v>
      </c>
      <c r="CG165" s="23">
        <f t="shared" ref="CG165:CG168" si="1330">+CF165</f>
        <v>72.52</v>
      </c>
      <c r="CH165" s="23">
        <f t="shared" si="1283"/>
        <v>70.41</v>
      </c>
      <c r="CJ165" s="23">
        <f>+'QTR Raw'!BD64</f>
        <v>91.26</v>
      </c>
      <c r="CK165" s="24"/>
      <c r="CL165" s="23">
        <f>+'QTR Raw'!BF64</f>
        <v>71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71</v>
      </c>
    </row>
    <row r="166" spans="1:110" s="23" customFormat="1" outlineLevel="1" x14ac:dyDescent="0.2">
      <c r="A166" s="23" t="s">
        <v>67</v>
      </c>
      <c r="B166" s="23">
        <f>'Annual Raw'!C51</f>
        <v>0</v>
      </c>
      <c r="C166" s="23">
        <f>'Annual Raw'!D51</f>
        <v>0</v>
      </c>
      <c r="D166" s="23">
        <f>'Annual Raw'!E51</f>
        <v>0</v>
      </c>
      <c r="E166" s="23">
        <f>'Annual Raw'!F51</f>
        <v>0</v>
      </c>
      <c r="F166" s="23">
        <f>'Annual Raw'!G51</f>
        <v>0</v>
      </c>
      <c r="G166" s="23">
        <f>'Annual Raw'!H51</f>
        <v>0</v>
      </c>
      <c r="H166" s="23">
        <f>'Annual Raw'!I51</f>
        <v>0</v>
      </c>
      <c r="I166" s="23">
        <f>'Annual Raw'!J51</f>
        <v>0</v>
      </c>
      <c r="J166" s="23">
        <f>'Annual Raw'!K51</f>
        <v>0</v>
      </c>
      <c r="K166" s="23">
        <f>'Annual Raw'!L51</f>
        <v>0</v>
      </c>
      <c r="L166" s="23">
        <f>'Annual Raw'!M51</f>
        <v>13.457800000000001</v>
      </c>
      <c r="M166" s="23">
        <f>'Annual Raw'!N51</f>
        <v>19.349</v>
      </c>
      <c r="N166" s="23">
        <f>'Annual Raw'!O51</f>
        <v>27.4786</v>
      </c>
      <c r="O166" s="23">
        <f>'Annual Raw'!P51</f>
        <v>29.120100000000001</v>
      </c>
      <c r="P166" s="23">
        <f>'Annual Raw'!Q51</f>
        <v>19.360600000000002</v>
      </c>
      <c r="Q166" s="23">
        <f>'Annual Raw'!R51</f>
        <v>0</v>
      </c>
      <c r="R166" s="23">
        <f>'Annual Raw'!S51</f>
        <v>0</v>
      </c>
      <c r="S166" s="23">
        <f>'Annual Raw'!T51</f>
        <v>0</v>
      </c>
      <c r="T166" s="23">
        <f>'Annual Raw'!U51</f>
        <v>0</v>
      </c>
      <c r="U166" s="23">
        <f>'Annual Raw'!V51</f>
        <v>0</v>
      </c>
      <c r="V166" s="23">
        <f>'Annual Raw'!W51</f>
        <v>0</v>
      </c>
      <c r="W166" s="23">
        <f>'Annual Raw'!X51</f>
        <v>0</v>
      </c>
      <c r="X166" s="23">
        <f>'Annual Raw'!Y51</f>
        <v>0</v>
      </c>
      <c r="Y166" s="23">
        <f>'Annual Raw'!Z51</f>
        <v>0</v>
      </c>
      <c r="Z166" s="23">
        <f>'Annual Raw'!AA51</f>
        <v>0</v>
      </c>
      <c r="AA166" s="23">
        <f>'Annual Raw'!AB51</f>
        <v>0</v>
      </c>
      <c r="AB166" s="24">
        <f t="shared" si="1325"/>
        <v>0</v>
      </c>
      <c r="AC166" s="24">
        <f t="shared" si="1326"/>
        <v>0</v>
      </c>
      <c r="AD166" s="24">
        <f t="shared" si="1327"/>
        <v>0</v>
      </c>
      <c r="AE166" s="24">
        <f t="shared" si="1328"/>
        <v>0</v>
      </c>
      <c r="AJ166" s="23">
        <f>+'QTR Raw'!D65</f>
        <v>0</v>
      </c>
      <c r="AK166" s="23">
        <f t="shared" si="1329"/>
        <v>0</v>
      </c>
      <c r="AL166" s="23">
        <f>+'QTR Raw'!F65</f>
        <v>0</v>
      </c>
      <c r="AM166" s="23">
        <f t="shared" si="1329"/>
        <v>0</v>
      </c>
      <c r="AN166" s="23">
        <f>+'QTR Raw'!H65</f>
        <v>0</v>
      </c>
      <c r="AO166" s="23">
        <f t="shared" si="1329"/>
        <v>0</v>
      </c>
      <c r="AP166" s="23">
        <f>+'QTR Raw'!J65</f>
        <v>0</v>
      </c>
      <c r="AQ166" s="23">
        <f t="shared" si="1329"/>
        <v>0</v>
      </c>
      <c r="AR166" s="23">
        <f>+'QTR Raw'!L65</f>
        <v>0</v>
      </c>
      <c r="AS166" s="23">
        <f t="shared" si="1329"/>
        <v>0</v>
      </c>
      <c r="AT166" s="23">
        <f>+'QTR Raw'!N65</f>
        <v>0</v>
      </c>
      <c r="AU166" s="23">
        <f t="shared" si="1329"/>
        <v>0</v>
      </c>
      <c r="AV166" s="23">
        <f>+'QTR Raw'!P65</f>
        <v>0</v>
      </c>
      <c r="AW166" s="23">
        <f t="shared" si="1329"/>
        <v>0</v>
      </c>
      <c r="AX166" s="23">
        <f>+'QTR Raw'!R65</f>
        <v>0</v>
      </c>
      <c r="AY166" s="23">
        <f t="shared" si="1329"/>
        <v>0</v>
      </c>
      <c r="AZ166" s="23">
        <f>+'QTR Raw'!T65</f>
        <v>0</v>
      </c>
      <c r="BA166" s="23">
        <f t="shared" si="1329"/>
        <v>0</v>
      </c>
      <c r="BB166" s="23">
        <f>+'QTR Raw'!V65</f>
        <v>0</v>
      </c>
      <c r="BC166" s="23">
        <f t="shared" si="1329"/>
        <v>0</v>
      </c>
      <c r="BD166" s="23">
        <f>+'QTR Raw'!X65</f>
        <v>0</v>
      </c>
      <c r="BE166" s="23">
        <f t="shared" si="1329"/>
        <v>0</v>
      </c>
      <c r="BF166" s="23">
        <f>+'QTR Raw'!Z65</f>
        <v>0</v>
      </c>
      <c r="BG166" s="23">
        <f t="shared" si="1329"/>
        <v>0</v>
      </c>
      <c r="BH166" s="23">
        <f>+'QTR Raw'!AB65</f>
        <v>0</v>
      </c>
      <c r="BI166" s="23">
        <f t="shared" si="1329"/>
        <v>0</v>
      </c>
      <c r="BJ166" s="23">
        <f>+'QTR Raw'!AD65</f>
        <v>0</v>
      </c>
      <c r="BK166" s="23">
        <f t="shared" si="1329"/>
        <v>0</v>
      </c>
      <c r="BL166" s="23">
        <f>+'QTR Raw'!AF65</f>
        <v>0</v>
      </c>
      <c r="BM166" s="23">
        <f t="shared" si="1329"/>
        <v>0</v>
      </c>
      <c r="BN166" s="23">
        <f>+'QTR Raw'!AH65</f>
        <v>0</v>
      </c>
      <c r="BO166" s="23">
        <f t="shared" si="1329"/>
        <v>0</v>
      </c>
      <c r="BP166" s="23">
        <f>+'QTR Raw'!AJ65</f>
        <v>0</v>
      </c>
      <c r="BQ166" s="23">
        <f t="shared" si="1329"/>
        <v>0</v>
      </c>
      <c r="BR166" s="23">
        <f>+'QTR Raw'!AL65</f>
        <v>0</v>
      </c>
      <c r="BS166" s="23">
        <f t="shared" si="1329"/>
        <v>0</v>
      </c>
      <c r="BT166" s="23">
        <f>+'QTR Raw'!AN65</f>
        <v>0</v>
      </c>
      <c r="BU166" s="23">
        <f t="shared" si="1329"/>
        <v>0</v>
      </c>
      <c r="BV166" s="23">
        <f>+'QTR Raw'!AP65</f>
        <v>0</v>
      </c>
      <c r="BW166" s="23">
        <f t="shared" si="1329"/>
        <v>0</v>
      </c>
      <c r="BX166" s="23">
        <f>+'QTR Raw'!AR65</f>
        <v>0</v>
      </c>
      <c r="BY166" s="23">
        <f t="shared" si="1329"/>
        <v>0</v>
      </c>
      <c r="BZ166" s="23">
        <f>+'QTR Raw'!AT65</f>
        <v>0</v>
      </c>
      <c r="CA166" s="23">
        <f t="shared" si="1329"/>
        <v>0</v>
      </c>
      <c r="CB166" s="23">
        <f>+'QTR Raw'!AV65</f>
        <v>0</v>
      </c>
      <c r="CC166" s="23">
        <f t="shared" si="1329"/>
        <v>0</v>
      </c>
      <c r="CD166" s="23">
        <f>+'QTR Raw'!AX65</f>
        <v>0</v>
      </c>
      <c r="CE166" s="23">
        <f t="shared" si="1329"/>
        <v>0</v>
      </c>
      <c r="CF166" s="23">
        <f>+'QTR Raw'!AZ65</f>
        <v>0</v>
      </c>
      <c r="CG166" s="23">
        <f t="shared" si="1330"/>
        <v>0</v>
      </c>
      <c r="CH166" s="23">
        <f t="shared" si="1283"/>
        <v>0</v>
      </c>
      <c r="CJ166" s="23">
        <f>+'QTR Raw'!BD65</f>
        <v>0</v>
      </c>
      <c r="CK166" s="24"/>
      <c r="CL166" s="23">
        <f>+'QTR Raw'!BF65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3" customFormat="1" outlineLevel="1" x14ac:dyDescent="0.2">
      <c r="A167" s="23" t="s">
        <v>68</v>
      </c>
      <c r="B167" s="23">
        <f>'Annual Raw'!C52</f>
        <v>0</v>
      </c>
      <c r="C167" s="23">
        <f>'Annual Raw'!D52</f>
        <v>0</v>
      </c>
      <c r="D167" s="23">
        <f>'Annual Raw'!E52</f>
        <v>0</v>
      </c>
      <c r="E167" s="23">
        <f>'Annual Raw'!F52</f>
        <v>0</v>
      </c>
      <c r="F167" s="23">
        <f>'Annual Raw'!G52</f>
        <v>0</v>
      </c>
      <c r="G167" s="23">
        <f>'Annual Raw'!H52</f>
        <v>0</v>
      </c>
      <c r="H167" s="23">
        <f>'Annual Raw'!I52</f>
        <v>0</v>
      </c>
      <c r="I167" s="23">
        <f>'Annual Raw'!J52</f>
        <v>0</v>
      </c>
      <c r="J167" s="23">
        <f>'Annual Raw'!K52</f>
        <v>0</v>
      </c>
      <c r="K167" s="23">
        <f>'Annual Raw'!L52</f>
        <v>0</v>
      </c>
      <c r="L167" s="23">
        <f>'Annual Raw'!M52</f>
        <v>73.906199999999998</v>
      </c>
      <c r="M167" s="23">
        <f>'Annual Raw'!N52</f>
        <v>85.965500000000006</v>
      </c>
      <c r="N167" s="23">
        <f>'Annual Raw'!O52</f>
        <v>89.8292</v>
      </c>
      <c r="O167" s="23">
        <f>'Annual Raw'!P52</f>
        <v>90.226799999999997</v>
      </c>
      <c r="P167" s="23">
        <f>'Annual Raw'!Q52</f>
        <v>107.88290000000001</v>
      </c>
      <c r="Q167" s="23">
        <f>'Annual Raw'!R52</f>
        <v>81.255099999999999</v>
      </c>
      <c r="R167" s="23">
        <f>'Annual Raw'!S52</f>
        <v>91.43</v>
      </c>
      <c r="S167" s="23">
        <f>'Annual Raw'!T52</f>
        <v>87.32</v>
      </c>
      <c r="T167" s="23">
        <f>'Annual Raw'!U52</f>
        <v>84.66</v>
      </c>
      <c r="U167" s="23">
        <f>'Annual Raw'!V52</f>
        <v>87.47</v>
      </c>
      <c r="V167" s="23">
        <f>'Annual Raw'!W52</f>
        <v>89.91</v>
      </c>
      <c r="W167" s="23">
        <f>'Annual Raw'!X52</f>
        <v>103.03</v>
      </c>
      <c r="X167" s="23">
        <f>'Annual Raw'!Y52</f>
        <v>91.97</v>
      </c>
      <c r="Y167" s="23">
        <f>'Annual Raw'!Z52</f>
        <v>98.43</v>
      </c>
      <c r="Z167" s="23">
        <f>'Annual Raw'!AA52</f>
        <v>95.21</v>
      </c>
      <c r="AA167" s="23">
        <f>'Annual Raw'!AB52</f>
        <v>96.2</v>
      </c>
      <c r="AB167" s="24">
        <f t="shared" si="1325"/>
        <v>0</v>
      </c>
      <c r="AC167" s="24">
        <f t="shared" si="1326"/>
        <v>0</v>
      </c>
      <c r="AD167" s="24">
        <f t="shared" si="1327"/>
        <v>0</v>
      </c>
      <c r="AE167" s="24">
        <f t="shared" si="1328"/>
        <v>0</v>
      </c>
      <c r="AJ167" s="23">
        <f>+'QTR Raw'!D66</f>
        <v>90.44</v>
      </c>
      <c r="AK167" s="23">
        <f t="shared" si="1329"/>
        <v>90.44</v>
      </c>
      <c r="AL167" s="23">
        <f>+'QTR Raw'!F66</f>
        <v>89.83</v>
      </c>
      <c r="AM167" s="23">
        <f t="shared" si="1329"/>
        <v>89.83</v>
      </c>
      <c r="AN167" s="23">
        <f>+'QTR Raw'!H66</f>
        <v>95.37</v>
      </c>
      <c r="AO167" s="23">
        <f t="shared" si="1329"/>
        <v>95.37</v>
      </c>
      <c r="AP167" s="23">
        <f>+'QTR Raw'!J66</f>
        <v>90.23</v>
      </c>
      <c r="AQ167" s="23">
        <f t="shared" si="1329"/>
        <v>90.23</v>
      </c>
      <c r="AR167" s="23">
        <f>+'QTR Raw'!L66</f>
        <v>107.89</v>
      </c>
      <c r="AS167" s="23">
        <f t="shared" si="1329"/>
        <v>107.89</v>
      </c>
      <c r="AT167" s="23">
        <f>+'QTR Raw'!N66</f>
        <v>107.88</v>
      </c>
      <c r="AU167" s="23">
        <f t="shared" si="1329"/>
        <v>107.88</v>
      </c>
      <c r="AV167" s="23">
        <f>+'QTR Raw'!P66</f>
        <v>115.76</v>
      </c>
      <c r="AW167" s="23">
        <f t="shared" si="1329"/>
        <v>115.76</v>
      </c>
      <c r="AX167" s="23">
        <f>+'QTR Raw'!R66</f>
        <v>81.260000000000005</v>
      </c>
      <c r="AY167" s="23">
        <f t="shared" si="1329"/>
        <v>81.260000000000005</v>
      </c>
      <c r="AZ167" s="23">
        <f>+'QTR Raw'!T66</f>
        <v>120.87</v>
      </c>
      <c r="BA167" s="23">
        <f t="shared" si="1329"/>
        <v>120.87</v>
      </c>
      <c r="BB167" s="23">
        <f>+'QTR Raw'!V66</f>
        <v>91.43</v>
      </c>
      <c r="BC167" s="23">
        <f t="shared" si="1329"/>
        <v>91.43</v>
      </c>
      <c r="BD167" s="23">
        <f>+'QTR Raw'!X66</f>
        <v>90.2</v>
      </c>
      <c r="BE167" s="23">
        <f t="shared" si="1329"/>
        <v>90.2</v>
      </c>
      <c r="BF167" s="23">
        <f>+'QTR Raw'!Z66</f>
        <v>87.32</v>
      </c>
      <c r="BG167" s="23">
        <f t="shared" si="1329"/>
        <v>87.32</v>
      </c>
      <c r="BH167" s="23">
        <f>+'QTR Raw'!AB66</f>
        <v>91.44</v>
      </c>
      <c r="BI167" s="23">
        <f t="shared" si="1329"/>
        <v>91.44</v>
      </c>
      <c r="BJ167" s="23">
        <f>+'QTR Raw'!AD66</f>
        <v>84.66</v>
      </c>
      <c r="BK167" s="23">
        <f t="shared" si="1329"/>
        <v>84.66</v>
      </c>
      <c r="BL167" s="23">
        <f>+'QTR Raw'!AF66</f>
        <v>75.56</v>
      </c>
      <c r="BM167" s="23">
        <f t="shared" si="1329"/>
        <v>75.56</v>
      </c>
      <c r="BN167" s="23">
        <f>+'QTR Raw'!AH66</f>
        <v>87.47</v>
      </c>
      <c r="BO167" s="23">
        <f t="shared" si="1329"/>
        <v>87.47</v>
      </c>
      <c r="BP167" s="23">
        <f>+'QTR Raw'!AJ66</f>
        <v>90.88</v>
      </c>
      <c r="BQ167" s="23">
        <f t="shared" si="1329"/>
        <v>90.88</v>
      </c>
      <c r="BR167" s="23">
        <f>+'QTR Raw'!AL66</f>
        <v>89.91</v>
      </c>
      <c r="BS167" s="23">
        <f t="shared" si="1329"/>
        <v>89.91</v>
      </c>
      <c r="BT167" s="23">
        <f>+'QTR Raw'!AN66</f>
        <v>98.01</v>
      </c>
      <c r="BU167" s="23">
        <f t="shared" si="1329"/>
        <v>98.01</v>
      </c>
      <c r="BV167" s="23">
        <f>+'QTR Raw'!AP66</f>
        <v>103.03</v>
      </c>
      <c r="BW167" s="23">
        <f t="shared" si="1329"/>
        <v>103.03</v>
      </c>
      <c r="BX167" s="23">
        <f>+'QTR Raw'!AR66</f>
        <v>99.84</v>
      </c>
      <c r="BY167" s="23">
        <f t="shared" si="1329"/>
        <v>99.84</v>
      </c>
      <c r="BZ167" s="23">
        <f>+'QTR Raw'!AT66</f>
        <v>91.97</v>
      </c>
      <c r="CA167" s="23">
        <f t="shared" si="1329"/>
        <v>91.97</v>
      </c>
      <c r="CB167" s="23">
        <f>+'QTR Raw'!AV66</f>
        <v>93.19</v>
      </c>
      <c r="CC167" s="23">
        <f t="shared" si="1329"/>
        <v>93.19</v>
      </c>
      <c r="CD167" s="23">
        <f>+'QTR Raw'!AX66</f>
        <v>98.43</v>
      </c>
      <c r="CE167" s="23">
        <f t="shared" si="1329"/>
        <v>98.43</v>
      </c>
      <c r="CF167" s="23">
        <f>+'QTR Raw'!AZ66</f>
        <v>98.73</v>
      </c>
      <c r="CG167" s="23">
        <f t="shared" si="1330"/>
        <v>98.73</v>
      </c>
      <c r="CH167" s="23">
        <f t="shared" si="1283"/>
        <v>95.21</v>
      </c>
      <c r="CJ167" s="23">
        <f>+'QTR Raw'!BD66</f>
        <v>99.19</v>
      </c>
      <c r="CK167" s="24"/>
      <c r="CL167" s="23">
        <f>+'QTR Raw'!BF66</f>
        <v>96.2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96.2</v>
      </c>
    </row>
    <row r="168" spans="1:110" s="23" customFormat="1" outlineLevel="1" x14ac:dyDescent="0.2">
      <c r="A168" s="23" t="s">
        <v>69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24">
        <f t="shared" si="1325"/>
        <v>2283.4200000000005</v>
      </c>
      <c r="AC168" s="24">
        <f t="shared" si="1326"/>
        <v>2625.9330000000009</v>
      </c>
      <c r="AD168" s="24">
        <f t="shared" si="1327"/>
        <v>3019.8229500000011</v>
      </c>
      <c r="AE168" s="24">
        <f t="shared" si="1328"/>
        <v>3472.7963925000008</v>
      </c>
      <c r="AJ168" s="23">
        <f>+'QTR Raw'!D87</f>
        <v>2023.99</v>
      </c>
      <c r="AK168" s="23">
        <f t="shared" si="1329"/>
        <v>2023.99</v>
      </c>
      <c r="AL168" s="23">
        <f>+'QTR Raw'!F87</f>
        <v>0</v>
      </c>
      <c r="AM168" s="23">
        <f t="shared" si="1329"/>
        <v>0</v>
      </c>
      <c r="AN168" s="23">
        <f>+'QTR Raw'!H87</f>
        <v>0</v>
      </c>
      <c r="AO168" s="23">
        <f t="shared" si="1329"/>
        <v>0</v>
      </c>
      <c r="AP168" s="23">
        <f>+'QTR Raw'!J87</f>
        <v>0</v>
      </c>
      <c r="AQ168" s="23">
        <f t="shared" si="1329"/>
        <v>0</v>
      </c>
      <c r="AR168" s="23">
        <f>+'QTR Raw'!L87</f>
        <v>0</v>
      </c>
      <c r="AS168" s="23">
        <f t="shared" si="1329"/>
        <v>0</v>
      </c>
      <c r="AT168" s="23">
        <f>+'QTR Raw'!N87</f>
        <v>0</v>
      </c>
      <c r="AU168" s="23">
        <f t="shared" si="1329"/>
        <v>0</v>
      </c>
      <c r="AV168" s="23">
        <f>+'QTR Raw'!P87</f>
        <v>0</v>
      </c>
      <c r="AW168" s="23">
        <f t="shared" si="1329"/>
        <v>0</v>
      </c>
      <c r="AX168" s="23">
        <f>+'QTR Raw'!R87</f>
        <v>0</v>
      </c>
      <c r="AY168" s="23">
        <f t="shared" si="1329"/>
        <v>0</v>
      </c>
      <c r="AZ168" s="23">
        <f>+'QTR Raw'!T87</f>
        <v>0</v>
      </c>
      <c r="BA168" s="23">
        <f t="shared" si="1329"/>
        <v>0</v>
      </c>
      <c r="BB168" s="23">
        <f>+'QTR Raw'!V87</f>
        <v>0</v>
      </c>
      <c r="BC168" s="23">
        <f t="shared" si="1329"/>
        <v>0</v>
      </c>
      <c r="BD168" s="23">
        <f>+'QTR Raw'!X87</f>
        <v>0</v>
      </c>
      <c r="BE168" s="23">
        <f t="shared" si="1329"/>
        <v>0</v>
      </c>
      <c r="BF168" s="23">
        <f>+'QTR Raw'!Z87</f>
        <v>0</v>
      </c>
      <c r="BG168" s="23">
        <f t="shared" si="1329"/>
        <v>0</v>
      </c>
      <c r="BH168" s="23">
        <f>+'QTR Raw'!AB87</f>
        <v>0</v>
      </c>
      <c r="BI168" s="23">
        <f t="shared" si="1329"/>
        <v>0</v>
      </c>
      <c r="BJ168" s="23">
        <f>+'QTR Raw'!AD87</f>
        <v>0</v>
      </c>
      <c r="BK168" s="23">
        <f t="shared" si="1329"/>
        <v>0</v>
      </c>
      <c r="BL168" s="23">
        <f>+'QTR Raw'!AF87</f>
        <v>0</v>
      </c>
      <c r="BM168" s="23">
        <f t="shared" si="1329"/>
        <v>0</v>
      </c>
      <c r="BN168" s="23">
        <f>+'QTR Raw'!AH87</f>
        <v>0</v>
      </c>
      <c r="BO168" s="23">
        <f t="shared" si="1329"/>
        <v>0</v>
      </c>
      <c r="BP168" s="23">
        <f>+'QTR Raw'!AJ87</f>
        <v>0</v>
      </c>
      <c r="BQ168" s="23">
        <f t="shared" si="1329"/>
        <v>0</v>
      </c>
      <c r="BR168" s="23">
        <f>+'QTR Raw'!AL87</f>
        <v>0</v>
      </c>
      <c r="BS168" s="23">
        <f t="shared" si="1329"/>
        <v>0</v>
      </c>
      <c r="BT168" s="23">
        <f>+'QTR Raw'!AN87</f>
        <v>0</v>
      </c>
      <c r="BU168" s="23">
        <f t="shared" si="1329"/>
        <v>0</v>
      </c>
      <c r="BV168" s="23">
        <f>+'QTR Raw'!AP87</f>
        <v>0</v>
      </c>
      <c r="BW168" s="23">
        <f t="shared" si="1329"/>
        <v>0</v>
      </c>
      <c r="BX168" s="23">
        <f>+'QTR Raw'!AR87</f>
        <v>0</v>
      </c>
      <c r="BY168" s="23">
        <f t="shared" si="1329"/>
        <v>0</v>
      </c>
      <c r="BZ168" s="23">
        <f>+'QTR Raw'!AT87</f>
        <v>0</v>
      </c>
      <c r="CA168" s="23">
        <f t="shared" si="1329"/>
        <v>0</v>
      </c>
      <c r="CB168" s="23">
        <f>+'QTR Raw'!AV87</f>
        <v>0</v>
      </c>
      <c r="CC168" s="23">
        <f t="shared" si="1329"/>
        <v>0</v>
      </c>
      <c r="CD168" s="23">
        <f>+'QTR Raw'!AX87</f>
        <v>0</v>
      </c>
      <c r="CE168" s="23">
        <f t="shared" si="1329"/>
        <v>0</v>
      </c>
      <c r="CF168" s="23">
        <f>+'QTR Raw'!AZ87</f>
        <v>0</v>
      </c>
      <c r="CG168" s="23">
        <f t="shared" si="1330"/>
        <v>0</v>
      </c>
      <c r="CH168" s="23">
        <f t="shared" si="1283"/>
        <v>0</v>
      </c>
      <c r="CI168" s="23">
        <f>CI26/90*CI200</f>
        <v>1484.7784712095913</v>
      </c>
      <c r="CJ168" s="23">
        <f>+'QTR Raw'!BD87</f>
        <v>0</v>
      </c>
      <c r="CK168" s="24">
        <f t="shared" ref="CK168:DB168" si="1331">CK26/90*CK200</f>
        <v>1991.3589973672103</v>
      </c>
      <c r="CL168" s="23">
        <f>+'QTR Raw'!BF87</f>
        <v>0</v>
      </c>
      <c r="CM168" s="24">
        <f t="shared" si="1331"/>
        <v>1839.9642261698962</v>
      </c>
      <c r="CN168" s="24">
        <f t="shared" si="1331"/>
        <v>1096.5842581268173</v>
      </c>
      <c r="CO168" s="24">
        <f t="shared" si="1331"/>
        <v>1434.5543182557499</v>
      </c>
      <c r="CP168" s="24">
        <f t="shared" si="1331"/>
        <v>2283.4200000000005</v>
      </c>
      <c r="CQ168" s="24">
        <f t="shared" si="1331"/>
        <v>2115.9588600953807</v>
      </c>
      <c r="CR168" s="24">
        <f t="shared" si="1331"/>
        <v>1261.0718968458398</v>
      </c>
      <c r="CS168" s="24">
        <f t="shared" si="1331"/>
        <v>1649.7374659941122</v>
      </c>
      <c r="CT168" s="24">
        <f t="shared" si="1331"/>
        <v>2625.9330000000009</v>
      </c>
      <c r="CU168" s="24">
        <f t="shared" si="1331"/>
        <v>2433.3526891096881</v>
      </c>
      <c r="CV168" s="24">
        <f t="shared" si="1331"/>
        <v>1450.2326813727159</v>
      </c>
      <c r="CW168" s="24">
        <f t="shared" si="1331"/>
        <v>1897.1980858932291</v>
      </c>
      <c r="CX168" s="24">
        <f t="shared" si="1331"/>
        <v>3019.8229500000011</v>
      </c>
      <c r="CY168" s="24">
        <f t="shared" si="1331"/>
        <v>2798.3555924761413</v>
      </c>
      <c r="CZ168" s="24">
        <f t="shared" si="1331"/>
        <v>1667.7675835786233</v>
      </c>
      <c r="DA168" s="24">
        <f t="shared" si="1331"/>
        <v>2181.7777987772133</v>
      </c>
      <c r="DB168" s="24">
        <f t="shared" si="1331"/>
        <v>3472.7963925000008</v>
      </c>
      <c r="DE168" s="123"/>
      <c r="DF168" s="23">
        <v>3416.3370975827756</v>
      </c>
    </row>
    <row r="169" spans="1:110" s="23" customFormat="1" outlineLevel="1" x14ac:dyDescent="0.2">
      <c r="A169" s="23" t="s">
        <v>70</v>
      </c>
      <c r="B169" s="23">
        <f>'Annual Raw'!C54</f>
        <v>227.62039999999999</v>
      </c>
      <c r="C169" s="23">
        <f>'Annual Raw'!D54</f>
        <v>263.7568</v>
      </c>
      <c r="D169" s="23">
        <f>'Annual Raw'!E54</f>
        <v>388.37639999999999</v>
      </c>
      <c r="E169" s="23">
        <f>'Annual Raw'!F54</f>
        <v>434.55250000000001</v>
      </c>
      <c r="F169" s="23">
        <f>'Annual Raw'!G54</f>
        <v>480.08350000000002</v>
      </c>
      <c r="G169" s="23">
        <f>'Annual Raw'!H54</f>
        <v>564.81299999999999</v>
      </c>
      <c r="H169" s="23">
        <f>'Annual Raw'!I54</f>
        <v>628.41610000000003</v>
      </c>
      <c r="I169" s="23">
        <f>'Annual Raw'!J54</f>
        <v>733.42819999999995</v>
      </c>
      <c r="J169" s="23">
        <f>'Annual Raw'!K54</f>
        <v>1252.748</v>
      </c>
      <c r="K169" s="23">
        <f>'Annual Raw'!L54</f>
        <v>1188.7321999999999</v>
      </c>
      <c r="L169" s="23">
        <f>'Annual Raw'!M54</f>
        <v>1449.9087</v>
      </c>
      <c r="M169" s="23">
        <f>'Annual Raw'!N54</f>
        <v>1472.9903999999999</v>
      </c>
      <c r="N169" s="23">
        <f>'Annual Raw'!O54</f>
        <v>1719.0953</v>
      </c>
      <c r="O169" s="23">
        <f>'Annual Raw'!P54</f>
        <v>1626.7429999999999</v>
      </c>
      <c r="P169" s="23">
        <f>'Annual Raw'!Q54</f>
        <v>1541.4493</v>
      </c>
      <c r="Q169" s="23">
        <f>'Annual Raw'!R54</f>
        <v>1748.7831000000001</v>
      </c>
      <c r="R169" s="23">
        <f>'Annual Raw'!S54</f>
        <v>1994.57</v>
      </c>
      <c r="S169" s="23">
        <f>'Annual Raw'!T54</f>
        <v>2176.41</v>
      </c>
      <c r="T169" s="23">
        <f>'Annual Raw'!U54</f>
        <v>2374.4899999999998</v>
      </c>
      <c r="U169" s="23">
        <f>'Annual Raw'!V54</f>
        <v>2688.89</v>
      </c>
      <c r="V169" s="23">
        <f>'Annual Raw'!W54</f>
        <v>2464.5300000000002</v>
      </c>
      <c r="W169" s="23">
        <f>'Annual Raw'!X54</f>
        <v>2942.05</v>
      </c>
      <c r="X169" s="23">
        <f>'Annual Raw'!Y54</f>
        <v>3012.63</v>
      </c>
      <c r="Y169" s="23">
        <f>'Annual Raw'!Z54</f>
        <v>3775.45</v>
      </c>
      <c r="Z169" s="23">
        <f>'Annual Raw'!AA54</f>
        <v>3892.81</v>
      </c>
      <c r="AA169" s="23">
        <f>'Annual Raw'!AB54</f>
        <v>5227.78</v>
      </c>
      <c r="AB169" s="24">
        <f t="shared" si="1325"/>
        <v>6273.3360000000002</v>
      </c>
      <c r="AC169" s="24">
        <f t="shared" si="1326"/>
        <v>7214.3363999999992</v>
      </c>
      <c r="AD169" s="24">
        <f t="shared" si="1327"/>
        <v>8296.4868599999991</v>
      </c>
      <c r="AE169" s="24">
        <f t="shared" si="1328"/>
        <v>9540.9598889999997</v>
      </c>
      <c r="AJ169" s="23">
        <f>+'QTR Raw'!D89</f>
        <v>0</v>
      </c>
      <c r="AK169" s="23">
        <f>+AK199*AK26/90</f>
        <v>0</v>
      </c>
      <c r="AL169" s="23">
        <f>+'QTR Raw'!F89</f>
        <v>1719.1</v>
      </c>
      <c r="AM169" s="23">
        <f>+AM199*AM26/90</f>
        <v>1725.76280281258</v>
      </c>
      <c r="AN169" s="23">
        <f>+'QTR Raw'!H89</f>
        <v>1419.91</v>
      </c>
      <c r="AO169" s="23">
        <f>+AO199*AO26/90</f>
        <v>1470.9885463615078</v>
      </c>
      <c r="AP169" s="23">
        <f>+'QTR Raw'!J89</f>
        <v>1626.74</v>
      </c>
      <c r="AQ169" s="23">
        <f>+AQ199*AQ26/90</f>
        <v>1954.2765441855063</v>
      </c>
      <c r="AR169" s="23">
        <f>+'QTR Raw'!L89</f>
        <v>1350.64</v>
      </c>
      <c r="AS169" s="23">
        <f>+AS199*AS26/90</f>
        <v>1304.660765957447</v>
      </c>
      <c r="AT169" s="23">
        <f>+'QTR Raw'!N89</f>
        <v>1541.45</v>
      </c>
      <c r="AU169" s="23">
        <f>+AU199*AU26/90</f>
        <v>1612.3064001288617</v>
      </c>
      <c r="AV169" s="23">
        <f>+'QTR Raw'!P89</f>
        <v>1367.03</v>
      </c>
      <c r="AW169" s="23">
        <f>+AW199*AW26/90</f>
        <v>1653.3712477548052</v>
      </c>
      <c r="AX169" s="23">
        <f>+'QTR Raw'!R89</f>
        <v>1748.78</v>
      </c>
      <c r="AY169" s="23">
        <f>+AY199*AY26/90</f>
        <v>1736.2790610510042</v>
      </c>
      <c r="AZ169" s="23">
        <f>+'QTR Raw'!T89</f>
        <v>1310.6300000000001</v>
      </c>
      <c r="BA169" s="23">
        <f>+BA199*BA26/90</f>
        <v>1576.3989387239419</v>
      </c>
      <c r="BB169" s="23">
        <f>+'QTR Raw'!V89</f>
        <v>1994.57</v>
      </c>
      <c r="BC169" s="23">
        <f>+BC199*BC26/90</f>
        <v>1884.4464321319949</v>
      </c>
      <c r="BD169" s="23">
        <f>+'QTR Raw'!X89</f>
        <v>1479.54</v>
      </c>
      <c r="BE169" s="23">
        <f>+BE199*BE26/90</f>
        <v>1961.8593934658679</v>
      </c>
      <c r="BF169" s="23">
        <f>+'QTR Raw'!Z89</f>
        <v>2176.41</v>
      </c>
      <c r="BG169" s="23">
        <f>+BG199*BG26/90</f>
        <v>2282.3521792343213</v>
      </c>
      <c r="BH169" s="23">
        <f>+'QTR Raw'!AB89</f>
        <v>1832.37</v>
      </c>
      <c r="BI169" s="23">
        <f>+BI199*BI26/90</f>
        <v>1923.1531199696062</v>
      </c>
      <c r="BJ169" s="23">
        <f>+'QTR Raw'!AD89</f>
        <v>2374.4899999999998</v>
      </c>
      <c r="BK169" s="23">
        <f>+BK199*BK26/90</f>
        <v>3054.9613445541099</v>
      </c>
      <c r="BL169" s="23">
        <f>+'QTR Raw'!AF89</f>
        <v>1932.17</v>
      </c>
      <c r="BM169" s="23">
        <f>+BM199*BM26/90</f>
        <v>2028.0623983431087</v>
      </c>
      <c r="BN169" s="23">
        <f>+'QTR Raw'!AH89</f>
        <v>2688.89</v>
      </c>
      <c r="BO169" s="23">
        <f>+BO199*BO26/90</f>
        <v>1668.8739138507776</v>
      </c>
      <c r="BP169" s="23">
        <f>+'QTR Raw'!AJ89</f>
        <v>1861.64</v>
      </c>
      <c r="BQ169" s="23">
        <f>+BQ199*BQ26/90</f>
        <v>2302.7655807607871</v>
      </c>
      <c r="BR169" s="23">
        <f>+'QTR Raw'!AL89</f>
        <v>2464.5300000000002</v>
      </c>
      <c r="BS169" s="23">
        <f>+BS199*BS26/90</f>
        <v>1659.2168513308641</v>
      </c>
      <c r="BT169" s="23">
        <f>+'QTR Raw'!AN89</f>
        <v>1803.31</v>
      </c>
      <c r="BU169" s="23">
        <f>+BU199*BU26/90</f>
        <v>1914.8878578279296</v>
      </c>
      <c r="BV169" s="23">
        <f>+'QTR Raw'!AP89</f>
        <v>2942.05</v>
      </c>
      <c r="BW169" s="23">
        <f>+BW199*BW26/90</f>
        <v>3053.9471532824818</v>
      </c>
      <c r="BX169" s="23">
        <f>+'QTR Raw'!AR89</f>
        <v>2272.7600000000002</v>
      </c>
      <c r="BY169" s="23">
        <f>+BY199*BY26/90</f>
        <v>2577.6822499943451</v>
      </c>
      <c r="BZ169" s="23">
        <f>+'QTR Raw'!AT89</f>
        <v>3012.63</v>
      </c>
      <c r="CA169" s="23">
        <f>+CA199*CA26/90</f>
        <v>3423.3005383522727</v>
      </c>
      <c r="CB169" s="23">
        <f>+'QTR Raw'!AV89</f>
        <v>2522.17</v>
      </c>
      <c r="CC169" s="23">
        <f>+CC199*CC26/90</f>
        <v>2888.4580579653248</v>
      </c>
      <c r="CD169" s="23">
        <f>+'QTR Raw'!AX89</f>
        <v>3775.45</v>
      </c>
      <c r="CE169" s="23">
        <f>+CE199*CE26/90</f>
        <v>4420.5556568353122</v>
      </c>
      <c r="CF169" s="23">
        <f>+'QTR Raw'!AZ89</f>
        <v>3147.32</v>
      </c>
      <c r="CG169" s="23">
        <f>+CG199*CG26/90</f>
        <v>3731.3342338427942</v>
      </c>
      <c r="CH169" s="23">
        <f t="shared" si="1283"/>
        <v>3892.81</v>
      </c>
      <c r="CI169" s="23">
        <f>+CI199*CI26/90</f>
        <v>3215.9309184991898</v>
      </c>
      <c r="CJ169" s="23">
        <f>+'QTR Raw'!BD89</f>
        <v>3166.36</v>
      </c>
      <c r="CK169" s="24">
        <f t="shared" ref="CK169:DB169" si="1332">+CK199*CK26/90</f>
        <v>4142.240213179286</v>
      </c>
      <c r="CL169" s="23">
        <f>+'QTR Raw'!BF89</f>
        <v>5227.78</v>
      </c>
      <c r="CM169" s="24">
        <f t="shared" si="1332"/>
        <v>5055.0112632558821</v>
      </c>
      <c r="CN169" s="24">
        <f t="shared" si="1332"/>
        <v>3012.6921475419554</v>
      </c>
      <c r="CO169" s="24">
        <f t="shared" si="1332"/>
        <v>3941.211537373435</v>
      </c>
      <c r="CP169" s="24">
        <f t="shared" si="1332"/>
        <v>6273.3360000000002</v>
      </c>
      <c r="CQ169" s="24">
        <f t="shared" si="1332"/>
        <v>5813.262952744265</v>
      </c>
      <c r="CR169" s="24">
        <f t="shared" si="1332"/>
        <v>3464.5959696732493</v>
      </c>
      <c r="CS169" s="24">
        <f t="shared" si="1332"/>
        <v>4532.3932679794507</v>
      </c>
      <c r="CT169" s="24">
        <f t="shared" si="1332"/>
        <v>7214.3363999999992</v>
      </c>
      <c r="CU169" s="24">
        <f t="shared" si="1332"/>
        <v>6685.2523956559053</v>
      </c>
      <c r="CV169" s="24">
        <f t="shared" si="1332"/>
        <v>3984.2853651242363</v>
      </c>
      <c r="CW169" s="24">
        <f t="shared" si="1332"/>
        <v>5212.2522581763678</v>
      </c>
      <c r="CX169" s="24">
        <f t="shared" si="1332"/>
        <v>8296.4868599999991</v>
      </c>
      <c r="CY169" s="24">
        <f t="shared" si="1332"/>
        <v>7688.0402550042909</v>
      </c>
      <c r="CZ169" s="24">
        <f t="shared" si="1332"/>
        <v>4581.9281698928726</v>
      </c>
      <c r="DA169" s="24">
        <f t="shared" si="1332"/>
        <v>5994.0900969028216</v>
      </c>
      <c r="DB169" s="24">
        <f t="shared" si="1332"/>
        <v>9540.9598889999997</v>
      </c>
      <c r="DE169" s="123"/>
      <c r="DF169" s="23">
        <v>7106.3474371487491</v>
      </c>
    </row>
    <row r="170" spans="1:110" s="23" customFormat="1" outlineLevel="1" x14ac:dyDescent="0.2">
      <c r="A170" s="23" t="s">
        <v>71</v>
      </c>
      <c r="B170" s="23">
        <f>'Annual Raw'!C55-Template!B142</f>
        <v>128.36439999999999</v>
      </c>
      <c r="C170" s="23">
        <f>'Annual Raw'!D55-Template!C142</f>
        <v>157.37029999999999</v>
      </c>
      <c r="D170" s="23">
        <f>'Annual Raw'!E55-Template!D142</f>
        <v>155.46549999999999</v>
      </c>
      <c r="E170" s="23">
        <f>'Annual Raw'!F55-Template!E142</f>
        <v>138.02350000000001</v>
      </c>
      <c r="F170" s="23">
        <f>'Annual Raw'!G55-Template!F142</f>
        <v>175.03919999999999</v>
      </c>
      <c r="G170" s="23">
        <f>'Annual Raw'!H55-Template!G142</f>
        <v>204.70779999999999</v>
      </c>
      <c r="H170" s="23">
        <f>'Annual Raw'!I55-Template!H142</f>
        <v>310.23160000000001</v>
      </c>
      <c r="I170" s="23">
        <f>'Annual Raw'!J55-Template!I142</f>
        <v>528.54190000000006</v>
      </c>
      <c r="J170" s="23">
        <f>'Annual Raw'!K55-Template!J142</f>
        <v>721.52800000000002</v>
      </c>
      <c r="K170" s="23">
        <f>'Annual Raw'!L55-Template!K142</f>
        <v>794.25160000000005</v>
      </c>
      <c r="L170" s="23">
        <f>'Annual Raw'!M55-Template!L142</f>
        <v>842.91410000000008</v>
      </c>
      <c r="M170" s="23">
        <f>'Annual Raw'!N55-Template!M142</f>
        <v>664.2971</v>
      </c>
      <c r="N170" s="23">
        <f>'Annual Raw'!O55-Template!N142</f>
        <v>646.43809999999996</v>
      </c>
      <c r="O170" s="23">
        <f>'Annual Raw'!P55-Template!O142</f>
        <v>710.79680000000008</v>
      </c>
      <c r="P170" s="23">
        <f>'Annual Raw'!Q55-Template!P142</f>
        <v>730.50829999999996</v>
      </c>
      <c r="Q170" s="23">
        <f>'Annual Raw'!R55-Template!Q142</f>
        <v>722.31669999999997</v>
      </c>
      <c r="R170" s="23">
        <f>'Annual Raw'!S55-Template!R142</f>
        <v>652.04</v>
      </c>
      <c r="S170" s="23">
        <f>'Annual Raw'!T55-Template!S142</f>
        <v>757.4</v>
      </c>
      <c r="T170" s="23">
        <f>'Annual Raw'!U55-Template!T142</f>
        <v>454.5</v>
      </c>
      <c r="U170" s="23">
        <f>'Annual Raw'!V55-Template!U142</f>
        <v>689.42</v>
      </c>
      <c r="V170" s="23">
        <f>'Annual Raw'!W55-Template!V142</f>
        <v>589.11</v>
      </c>
      <c r="W170" s="23">
        <f>'Annual Raw'!X55-Template!W142</f>
        <v>546.57000000000005</v>
      </c>
      <c r="X170" s="23">
        <f>'Annual Raw'!Y55-Template!X142</f>
        <v>798.44</v>
      </c>
      <c r="Y170" s="23">
        <f>'Annual Raw'!Z55-Template!Y142</f>
        <v>1228.8799999999999</v>
      </c>
      <c r="Z170" s="23">
        <f>'Annual Raw'!AA55-Template!Z142</f>
        <v>1275.05</v>
      </c>
      <c r="AA170" s="23">
        <f>'Annual Raw'!AB55-Template!AA142</f>
        <v>1337.81</v>
      </c>
      <c r="AB170" s="24">
        <f t="shared" si="1325"/>
        <v>0</v>
      </c>
      <c r="AC170" s="24">
        <f t="shared" si="1326"/>
        <v>0</v>
      </c>
      <c r="AD170" s="24">
        <f t="shared" si="1327"/>
        <v>0</v>
      </c>
      <c r="AE170" s="24">
        <f t="shared" si="1328"/>
        <v>0</v>
      </c>
      <c r="AJ170" s="23">
        <f>+'QTR Raw'!D91</f>
        <v>0</v>
      </c>
      <c r="AK170" s="23">
        <f t="shared" si="1329"/>
        <v>0</v>
      </c>
      <c r="AL170" s="23">
        <f>+'QTR Raw'!F91</f>
        <v>647.65</v>
      </c>
      <c r="AM170" s="23">
        <f t="shared" si="1329"/>
        <v>647.65</v>
      </c>
      <c r="AN170" s="23">
        <f>+'QTR Raw'!H91</f>
        <v>625.48</v>
      </c>
      <c r="AO170" s="23">
        <f t="shared" si="1329"/>
        <v>625.48</v>
      </c>
      <c r="AP170" s="23">
        <f>+'QTR Raw'!J91</f>
        <v>711.97</v>
      </c>
      <c r="AQ170" s="23">
        <f t="shared" si="1329"/>
        <v>711.97</v>
      </c>
      <c r="AR170" s="23">
        <f>+'QTR Raw'!L91</f>
        <v>674.92</v>
      </c>
      <c r="AS170" s="23">
        <f t="shared" si="1329"/>
        <v>674.92</v>
      </c>
      <c r="AT170" s="23">
        <f>+'QTR Raw'!N91</f>
        <v>730.9</v>
      </c>
      <c r="AU170" s="23">
        <f t="shared" si="1329"/>
        <v>730.9</v>
      </c>
      <c r="AV170" s="23">
        <f>+'QTR Raw'!P91</f>
        <v>776.36</v>
      </c>
      <c r="AW170" s="23">
        <f t="shared" si="1329"/>
        <v>776.36</v>
      </c>
      <c r="AX170" s="23">
        <f>+'QTR Raw'!R91</f>
        <v>773.94</v>
      </c>
      <c r="AY170" s="23">
        <f t="shared" si="1329"/>
        <v>773.94</v>
      </c>
      <c r="AZ170" s="23">
        <f>+'QTR Raw'!T91</f>
        <v>734.81</v>
      </c>
      <c r="BA170" s="23">
        <f t="shared" si="1329"/>
        <v>734.81</v>
      </c>
      <c r="BB170" s="23">
        <f>+'QTR Raw'!V91</f>
        <v>699.54</v>
      </c>
      <c r="BC170" s="23">
        <f t="shared" si="1329"/>
        <v>699.54</v>
      </c>
      <c r="BD170" s="23">
        <f>+'QTR Raw'!X91</f>
        <v>840.28</v>
      </c>
      <c r="BE170" s="23">
        <f t="shared" si="1329"/>
        <v>840.28</v>
      </c>
      <c r="BF170" s="23">
        <f>+'QTR Raw'!Z91</f>
        <v>766.93</v>
      </c>
      <c r="BG170" s="23">
        <f t="shared" si="1329"/>
        <v>766.93</v>
      </c>
      <c r="BH170" s="23">
        <f>+'QTR Raw'!AB91</f>
        <v>865.66</v>
      </c>
      <c r="BI170" s="23">
        <f t="shared" si="1329"/>
        <v>865.66</v>
      </c>
      <c r="BJ170" s="23">
        <f>+'QTR Raw'!AD91</f>
        <v>466.26</v>
      </c>
      <c r="BK170" s="23">
        <f t="shared" si="1329"/>
        <v>466.26</v>
      </c>
      <c r="BL170" s="23">
        <f>+'QTR Raw'!AF91</f>
        <v>538.27</v>
      </c>
      <c r="BM170" s="23">
        <f t="shared" si="1329"/>
        <v>538.27</v>
      </c>
      <c r="BN170" s="23">
        <f>+'QTR Raw'!AH91</f>
        <v>695.5</v>
      </c>
      <c r="BO170" s="23">
        <f t="shared" si="1329"/>
        <v>695.5</v>
      </c>
      <c r="BP170" s="23">
        <f>+'QTR Raw'!AJ91</f>
        <v>542.17999999999995</v>
      </c>
      <c r="BQ170" s="23">
        <f t="shared" si="1329"/>
        <v>542.17999999999995</v>
      </c>
      <c r="BR170" s="23">
        <f>+'QTR Raw'!AL91</f>
        <v>668.61</v>
      </c>
      <c r="BS170" s="23">
        <f t="shared" si="1329"/>
        <v>668.61</v>
      </c>
      <c r="BT170" s="23">
        <f>+'QTR Raw'!AN91</f>
        <v>582.78</v>
      </c>
      <c r="BU170" s="23">
        <f t="shared" si="1329"/>
        <v>582.78</v>
      </c>
      <c r="BV170" s="23">
        <f>+'QTR Raw'!AP91</f>
        <v>611.82000000000005</v>
      </c>
      <c r="BW170" s="23">
        <f t="shared" si="1329"/>
        <v>611.82000000000005</v>
      </c>
      <c r="BX170" s="23">
        <f>+'QTR Raw'!AR91</f>
        <v>610.05999999999995</v>
      </c>
      <c r="BY170" s="23">
        <f t="shared" si="1329"/>
        <v>610.05999999999995</v>
      </c>
      <c r="BZ170" s="23">
        <f>+'QTR Raw'!AT91</f>
        <v>846.09</v>
      </c>
      <c r="CA170" s="23">
        <f t="shared" si="1329"/>
        <v>846.09</v>
      </c>
      <c r="CB170" s="23">
        <f>+'QTR Raw'!AV91</f>
        <v>854.57</v>
      </c>
      <c r="CC170" s="23">
        <f t="shared" si="1329"/>
        <v>854.57</v>
      </c>
      <c r="CD170" s="23">
        <f>+'QTR Raw'!AX91</f>
        <v>1284.55</v>
      </c>
      <c r="CE170" s="23">
        <f t="shared" si="1329"/>
        <v>1284.55</v>
      </c>
      <c r="CF170" s="23">
        <f>+'QTR Raw'!AZ91</f>
        <v>1047.49</v>
      </c>
      <c r="CG170" s="23">
        <f t="shared" ref="CG170:CG171" si="1333">+CF170</f>
        <v>1047.49</v>
      </c>
      <c r="CH170" s="23">
        <f t="shared" si="1283"/>
        <v>1275.05</v>
      </c>
      <c r="CJ170" s="23">
        <f>+'QTR Raw'!BD91</f>
        <v>1078.98</v>
      </c>
      <c r="CK170" s="24"/>
      <c r="CL170" s="23">
        <f>+'QTR Raw'!BF91</f>
        <v>1443.52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1443.52</v>
      </c>
    </row>
    <row r="171" spans="1:110" s="23" customFormat="1" outlineLevel="1" x14ac:dyDescent="0.2">
      <c r="A171" s="23" t="s">
        <v>72</v>
      </c>
      <c r="B171" s="23">
        <f>'Annual Raw'!C57</f>
        <v>31.599699999999999</v>
      </c>
      <c r="C171" s="23">
        <f>'Annual Raw'!D57</f>
        <v>54.2301</v>
      </c>
      <c r="D171" s="23">
        <f>'Annual Raw'!E57</f>
        <v>78.456500000000005</v>
      </c>
      <c r="E171" s="23">
        <f>'Annual Raw'!F57</f>
        <v>84.129099999999994</v>
      </c>
      <c r="F171" s="23">
        <f>'Annual Raw'!G57</f>
        <v>103.47199999999999</v>
      </c>
      <c r="G171" s="23">
        <f>'Annual Raw'!H57</f>
        <v>120.5805</v>
      </c>
      <c r="H171" s="23">
        <f>'Annual Raw'!I57</f>
        <v>179.2791</v>
      </c>
      <c r="I171" s="23">
        <f>'Annual Raw'!J57</f>
        <v>216.85679999999999</v>
      </c>
      <c r="J171" s="23">
        <f>'Annual Raw'!K57</f>
        <v>261.68599999999998</v>
      </c>
      <c r="K171" s="23">
        <f>'Annual Raw'!L57</f>
        <v>264.51</v>
      </c>
      <c r="L171" s="23">
        <f>'Annual Raw'!M57</f>
        <v>242.34970000000001</v>
      </c>
      <c r="M171" s="23">
        <f>'Annual Raw'!N57</f>
        <v>193.06399999999999</v>
      </c>
      <c r="N171" s="23">
        <f>'Annual Raw'!O57</f>
        <v>181.1405</v>
      </c>
      <c r="O171" s="23">
        <f>'Annual Raw'!P57</f>
        <v>188.74459999999999</v>
      </c>
      <c r="P171" s="23">
        <f>'Annual Raw'!Q57</f>
        <v>246.16630000000001</v>
      </c>
      <c r="Q171" s="23">
        <f>'Annual Raw'!R57</f>
        <v>207.78819999999999</v>
      </c>
      <c r="R171" s="23">
        <f>'Annual Raw'!S57</f>
        <v>224.52</v>
      </c>
      <c r="S171" s="23">
        <f>'Annual Raw'!T57</f>
        <v>195.07</v>
      </c>
      <c r="T171" s="23">
        <f>'Annual Raw'!U57</f>
        <v>141.65</v>
      </c>
      <c r="U171" s="23">
        <f>'Annual Raw'!V57</f>
        <v>123.06</v>
      </c>
      <c r="V171" s="23">
        <f>'Annual Raw'!W57</f>
        <v>195.5</v>
      </c>
      <c r="W171" s="23">
        <f>'Annual Raw'!X57</f>
        <v>219.14</v>
      </c>
      <c r="X171" s="23">
        <f>'Annual Raw'!Y57</f>
        <v>213.65</v>
      </c>
      <c r="Y171" s="23">
        <f>'Annual Raw'!Z57</f>
        <v>266.74</v>
      </c>
      <c r="Z171" s="23">
        <f>'Annual Raw'!AA57</f>
        <v>356.62</v>
      </c>
      <c r="AA171" s="23">
        <f>'Annual Raw'!AB57</f>
        <v>397.84</v>
      </c>
      <c r="AB171" s="24">
        <f t="shared" si="1325"/>
        <v>0</v>
      </c>
      <c r="AC171" s="24">
        <f t="shared" si="1326"/>
        <v>0</v>
      </c>
      <c r="AD171" s="24">
        <f t="shared" si="1327"/>
        <v>0</v>
      </c>
      <c r="AE171" s="24">
        <f t="shared" si="1328"/>
        <v>0</v>
      </c>
      <c r="AJ171" s="23">
        <f>+'QTR Raw'!D92</f>
        <v>152.27000000000001</v>
      </c>
      <c r="AK171" s="23">
        <f t="shared" si="1329"/>
        <v>152.27000000000001</v>
      </c>
      <c r="AL171" s="23">
        <f>+'QTR Raw'!F92</f>
        <v>181.14</v>
      </c>
      <c r="AM171" s="23">
        <f t="shared" si="1329"/>
        <v>181.14</v>
      </c>
      <c r="AN171" s="23">
        <f>+'QTR Raw'!H92</f>
        <v>130.47</v>
      </c>
      <c r="AO171" s="23">
        <f t="shared" si="1329"/>
        <v>130.47</v>
      </c>
      <c r="AP171" s="23">
        <f>+'QTR Raw'!J92</f>
        <v>188.75</v>
      </c>
      <c r="AQ171" s="23">
        <f t="shared" si="1329"/>
        <v>188.75</v>
      </c>
      <c r="AR171" s="23">
        <f>+'QTR Raw'!L92</f>
        <v>101.99</v>
      </c>
      <c r="AS171" s="23">
        <f t="shared" si="1329"/>
        <v>101.99</v>
      </c>
      <c r="AT171" s="23">
        <f>+'QTR Raw'!N92</f>
        <v>246.17</v>
      </c>
      <c r="AU171" s="23">
        <f t="shared" si="1329"/>
        <v>246.17</v>
      </c>
      <c r="AV171" s="23">
        <f>+'QTR Raw'!P92</f>
        <v>170.89</v>
      </c>
      <c r="AW171" s="23">
        <f t="shared" si="1329"/>
        <v>170.89</v>
      </c>
      <c r="AX171" s="23">
        <f>+'QTR Raw'!R92</f>
        <v>156.16999999999999</v>
      </c>
      <c r="AY171" s="23">
        <f t="shared" si="1329"/>
        <v>156.16999999999999</v>
      </c>
      <c r="AZ171" s="23">
        <f>+'QTR Raw'!T92</f>
        <v>129.47</v>
      </c>
      <c r="BA171" s="23">
        <f t="shared" si="1329"/>
        <v>129.47</v>
      </c>
      <c r="BB171" s="23">
        <f>+'QTR Raw'!V92</f>
        <v>177.02</v>
      </c>
      <c r="BC171" s="23">
        <f t="shared" si="1329"/>
        <v>177.02</v>
      </c>
      <c r="BD171" s="23">
        <f>+'QTR Raw'!X92</f>
        <v>181.26</v>
      </c>
      <c r="BE171" s="23">
        <f t="shared" si="1329"/>
        <v>181.26</v>
      </c>
      <c r="BF171" s="23">
        <f>+'QTR Raw'!Z92</f>
        <v>185.54</v>
      </c>
      <c r="BG171" s="23">
        <f t="shared" si="1329"/>
        <v>185.54</v>
      </c>
      <c r="BH171" s="23">
        <f>+'QTR Raw'!AB92</f>
        <v>133.86000000000001</v>
      </c>
      <c r="BI171" s="23">
        <f t="shared" si="1329"/>
        <v>133.86000000000001</v>
      </c>
      <c r="BJ171" s="23">
        <f>+'QTR Raw'!AD92</f>
        <v>129.88999999999999</v>
      </c>
      <c r="BK171" s="23">
        <f t="shared" si="1329"/>
        <v>129.88999999999999</v>
      </c>
      <c r="BL171" s="23">
        <f>+'QTR Raw'!AF92</f>
        <v>129.77000000000001</v>
      </c>
      <c r="BM171" s="23">
        <f t="shared" si="1329"/>
        <v>129.77000000000001</v>
      </c>
      <c r="BN171" s="23">
        <f>+'QTR Raw'!AH92</f>
        <v>116.98</v>
      </c>
      <c r="BO171" s="23">
        <f t="shared" si="1329"/>
        <v>116.98</v>
      </c>
      <c r="BP171" s="23">
        <f>+'QTR Raw'!AJ92</f>
        <v>99.83</v>
      </c>
      <c r="BQ171" s="23">
        <f t="shared" si="1329"/>
        <v>99.83</v>
      </c>
      <c r="BR171" s="23">
        <f>+'QTR Raw'!AL92</f>
        <v>119.55</v>
      </c>
      <c r="BS171" s="23">
        <f t="shared" si="1329"/>
        <v>119.55</v>
      </c>
      <c r="BT171" s="23">
        <f>+'QTR Raw'!AN92</f>
        <v>124.86</v>
      </c>
      <c r="BU171" s="23">
        <f t="shared" si="1329"/>
        <v>124.86</v>
      </c>
      <c r="BV171" s="23">
        <f>+'QTR Raw'!AP92</f>
        <v>158.85</v>
      </c>
      <c r="BW171" s="23">
        <f t="shared" si="1329"/>
        <v>158.85</v>
      </c>
      <c r="BX171" s="23">
        <f>+'QTR Raw'!AR92</f>
        <v>232.23</v>
      </c>
      <c r="BY171" s="23">
        <f t="shared" si="1329"/>
        <v>232.23</v>
      </c>
      <c r="BZ171" s="23">
        <f>+'QTR Raw'!AT92</f>
        <v>166</v>
      </c>
      <c r="CA171" s="23">
        <f t="shared" si="1329"/>
        <v>166</v>
      </c>
      <c r="CB171" s="23">
        <f>+'QTR Raw'!AV92</f>
        <v>175.29</v>
      </c>
      <c r="CC171" s="23">
        <f t="shared" si="1329"/>
        <v>175.29</v>
      </c>
      <c r="CD171" s="23">
        <f>+'QTR Raw'!AX92</f>
        <v>211.07</v>
      </c>
      <c r="CE171" s="23">
        <f t="shared" si="1329"/>
        <v>211.07</v>
      </c>
      <c r="CF171" s="23">
        <f>+'QTR Raw'!AZ92</f>
        <v>227.34</v>
      </c>
      <c r="CG171" s="23">
        <f t="shared" si="1333"/>
        <v>227.34</v>
      </c>
      <c r="CH171" s="23">
        <f t="shared" si="1283"/>
        <v>356.62</v>
      </c>
      <c r="CJ171" s="23">
        <f>+'QTR Raw'!BD92</f>
        <v>252.78</v>
      </c>
      <c r="CK171" s="24"/>
      <c r="CL171" s="23">
        <f>+'QTR Raw'!BF92</f>
        <v>292.13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292.13</v>
      </c>
    </row>
    <row r="172" spans="1:110" s="22" customFormat="1" x14ac:dyDescent="0.2">
      <c r="A172" s="22" t="s">
        <v>73</v>
      </c>
      <c r="B172" s="22">
        <f>SUM(B165:B171)</f>
        <v>387.58449999999993</v>
      </c>
      <c r="C172" s="22">
        <f t="shared" ref="C172:V172" si="1334">SUM(C165:C171)</f>
        <v>475.35719999999998</v>
      </c>
      <c r="D172" s="22">
        <f t="shared" si="1334"/>
        <v>622.29840000000002</v>
      </c>
      <c r="E172" s="22">
        <f t="shared" si="1334"/>
        <v>656.70510000000002</v>
      </c>
      <c r="F172" s="22">
        <f t="shared" si="1334"/>
        <v>758.59469999999999</v>
      </c>
      <c r="G172" s="22">
        <f t="shared" si="1334"/>
        <v>890.10130000000004</v>
      </c>
      <c r="H172" s="22">
        <f t="shared" si="1334"/>
        <v>1117.9268</v>
      </c>
      <c r="I172" s="22">
        <f t="shared" si="1334"/>
        <v>1478.8269</v>
      </c>
      <c r="J172" s="22">
        <f t="shared" si="1334"/>
        <v>2235.962</v>
      </c>
      <c r="K172" s="22">
        <f t="shared" si="1334"/>
        <v>2247.4938000000002</v>
      </c>
      <c r="L172" s="22">
        <f t="shared" si="1334"/>
        <v>2623.2697000000003</v>
      </c>
      <c r="M172" s="22">
        <f t="shared" si="1334"/>
        <v>2436.6423</v>
      </c>
      <c r="N172" s="22">
        <f t="shared" si="1334"/>
        <v>2664.4627999999998</v>
      </c>
      <c r="O172" s="22">
        <f t="shared" si="1334"/>
        <v>2646.3841000000002</v>
      </c>
      <c r="P172" s="22">
        <f t="shared" si="1334"/>
        <v>2646.1787999999997</v>
      </c>
      <c r="Q172" s="22">
        <f t="shared" si="1334"/>
        <v>2760.9461000000001</v>
      </c>
      <c r="R172" s="22">
        <f t="shared" si="1334"/>
        <v>2962.7599999999998</v>
      </c>
      <c r="S172" s="22">
        <f t="shared" si="1334"/>
        <v>3217.17</v>
      </c>
      <c r="T172" s="22">
        <f t="shared" si="1334"/>
        <v>3056</v>
      </c>
      <c r="U172" s="22">
        <f t="shared" si="1334"/>
        <v>3620.0899999999997</v>
      </c>
      <c r="V172" s="22">
        <f t="shared" si="1334"/>
        <v>3365.4200000000005</v>
      </c>
      <c r="W172" s="22">
        <f t="shared" ref="W172" si="1335">SUM(W165:W171)</f>
        <v>3835.51</v>
      </c>
      <c r="X172" s="22">
        <f t="shared" ref="X172:Y172" si="1336">SUM(X165:X171)</f>
        <v>4164.04</v>
      </c>
      <c r="Y172" s="22">
        <f t="shared" si="1336"/>
        <v>5409.32</v>
      </c>
      <c r="Z172" s="22">
        <f t="shared" ref="Z172:AA172" si="1337">SUM(Z165:Z171)</f>
        <v>5690.0999999999995</v>
      </c>
      <c r="AA172" s="22">
        <f t="shared" si="1337"/>
        <v>7130.6299999999992</v>
      </c>
      <c r="AB172" s="21">
        <f t="shared" ref="AA172:AD172" si="1338">SUM(AB165:AB171)</f>
        <v>8556.7560000000012</v>
      </c>
      <c r="AC172" s="21">
        <f t="shared" si="1338"/>
        <v>9840.269400000001</v>
      </c>
      <c r="AD172" s="21">
        <f t="shared" si="1338"/>
        <v>11316.309810000001</v>
      </c>
      <c r="AE172" s="21">
        <f t="shared" ref="AE172" si="1339">SUM(AE165:AE171)</f>
        <v>13013.7562815</v>
      </c>
      <c r="AJ172" s="22">
        <f t="shared" ref="AJ172" si="1340">SUM(AJ165:AJ171)</f>
        <v>2299.54</v>
      </c>
      <c r="AK172" s="22">
        <f t="shared" ref="AK172" si="1341">SUM(AK165:AK171)</f>
        <v>2299.54</v>
      </c>
      <c r="AL172" s="22">
        <f t="shared" ref="AL172:AM172" si="1342">SUM(AL165:AL171)</f>
        <v>2665.68</v>
      </c>
      <c r="AM172" s="22">
        <f t="shared" si="1342"/>
        <v>2672.34280281258</v>
      </c>
      <c r="AN172" s="22">
        <f t="shared" ref="AN172:AO172" si="1343">SUM(AN165:AN171)</f>
        <v>2308.0099999999998</v>
      </c>
      <c r="AO172" s="22">
        <f t="shared" si="1343"/>
        <v>2359.0885463615077</v>
      </c>
      <c r="AP172" s="22">
        <f t="shared" ref="AP172:CE172" si="1344">SUM(AP165:AP171)</f>
        <v>2647.56</v>
      </c>
      <c r="AQ172" s="22">
        <f t="shared" si="1344"/>
        <v>2975.096544185506</v>
      </c>
      <c r="AR172" s="22">
        <f t="shared" si="1344"/>
        <v>2274.0299999999997</v>
      </c>
      <c r="AS172" s="22">
        <f t="shared" si="1344"/>
        <v>2228.0507659574469</v>
      </c>
      <c r="AT172" s="22">
        <f t="shared" si="1344"/>
        <v>2646.57</v>
      </c>
      <c r="AU172" s="22">
        <f t="shared" si="1344"/>
        <v>2717.4264001288616</v>
      </c>
      <c r="AV172" s="22">
        <f t="shared" si="1344"/>
        <v>2458.1099999999997</v>
      </c>
      <c r="AW172" s="22">
        <f t="shared" si="1344"/>
        <v>2744.4512477548051</v>
      </c>
      <c r="AX172" s="22">
        <f t="shared" si="1344"/>
        <v>2760.95</v>
      </c>
      <c r="AY172" s="22">
        <f t="shared" si="1344"/>
        <v>2748.4490610510043</v>
      </c>
      <c r="AZ172" s="22">
        <f t="shared" si="1344"/>
        <v>2331.08</v>
      </c>
      <c r="BA172" s="22">
        <f t="shared" si="1344"/>
        <v>2596.848938723942</v>
      </c>
      <c r="BB172" s="22">
        <f t="shared" si="1344"/>
        <v>2962.7599999999998</v>
      </c>
      <c r="BC172" s="22">
        <f t="shared" si="1344"/>
        <v>2852.6364321319948</v>
      </c>
      <c r="BD172" s="22">
        <f t="shared" si="1344"/>
        <v>2592.4499999999998</v>
      </c>
      <c r="BE172" s="22">
        <f t="shared" si="1344"/>
        <v>3074.7693934658682</v>
      </c>
      <c r="BF172" s="22">
        <f t="shared" si="1344"/>
        <v>3217.1699999999996</v>
      </c>
      <c r="BG172" s="22">
        <f t="shared" si="1344"/>
        <v>3323.112179234321</v>
      </c>
      <c r="BH172" s="22">
        <f t="shared" ref="BH172" si="1345">SUM(BH165:BH171)</f>
        <v>2924.34</v>
      </c>
      <c r="BI172" s="22">
        <f t="shared" si="1344"/>
        <v>3015.1231199696063</v>
      </c>
      <c r="BJ172" s="22">
        <f t="shared" si="1344"/>
        <v>3055.9999999999995</v>
      </c>
      <c r="BK172" s="22">
        <f t="shared" si="1344"/>
        <v>3736.4713445541097</v>
      </c>
      <c r="BL172" s="22">
        <f t="shared" si="1344"/>
        <v>2700.2599999999998</v>
      </c>
      <c r="BM172" s="22">
        <f t="shared" si="1344"/>
        <v>2796.1523983431089</v>
      </c>
      <c r="BN172" s="22">
        <f t="shared" si="1344"/>
        <v>3620.0899999999997</v>
      </c>
      <c r="BO172" s="22">
        <f t="shared" si="1344"/>
        <v>2600.0739138507774</v>
      </c>
      <c r="BP172" s="22">
        <f t="shared" si="1344"/>
        <v>2623.56</v>
      </c>
      <c r="BQ172" s="22">
        <f t="shared" si="1344"/>
        <v>3064.6855807607867</v>
      </c>
      <c r="BR172" s="22">
        <f t="shared" si="1344"/>
        <v>3374.6300000000006</v>
      </c>
      <c r="BS172" s="22">
        <f t="shared" si="1344"/>
        <v>2569.3168513308642</v>
      </c>
      <c r="BT172" s="22">
        <f t="shared" si="1344"/>
        <v>2641.92</v>
      </c>
      <c r="BU172" s="22">
        <f t="shared" si="1344"/>
        <v>2753.4978578279297</v>
      </c>
      <c r="BV172" s="22">
        <f t="shared" si="1344"/>
        <v>3853.15</v>
      </c>
      <c r="BW172" s="22">
        <f t="shared" si="1344"/>
        <v>3965.0471532824818</v>
      </c>
      <c r="BX172" s="22">
        <f t="shared" si="1344"/>
        <v>3257.3100000000004</v>
      </c>
      <c r="BY172" s="22">
        <f t="shared" si="1344"/>
        <v>3562.2322499943448</v>
      </c>
      <c r="BZ172" s="22">
        <f t="shared" si="1344"/>
        <v>4164.0400000000009</v>
      </c>
      <c r="CA172" s="22">
        <f t="shared" si="1344"/>
        <v>4574.710538352273</v>
      </c>
      <c r="CB172" s="22">
        <f t="shared" si="1344"/>
        <v>3689.8500000000004</v>
      </c>
      <c r="CC172" s="22">
        <f t="shared" si="1344"/>
        <v>4056.1380579653251</v>
      </c>
      <c r="CD172" s="22">
        <f t="shared" si="1344"/>
        <v>5409.32</v>
      </c>
      <c r="CE172" s="22">
        <f t="shared" si="1344"/>
        <v>6054.4256568353121</v>
      </c>
      <c r="CF172" s="22">
        <f t="shared" ref="CF172:CG172" si="1346">SUM(CF165:CF171)</f>
        <v>4593.4000000000005</v>
      </c>
      <c r="CG172" s="22">
        <f t="shared" si="1346"/>
        <v>5177.4142338427946</v>
      </c>
      <c r="CH172" s="22">
        <f t="shared" ref="CH172:CI172" si="1347">SUM(CH165:CH171)</f>
        <v>5690.0999999999995</v>
      </c>
      <c r="CI172" s="22">
        <f t="shared" si="1347"/>
        <v>4700.7093897087816</v>
      </c>
      <c r="CJ172" s="22">
        <f t="shared" ref="CJ172:DB172" si="1348">SUM(CJ165:CJ171)</f>
        <v>4688.57</v>
      </c>
      <c r="CK172" s="21">
        <f t="shared" si="1348"/>
        <v>6133.5992105464966</v>
      </c>
      <c r="CL172" s="22">
        <f t="shared" ref="CL172" si="1349">SUM(CL165:CL171)</f>
        <v>7130.63</v>
      </c>
      <c r="CM172" s="21">
        <f t="shared" si="1348"/>
        <v>6894.9754894257785</v>
      </c>
      <c r="CN172" s="21">
        <f t="shared" si="1348"/>
        <v>4109.2764056687729</v>
      </c>
      <c r="CO172" s="21">
        <f t="shared" si="1348"/>
        <v>5375.7658556291844</v>
      </c>
      <c r="CP172" s="21">
        <f t="shared" si="1348"/>
        <v>8556.7560000000012</v>
      </c>
      <c r="CQ172" s="21">
        <f t="shared" si="1348"/>
        <v>7929.2218128396453</v>
      </c>
      <c r="CR172" s="21">
        <f t="shared" si="1348"/>
        <v>4725.6678665190893</v>
      </c>
      <c r="CS172" s="21">
        <f t="shared" si="1348"/>
        <v>6182.1307339735631</v>
      </c>
      <c r="CT172" s="21">
        <f t="shared" si="1348"/>
        <v>9840.269400000001</v>
      </c>
      <c r="CU172" s="21">
        <f t="shared" si="1348"/>
        <v>9118.6050847655933</v>
      </c>
      <c r="CV172" s="21">
        <f t="shared" si="1348"/>
        <v>5434.5180464969526</v>
      </c>
      <c r="CW172" s="21">
        <f t="shared" si="1348"/>
        <v>7109.4503440695971</v>
      </c>
      <c r="CX172" s="21">
        <f t="shared" si="1348"/>
        <v>11316.309810000001</v>
      </c>
      <c r="CY172" s="21">
        <f t="shared" si="1348"/>
        <v>10486.395847480431</v>
      </c>
      <c r="CZ172" s="21">
        <f t="shared" si="1348"/>
        <v>6249.6957534714957</v>
      </c>
      <c r="DA172" s="21">
        <f t="shared" si="1348"/>
        <v>8175.867895680035</v>
      </c>
      <c r="DB172" s="21">
        <f t="shared" si="1348"/>
        <v>13013.7562815</v>
      </c>
      <c r="DE172" s="126"/>
      <c r="DF172" s="22">
        <v>10522.684534731525</v>
      </c>
    </row>
    <row r="173" spans="1:110" s="22" customFormat="1" x14ac:dyDescent="0.2">
      <c r="A173" s="22" t="s">
        <v>74</v>
      </c>
      <c r="B173" s="22">
        <f>B164-B172</f>
        <v>39.916900000000112</v>
      </c>
      <c r="C173" s="22">
        <f t="shared" ref="C173:V173" si="1350">C164-C172</f>
        <v>-4.8245999999999754</v>
      </c>
      <c r="D173" s="22">
        <f t="shared" si="1350"/>
        <v>4.1241999999999734</v>
      </c>
      <c r="E173" s="22">
        <f t="shared" si="1350"/>
        <v>21.528099999999995</v>
      </c>
      <c r="F173" s="22">
        <f t="shared" si="1350"/>
        <v>21.449299999999994</v>
      </c>
      <c r="G173" s="22">
        <f t="shared" si="1350"/>
        <v>-3.3203000000000884</v>
      </c>
      <c r="H173" s="22">
        <f t="shared" si="1350"/>
        <v>55.304599999999937</v>
      </c>
      <c r="I173" s="22">
        <f t="shared" si="1350"/>
        <v>-115.97190000000001</v>
      </c>
      <c r="J173" s="22">
        <f t="shared" si="1350"/>
        <v>55.849899999999707</v>
      </c>
      <c r="K173" s="22">
        <f t="shared" si="1350"/>
        <v>108.52259999999978</v>
      </c>
      <c r="L173" s="22">
        <f t="shared" si="1350"/>
        <v>435.20679999999993</v>
      </c>
      <c r="M173" s="22">
        <f t="shared" si="1350"/>
        <v>819.15309999999999</v>
      </c>
      <c r="N173" s="22">
        <f t="shared" si="1350"/>
        <v>820.6837000000005</v>
      </c>
      <c r="O173" s="22">
        <f t="shared" si="1350"/>
        <v>769.29449999999997</v>
      </c>
      <c r="P173" s="22">
        <f t="shared" si="1350"/>
        <v>586.55729999999994</v>
      </c>
      <c r="Q173" s="22">
        <f t="shared" si="1350"/>
        <v>639.84029999999939</v>
      </c>
      <c r="R173" s="22">
        <f t="shared" si="1350"/>
        <v>586.5600000000004</v>
      </c>
      <c r="S173" s="22">
        <f t="shared" si="1350"/>
        <v>736.13000000000011</v>
      </c>
      <c r="T173" s="22">
        <f t="shared" si="1350"/>
        <v>1294.42</v>
      </c>
      <c r="U173" s="22">
        <f t="shared" si="1350"/>
        <v>1404.73</v>
      </c>
      <c r="V173" s="22">
        <f t="shared" si="1350"/>
        <v>1332.2800000000002</v>
      </c>
      <c r="W173" s="22">
        <f t="shared" ref="W173" si="1351">W164-W172</f>
        <v>1236.79</v>
      </c>
      <c r="X173" s="22">
        <f t="shared" ref="X173:Y173" si="1352">X164-X172</f>
        <v>1639.4700000000003</v>
      </c>
      <c r="Y173" s="22">
        <f t="shared" si="1352"/>
        <v>1309.2800000000007</v>
      </c>
      <c r="Z173" s="22">
        <f t="shared" ref="Z173:AA173" si="1353">Z164-Z172</f>
        <v>2440.2700000000013</v>
      </c>
      <c r="AA173" s="22">
        <f t="shared" si="1353"/>
        <v>2683.3500000000004</v>
      </c>
      <c r="AB173" s="21">
        <f t="shared" ref="AA173:AD173" si="1354">AB164-AB172</f>
        <v>3257.9279999999981</v>
      </c>
      <c r="AC173" s="21">
        <f t="shared" si="1354"/>
        <v>3746.617199999997</v>
      </c>
      <c r="AD173" s="21">
        <f t="shared" si="1354"/>
        <v>4308.6097800000007</v>
      </c>
      <c r="AE173" s="21">
        <f t="shared" ref="AE173" si="1355">AE164-AE172</f>
        <v>4954.9012469999998</v>
      </c>
      <c r="AJ173" s="22">
        <f t="shared" ref="AJ173" si="1356">AJ164-AJ172</f>
        <v>1048.4500000000003</v>
      </c>
      <c r="AK173" s="22">
        <f t="shared" ref="AK173" si="1357">AK164-AK172</f>
        <v>1027.8194741904176</v>
      </c>
      <c r="AL173" s="22">
        <f t="shared" ref="AL173:AM173" si="1358">AL164-AL172</f>
        <v>819.47000000000025</v>
      </c>
      <c r="AM173" s="22">
        <f t="shared" si="1358"/>
        <v>821.8771511667951</v>
      </c>
      <c r="AN173" s="22">
        <f t="shared" ref="AN173:AO173" si="1359">AN164-AN172</f>
        <v>783.5300000000002</v>
      </c>
      <c r="AO173" s="22">
        <f t="shared" si="1359"/>
        <v>803.9763833489128</v>
      </c>
      <c r="AP173" s="22">
        <f t="shared" ref="AP173:CE173" si="1360">AP164-AP172</f>
        <v>768.11999999999989</v>
      </c>
      <c r="AQ173" s="22">
        <f t="shared" si="1360"/>
        <v>890.82187331232308</v>
      </c>
      <c r="AR173" s="22">
        <f t="shared" si="1360"/>
        <v>933.59999999999991</v>
      </c>
      <c r="AS173" s="22">
        <f t="shared" si="1360"/>
        <v>912.49327659574465</v>
      </c>
      <c r="AT173" s="22">
        <f t="shared" si="1360"/>
        <v>586.17999999999984</v>
      </c>
      <c r="AU173" s="22">
        <f t="shared" si="1360"/>
        <v>616.71198581179488</v>
      </c>
      <c r="AV173" s="22">
        <f t="shared" si="1360"/>
        <v>819.73000000000047</v>
      </c>
      <c r="AW173" s="22">
        <f t="shared" si="1360"/>
        <v>961.98213169258997</v>
      </c>
      <c r="AX173" s="22">
        <f t="shared" si="1360"/>
        <v>639.84999999999991</v>
      </c>
      <c r="AY173" s="22">
        <f t="shared" si="1360"/>
        <v>637.39724884080351</v>
      </c>
      <c r="AZ173" s="22">
        <f t="shared" si="1360"/>
        <v>738.97000000000025</v>
      </c>
      <c r="BA173" s="22">
        <f t="shared" si="1360"/>
        <v>772.84432090966538</v>
      </c>
      <c r="BB173" s="22">
        <f t="shared" si="1360"/>
        <v>586.55999999999995</v>
      </c>
      <c r="BC173" s="22">
        <f t="shared" si="1360"/>
        <v>566.32105312253998</v>
      </c>
      <c r="BD173" s="22">
        <f t="shared" si="1360"/>
        <v>740.86000000000013</v>
      </c>
      <c r="BE173" s="22">
        <f t="shared" si="1360"/>
        <v>902.68934784076464</v>
      </c>
      <c r="BF173" s="22">
        <f t="shared" si="1360"/>
        <v>736.13000000000056</v>
      </c>
      <c r="BG173" s="22">
        <f t="shared" si="1360"/>
        <v>746.19942588777531</v>
      </c>
      <c r="BH173" s="22">
        <f t="shared" ref="BH173" si="1361">BH164-BH172</f>
        <v>1469.4100000000008</v>
      </c>
      <c r="BI173" s="22">
        <f t="shared" si="1360"/>
        <v>1505.1436811223061</v>
      </c>
      <c r="BJ173" s="22">
        <f t="shared" si="1360"/>
        <v>1294.4200000000005</v>
      </c>
      <c r="BK173" s="22">
        <f t="shared" si="1360"/>
        <v>1443.2502701130484</v>
      </c>
      <c r="BL173" s="22">
        <f t="shared" si="1360"/>
        <v>1388.67</v>
      </c>
      <c r="BM173" s="22">
        <f t="shared" si="1360"/>
        <v>1413.8479768485304</v>
      </c>
      <c r="BN173" s="22">
        <f t="shared" si="1360"/>
        <v>1417.7599999999998</v>
      </c>
      <c r="BO173" s="22">
        <f t="shared" si="1360"/>
        <v>1187.3839827146439</v>
      </c>
      <c r="BP173" s="22">
        <f t="shared" si="1360"/>
        <v>1924.0399999999995</v>
      </c>
      <c r="BQ173" s="22">
        <f t="shared" si="1360"/>
        <v>2164.6658009103653</v>
      </c>
      <c r="BR173" s="22">
        <f t="shared" si="1360"/>
        <v>1336.3600000000001</v>
      </c>
      <c r="BS173" s="22">
        <f t="shared" si="1360"/>
        <v>1135.0750087115243</v>
      </c>
      <c r="BT173" s="22">
        <f t="shared" si="1360"/>
        <v>1733.4899999999998</v>
      </c>
      <c r="BU173" s="22">
        <f t="shared" si="1360"/>
        <v>1807.9948614630439</v>
      </c>
      <c r="BV173" s="22">
        <f t="shared" si="1360"/>
        <v>1239.5800000000004</v>
      </c>
      <c r="BW173" s="22">
        <f t="shared" si="1360"/>
        <v>1271.1103475612958</v>
      </c>
      <c r="BX173" s="22">
        <f t="shared" si="1360"/>
        <v>1800.87</v>
      </c>
      <c r="BY173" s="22">
        <f t="shared" si="1360"/>
        <v>1946.8067365807874</v>
      </c>
      <c r="BZ173" s="22">
        <f t="shared" si="1360"/>
        <v>1675.1599999999989</v>
      </c>
      <c r="CA173" s="22">
        <f t="shared" si="1360"/>
        <v>1780.2857580492418</v>
      </c>
      <c r="CB173" s="22">
        <f t="shared" si="1360"/>
        <v>1780.9499999999989</v>
      </c>
      <c r="CC173" s="22">
        <f t="shared" si="1360"/>
        <v>1866.7169143604842</v>
      </c>
      <c r="CD173" s="22">
        <f t="shared" si="1360"/>
        <v>1344.0300000000007</v>
      </c>
      <c r="CE173" s="22">
        <f t="shared" si="1360"/>
        <v>1473.931104385565</v>
      </c>
      <c r="CF173" s="22">
        <f t="shared" ref="CF173:CG173" si="1362">CF164-CF172</f>
        <v>1909.1299999999992</v>
      </c>
      <c r="CG173" s="22">
        <f t="shared" si="1362"/>
        <v>2069.4327516980957</v>
      </c>
      <c r="CH173" s="22">
        <f t="shared" ref="CH173:CI173" si="1363">CH164-CH172</f>
        <v>2440.2700000000013</v>
      </c>
      <c r="CI173" s="22">
        <f t="shared" si="1363"/>
        <v>2015.957558289776</v>
      </c>
      <c r="CJ173" s="22">
        <f t="shared" ref="CJ173:DB173" si="1364">CJ164-CJ172</f>
        <v>3672.67</v>
      </c>
      <c r="CK173" s="21">
        <f t="shared" si="1364"/>
        <v>4804.5962441848578</v>
      </c>
      <c r="CL173" s="22">
        <f t="shared" ref="CL173" si="1365">CL164-CL172</f>
        <v>2714.9399999999996</v>
      </c>
      <c r="CM173" s="21">
        <f t="shared" si="1364"/>
        <v>2625.2161106748808</v>
      </c>
      <c r="CN173" s="21">
        <f t="shared" si="1364"/>
        <v>1564.5796913886124</v>
      </c>
      <c r="CO173" s="21">
        <f t="shared" si="1364"/>
        <v>2046.7871355100324</v>
      </c>
      <c r="CP173" s="21">
        <f t="shared" si="1364"/>
        <v>3257.9279999999981</v>
      </c>
      <c r="CQ173" s="21">
        <f t="shared" si="1364"/>
        <v>3018.9985272761132</v>
      </c>
      <c r="CR173" s="21">
        <f t="shared" si="1364"/>
        <v>1799.2666450969036</v>
      </c>
      <c r="CS173" s="21">
        <f t="shared" si="1364"/>
        <v>2353.8052058365356</v>
      </c>
      <c r="CT173" s="21">
        <f t="shared" si="1364"/>
        <v>3746.617199999997</v>
      </c>
      <c r="CU173" s="21">
        <f t="shared" si="1364"/>
        <v>3471.8483063675303</v>
      </c>
      <c r="CV173" s="21">
        <f t="shared" si="1364"/>
        <v>2069.1566418614384</v>
      </c>
      <c r="CW173" s="21">
        <f t="shared" si="1364"/>
        <v>2706.875986712017</v>
      </c>
      <c r="CX173" s="21">
        <f t="shared" si="1364"/>
        <v>4308.6097800000007</v>
      </c>
      <c r="CY173" s="21">
        <f t="shared" si="1364"/>
        <v>3992.625552322661</v>
      </c>
      <c r="CZ173" s="21">
        <f t="shared" si="1364"/>
        <v>2379.5301381406543</v>
      </c>
      <c r="DA173" s="21">
        <f t="shared" si="1364"/>
        <v>3112.9073847188183</v>
      </c>
      <c r="DB173" s="21">
        <f t="shared" si="1364"/>
        <v>4954.9012469999998</v>
      </c>
      <c r="DE173" s="126"/>
      <c r="DF173" s="22">
        <v>8242.6726720881707</v>
      </c>
    </row>
    <row r="174" spans="1:110" s="23" customFormat="1" x14ac:dyDescent="0.2">
      <c r="AB174" s="24"/>
      <c r="AC174" s="24"/>
      <c r="AD174" s="24"/>
      <c r="AE174" s="24"/>
      <c r="CK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outlineLevel="1" x14ac:dyDescent="0.2">
      <c r="A175" s="23" t="s">
        <v>75</v>
      </c>
      <c r="B175" s="23">
        <f>'Annual Raw'!C75</f>
        <v>5.9999999999999995E-4</v>
      </c>
      <c r="C175" s="23">
        <f>'Annual Raw'!D75</f>
        <v>1.0468</v>
      </c>
      <c r="D175" s="23">
        <f>'Annual Raw'!E75</f>
        <v>1.2942</v>
      </c>
      <c r="E175" s="23">
        <f>'Annual Raw'!F75</f>
        <v>0.87270000000000003</v>
      </c>
      <c r="F175" s="23">
        <f>'Annual Raw'!G75</f>
        <v>0.87290000000000001</v>
      </c>
      <c r="G175" s="23">
        <f>'Annual Raw'!H75</f>
        <v>17.577999999999999</v>
      </c>
      <c r="H175" s="23">
        <f>'Annual Raw'!I75</f>
        <v>95.470699999999994</v>
      </c>
      <c r="I175" s="23">
        <f>'Annual Raw'!J75</f>
        <v>227.28829999999999</v>
      </c>
      <c r="J175" s="23">
        <f>'Annual Raw'!K75</f>
        <v>124.4113</v>
      </c>
      <c r="K175" s="23">
        <f>'Annual Raw'!L75</f>
        <v>209.0171</v>
      </c>
      <c r="L175" s="23">
        <f>'Annual Raw'!M75</f>
        <v>224.721</v>
      </c>
      <c r="M175" s="23">
        <f>'Annual Raw'!N75</f>
        <v>223.3409</v>
      </c>
      <c r="N175" s="23">
        <f>'Annual Raw'!O75</f>
        <v>268.03890000000001</v>
      </c>
      <c r="O175" s="23">
        <f>'Annual Raw'!P75</f>
        <v>592.71389999999997</v>
      </c>
      <c r="P175" s="23">
        <f>'Annual Raw'!Q75</f>
        <v>466.98270000000002</v>
      </c>
      <c r="Q175" s="23">
        <f>'Annual Raw'!R75</f>
        <v>667.65480000000002</v>
      </c>
      <c r="R175" s="23">
        <f>'Annual Raw'!S75</f>
        <v>199.54</v>
      </c>
      <c r="S175" s="23">
        <f>'Annual Raw'!T75</f>
        <v>487.64</v>
      </c>
      <c r="T175" s="23">
        <f>'Annual Raw'!U75</f>
        <v>1235.69</v>
      </c>
      <c r="U175" s="23">
        <f>'Annual Raw'!V75</f>
        <v>520.39</v>
      </c>
      <c r="V175" s="23">
        <f>'Annual Raw'!W75</f>
        <v>249.32</v>
      </c>
      <c r="W175" s="23">
        <f>'Annual Raw'!X75</f>
        <v>434.27</v>
      </c>
      <c r="X175" s="23">
        <f>'Annual Raw'!Y75</f>
        <v>307.16000000000003</v>
      </c>
      <c r="Y175" s="23">
        <f>'Annual Raw'!Z75</f>
        <v>501.46</v>
      </c>
      <c r="Z175" s="23">
        <f>'Annual Raw'!AA75</f>
        <v>398.66</v>
      </c>
      <c r="AA175" s="23">
        <f>'Annual Raw'!AB75</f>
        <v>277.08</v>
      </c>
      <c r="AB175" s="24">
        <f t="shared" ref="AB175:AB176" si="1366">+CP175</f>
        <v>0</v>
      </c>
      <c r="AC175" s="24">
        <f t="shared" ref="AC175:AC176" si="1367">+CT175</f>
        <v>0</v>
      </c>
      <c r="AD175" s="24">
        <f t="shared" ref="AD175:AD176" si="1368">+CX175</f>
        <v>0</v>
      </c>
      <c r="AE175" s="24">
        <f t="shared" ref="AE175:AE176" si="1369">+DB175</f>
        <v>0</v>
      </c>
      <c r="AJ175" s="23">
        <f>+'QTR Raw'!D80</f>
        <v>217.56</v>
      </c>
      <c r="AL175" s="23">
        <f>+'QTR Raw'!F80</f>
        <v>268.04000000000002</v>
      </c>
      <c r="AN175" s="23">
        <f>+'QTR Raw'!H80</f>
        <v>585.83000000000004</v>
      </c>
      <c r="AP175" s="23">
        <f>+'QTR Raw'!J80</f>
        <v>592.71</v>
      </c>
      <c r="AR175" s="23">
        <f>+'QTR Raw'!L80</f>
        <v>649.82000000000005</v>
      </c>
      <c r="AT175" s="23">
        <f>+'QTR Raw'!N80</f>
        <v>466.98</v>
      </c>
      <c r="AV175" s="23">
        <f>+'QTR Raw'!P80</f>
        <v>430.88</v>
      </c>
      <c r="AX175" s="23">
        <f>+'QTR Raw'!R80</f>
        <v>667.65</v>
      </c>
      <c r="AZ175" s="23">
        <f>+'QTR Raw'!T80</f>
        <v>238.6</v>
      </c>
      <c r="BB175" s="23">
        <f>+'QTR Raw'!V80</f>
        <v>199.54</v>
      </c>
      <c r="BD175" s="23">
        <f>+'QTR Raw'!X80</f>
        <v>0</v>
      </c>
      <c r="BF175" s="23">
        <f>+'QTR Raw'!Z80</f>
        <v>487.64</v>
      </c>
      <c r="BH175" s="23">
        <f>+'QTR Raw'!AB80</f>
        <v>0</v>
      </c>
      <c r="BJ175" s="23">
        <f>+'QTR Raw'!AD80</f>
        <v>1235.69</v>
      </c>
      <c r="BL175" s="23">
        <f>+'QTR Raw'!AF80</f>
        <v>1378.4</v>
      </c>
      <c r="BN175" s="23">
        <f>+'QTR Raw'!AH80</f>
        <v>520.39</v>
      </c>
      <c r="BP175" s="23">
        <f>+'QTR Raw'!AJ80</f>
        <v>164.38</v>
      </c>
      <c r="BR175" s="23">
        <f>+'QTR Raw'!AL80</f>
        <v>249.32</v>
      </c>
      <c r="BT175" s="23">
        <f>+'QTR Raw'!AN80</f>
        <v>205.49</v>
      </c>
      <c r="BV175" s="23">
        <f>+'QTR Raw'!AP80</f>
        <v>434.27</v>
      </c>
      <c r="BX175" s="23">
        <f>+'QTR Raw'!AR80</f>
        <v>673.34</v>
      </c>
      <c r="BZ175" s="23">
        <f>+'QTR Raw'!AT80</f>
        <v>307.16000000000003</v>
      </c>
      <c r="CB175" s="23">
        <f>+'QTR Raw'!AV80</f>
        <v>209.86</v>
      </c>
      <c r="CD175" s="23">
        <f>+'QTR Raw'!AX80</f>
        <v>501.46</v>
      </c>
      <c r="CF175" s="23">
        <f>+'QTR Raw'!AZ80</f>
        <v>285.89</v>
      </c>
      <c r="CH175" s="23">
        <f t="shared" ref="CH175:CH176" si="1370">Z175</f>
        <v>398.66</v>
      </c>
      <c r="CJ175" s="23">
        <f>+'QTR Raw'!BD80</f>
        <v>318.66000000000003</v>
      </c>
      <c r="CK175" s="24"/>
      <c r="CL175" s="23">
        <f>+'QTR Raw'!BF80</f>
        <v>277.08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277.08</v>
      </c>
    </row>
    <row r="176" spans="1:110" s="23" customFormat="1" outlineLevel="1" x14ac:dyDescent="0.2">
      <c r="A176" s="23" t="s">
        <v>76</v>
      </c>
      <c r="B176" s="23">
        <f>'Annual Raw'!C78</f>
        <v>19.704799999999999</v>
      </c>
      <c r="C176" s="23">
        <f>'Annual Raw'!D78</f>
        <v>80.6006</v>
      </c>
      <c r="D176" s="23">
        <f>'Annual Raw'!E78</f>
        <v>98.122</v>
      </c>
      <c r="E176" s="23">
        <f>'Annual Raw'!F78</f>
        <v>103.71599999999999</v>
      </c>
      <c r="F176" s="23">
        <f>'Annual Raw'!G78</f>
        <v>161.83369999999999</v>
      </c>
      <c r="G176" s="23">
        <f>'Annual Raw'!H78</f>
        <v>129.75739999999999</v>
      </c>
      <c r="H176" s="23">
        <f>'Annual Raw'!I78</f>
        <v>167.6661</v>
      </c>
      <c r="I176" s="23">
        <f>'Annual Raw'!J78</f>
        <v>300.18090000000001</v>
      </c>
      <c r="J176" s="23">
        <f>'Annual Raw'!K78</f>
        <v>457.05419999999998</v>
      </c>
      <c r="K176" s="23">
        <f>'Annual Raw'!L78</f>
        <v>468.9085</v>
      </c>
      <c r="L176" s="23">
        <f>'Annual Raw'!M78</f>
        <v>488.97660000000002</v>
      </c>
      <c r="M176" s="23">
        <f>'Annual Raw'!N78</f>
        <v>271.0487</v>
      </c>
      <c r="N176" s="23">
        <f>'Annual Raw'!O78</f>
        <v>349.8347</v>
      </c>
      <c r="O176" s="23">
        <f>'Annual Raw'!P78</f>
        <v>281.79539999999997</v>
      </c>
      <c r="P176" s="23">
        <f>'Annual Raw'!Q78</f>
        <v>251.63380000000001</v>
      </c>
      <c r="Q176" s="23">
        <f>'Annual Raw'!R78</f>
        <v>185.48050000000001</v>
      </c>
      <c r="R176" s="23">
        <f>'Annual Raw'!S78</f>
        <v>331.43</v>
      </c>
      <c r="S176" s="23">
        <f>'Annual Raw'!T78</f>
        <v>283.69</v>
      </c>
      <c r="T176" s="23">
        <f>'Annual Raw'!U78</f>
        <v>321.11</v>
      </c>
      <c r="U176" s="23">
        <f>'Annual Raw'!V78</f>
        <v>308.41000000000003</v>
      </c>
      <c r="V176" s="23">
        <f>'Annual Raw'!W78</f>
        <v>458.79</v>
      </c>
      <c r="W176" s="23">
        <f>'Annual Raw'!X78</f>
        <v>571.66999999999996</v>
      </c>
      <c r="X176" s="23">
        <f>'Annual Raw'!Y78</f>
        <v>708.38</v>
      </c>
      <c r="Y176" s="23">
        <f>'Annual Raw'!Z78</f>
        <v>852.32</v>
      </c>
      <c r="Z176" s="23">
        <f>'Annual Raw'!AA78</f>
        <v>678.24</v>
      </c>
      <c r="AA176" s="23">
        <f>'Annual Raw'!AB78</f>
        <v>780.93</v>
      </c>
      <c r="AB176" s="24">
        <f t="shared" si="1366"/>
        <v>1136.5455981352998</v>
      </c>
      <c r="AC176" s="24">
        <f t="shared" si="1367"/>
        <v>1418.5045051549198</v>
      </c>
      <c r="AD176" s="24">
        <f t="shared" si="1368"/>
        <v>1742.5261839571949</v>
      </c>
      <c r="AE176" s="24">
        <f t="shared" si="1369"/>
        <v>2112.8476959645768</v>
      </c>
      <c r="AJ176" s="23">
        <f>+'QTR Raw'!D83</f>
        <v>247.22</v>
      </c>
      <c r="AK176" s="23">
        <f t="shared" ref="AK176:AM176" si="1371">+AK226</f>
        <v>562.22052580958257</v>
      </c>
      <c r="AL176" s="23">
        <f>+'QTR Raw'!F83</f>
        <v>349.83</v>
      </c>
      <c r="AM176" s="23">
        <f t="shared" si="1371"/>
        <v>656.21284883320504</v>
      </c>
      <c r="AN176" s="23">
        <f>+'QTR Raw'!H83</f>
        <v>204.64</v>
      </c>
      <c r="AO176" s="23">
        <f t="shared" ref="AO176" si="1372">+AO226</f>
        <v>831.94361665108727</v>
      </c>
      <c r="AP176" s="23">
        <f>+'QTR Raw'!J83</f>
        <v>281.8</v>
      </c>
      <c r="AQ176" s="23">
        <f t="shared" ref="AQ176" si="1373">+AQ226</f>
        <v>860.79812668767681</v>
      </c>
      <c r="AR176" s="23">
        <f>+'QTR Raw'!L83</f>
        <v>193.97</v>
      </c>
      <c r="AS176" s="23">
        <f t="shared" ref="AS176" si="1374">+AS226</f>
        <v>972.26672340425523</v>
      </c>
      <c r="AT176" s="23">
        <f>+'QTR Raw'!N83</f>
        <v>251.63</v>
      </c>
      <c r="AU176" s="23">
        <f t="shared" ref="AU176" si="1375">+AU226</f>
        <v>790.61801418820494</v>
      </c>
      <c r="AV176" s="23">
        <f>+'QTR Raw'!P83</f>
        <v>247.25</v>
      </c>
      <c r="AW176" s="23">
        <f t="shared" ref="AW176" si="1376">+AW226</f>
        <v>592.70786830741019</v>
      </c>
      <c r="AX176" s="23">
        <f>+'QTR Raw'!R83</f>
        <v>185.48</v>
      </c>
      <c r="AY176" s="23">
        <f t="shared" ref="AY176" si="1377">+AY226</f>
        <v>1013.2027511591961</v>
      </c>
      <c r="AZ176" s="23">
        <f>+'QTR Raw'!T83</f>
        <v>186.35</v>
      </c>
      <c r="BA176" s="23">
        <f t="shared" ref="BA176" si="1378">+BA226</f>
        <v>471.2656790903348</v>
      </c>
      <c r="BB176" s="23">
        <f>+'QTR Raw'!V83</f>
        <v>331.43</v>
      </c>
      <c r="BC176" s="23">
        <f t="shared" ref="BC176" si="1379">+BC226</f>
        <v>736.84894687745975</v>
      </c>
      <c r="BD176" s="23">
        <f>+'QTR Raw'!X83</f>
        <v>258.67</v>
      </c>
      <c r="BE176" s="23">
        <f t="shared" ref="BE176" si="1380">+BE226</f>
        <v>196.32065215923558</v>
      </c>
      <c r="BF176" s="23">
        <f>+'QTR Raw'!Z83</f>
        <v>283.69</v>
      </c>
      <c r="BG176" s="23">
        <f t="shared" ref="BG176" si="1381">+BG226</f>
        <v>945.1805741122248</v>
      </c>
      <c r="BH176" s="23">
        <f>+'QTR Raw'!AB83</f>
        <v>262.32</v>
      </c>
      <c r="BI176" s="23">
        <f t="shared" ref="BI176" si="1382">+BI226</f>
        <v>307.50631887769464</v>
      </c>
      <c r="BJ176" s="23">
        <f>+'QTR Raw'!AD83</f>
        <v>321.11</v>
      </c>
      <c r="BK176" s="23">
        <f t="shared" ref="BK176" si="1383">+BK226</f>
        <v>1573.1497298869522</v>
      </c>
      <c r="BL176" s="23">
        <f>+'QTR Raw'!AF83</f>
        <v>282.39999999999998</v>
      </c>
      <c r="BM176" s="23">
        <f t="shared" ref="BM176" si="1384">+BM226</f>
        <v>1722.5320231514704</v>
      </c>
      <c r="BN176" s="23">
        <f>+'QTR Raw'!AH83</f>
        <v>308.41000000000003</v>
      </c>
      <c r="BO176" s="23">
        <f t="shared" ref="BO176" si="1385">+BO226</f>
        <v>1140.3260172853556</v>
      </c>
      <c r="BP176" s="23">
        <f>+'QTR Raw'!AJ83</f>
        <v>331.06</v>
      </c>
      <c r="BQ176" s="23">
        <f t="shared" ref="BQ176" si="1386">+BQ226</f>
        <v>382.72419908963406</v>
      </c>
      <c r="BR176" s="23">
        <f>+'QTR Raw'!AL83</f>
        <v>458.79</v>
      </c>
      <c r="BS176" s="23">
        <f t="shared" ref="BS176" si="1387">+BS226</f>
        <v>1031.1949912884756</v>
      </c>
      <c r="BT176" s="23">
        <f>+'QTR Raw'!AN83</f>
        <v>397.01</v>
      </c>
      <c r="BU176" s="23">
        <f t="shared" ref="BU176" si="1388">+BU226</f>
        <v>623.97513853695546</v>
      </c>
      <c r="BV176" s="23">
        <f>+'QTR Raw'!AP83</f>
        <v>571.66999999999996</v>
      </c>
      <c r="BW176" s="23">
        <f t="shared" ref="BW176" si="1389">+BW226</f>
        <v>1083.2896524387047</v>
      </c>
      <c r="BX176" s="23">
        <f>+'QTR Raw'!AR83</f>
        <v>553.46</v>
      </c>
      <c r="BY176" s="23">
        <f t="shared" ref="BY176" si="1390">+BY226</f>
        <v>970.48326341921256</v>
      </c>
      <c r="BZ176" s="23">
        <f>+'QTR Raw'!AT83</f>
        <v>708.38</v>
      </c>
      <c r="CA176" s="23">
        <f t="shared" ref="CA176" si="1391">+CA226</f>
        <v>1039.704241950757</v>
      </c>
      <c r="CB176" s="23">
        <f>+'QTR Raw'!AV83</f>
        <v>679.84</v>
      </c>
      <c r="CC176" s="23">
        <f t="shared" ref="CC176" si="1392">+CC226</f>
        <v>773.52308563951465</v>
      </c>
      <c r="CD176" s="23">
        <f>+'QTR Raw'!AX83</f>
        <v>852.32</v>
      </c>
      <c r="CE176" s="23">
        <f t="shared" ref="CE176" si="1393">+CE226</f>
        <v>1558.1088956144345</v>
      </c>
      <c r="CF176" s="23">
        <f>+'QTR Raw'!AZ83</f>
        <v>678.14</v>
      </c>
      <c r="CG176" s="23">
        <f t="shared" ref="CG176:CI176" si="1394">+CG226</f>
        <v>935.85724830190372</v>
      </c>
      <c r="CH176" s="23">
        <f t="shared" si="1370"/>
        <v>678.24</v>
      </c>
      <c r="CI176" s="23">
        <f t="shared" si="1394"/>
        <v>1660.1424417102253</v>
      </c>
      <c r="CJ176" s="23">
        <f>+'QTR Raw'!BD83</f>
        <v>498.43</v>
      </c>
      <c r="CK176" s="24">
        <f t="shared" ref="CK176:DB176" si="1395">+CK226</f>
        <v>-209.26624418485756</v>
      </c>
      <c r="CL176" s="23">
        <f>+'QTR Raw'!BF83</f>
        <v>780.93</v>
      </c>
      <c r="CM176" s="24">
        <f t="shared" si="1395"/>
        <v>1312.6067192267246</v>
      </c>
      <c r="CN176" s="24">
        <f t="shared" si="1395"/>
        <v>2462.1182371331788</v>
      </c>
      <c r="CO176" s="24">
        <f t="shared" si="1395"/>
        <v>2107.8171281602818</v>
      </c>
      <c r="CP176" s="24">
        <f t="shared" si="1395"/>
        <v>1136.5455981352998</v>
      </c>
      <c r="CQ176" s="24">
        <f t="shared" si="1395"/>
        <v>1604.9043172316565</v>
      </c>
      <c r="CR176" s="24">
        <f t="shared" si="1395"/>
        <v>2941.2917459915079</v>
      </c>
      <c r="CS176" s="24">
        <f t="shared" si="1395"/>
        <v>2532.1165566419641</v>
      </c>
      <c r="CT176" s="24">
        <f t="shared" si="1395"/>
        <v>1418.5045051549198</v>
      </c>
      <c r="CU176" s="24">
        <f t="shared" si="1395"/>
        <v>1962.2320079182878</v>
      </c>
      <c r="CV176" s="24">
        <f t="shared" si="1395"/>
        <v>3501.1559021220355</v>
      </c>
      <c r="CW176" s="24">
        <f t="shared" si="1395"/>
        <v>3028.5517230332671</v>
      </c>
      <c r="CX176" s="24">
        <f t="shared" si="1395"/>
        <v>1742.5261839571949</v>
      </c>
      <c r="CY176" s="24">
        <f t="shared" si="1395"/>
        <v>2368.8626701306221</v>
      </c>
      <c r="CZ176" s="24">
        <f t="shared" si="1395"/>
        <v>4138.1078221351254</v>
      </c>
      <c r="DA176" s="24">
        <f t="shared" si="1395"/>
        <v>3593.199763648845</v>
      </c>
      <c r="DB176" s="24">
        <f t="shared" si="1395"/>
        <v>2112.8476959645768</v>
      </c>
      <c r="DE176" s="123"/>
      <c r="DF176" s="23">
        <v>-3355.2113327658285</v>
      </c>
    </row>
    <row r="177" spans="1:110" s="22" customFormat="1" x14ac:dyDescent="0.2">
      <c r="A177" s="22" t="s">
        <v>77</v>
      </c>
      <c r="B177" s="22">
        <f>B175+B176</f>
        <v>19.705399999999997</v>
      </c>
      <c r="C177" s="22">
        <f t="shared" ref="C177:V177" si="1396">C175+C176</f>
        <v>81.647400000000005</v>
      </c>
      <c r="D177" s="22">
        <f t="shared" si="1396"/>
        <v>99.416200000000003</v>
      </c>
      <c r="E177" s="22">
        <f t="shared" si="1396"/>
        <v>104.58869999999999</v>
      </c>
      <c r="F177" s="22">
        <f t="shared" si="1396"/>
        <v>162.70659999999998</v>
      </c>
      <c r="G177" s="22">
        <f t="shared" si="1396"/>
        <v>147.33539999999999</v>
      </c>
      <c r="H177" s="22">
        <f t="shared" si="1396"/>
        <v>263.13679999999999</v>
      </c>
      <c r="I177" s="22">
        <f t="shared" si="1396"/>
        <v>527.4692</v>
      </c>
      <c r="J177" s="22">
        <f t="shared" si="1396"/>
        <v>581.46550000000002</v>
      </c>
      <c r="K177" s="22">
        <f t="shared" si="1396"/>
        <v>677.92560000000003</v>
      </c>
      <c r="L177" s="22">
        <f t="shared" si="1396"/>
        <v>713.69759999999997</v>
      </c>
      <c r="M177" s="22">
        <f t="shared" si="1396"/>
        <v>494.38959999999997</v>
      </c>
      <c r="N177" s="22">
        <f t="shared" si="1396"/>
        <v>617.87360000000001</v>
      </c>
      <c r="O177" s="22">
        <f t="shared" si="1396"/>
        <v>874.50929999999994</v>
      </c>
      <c r="P177" s="22">
        <f t="shared" si="1396"/>
        <v>718.61650000000009</v>
      </c>
      <c r="Q177" s="22">
        <f t="shared" si="1396"/>
        <v>853.13530000000003</v>
      </c>
      <c r="R177" s="22">
        <f t="shared" si="1396"/>
        <v>530.97</v>
      </c>
      <c r="S177" s="22">
        <f t="shared" si="1396"/>
        <v>771.32999999999993</v>
      </c>
      <c r="T177" s="22">
        <f t="shared" si="1396"/>
        <v>1556.8000000000002</v>
      </c>
      <c r="U177" s="22">
        <f t="shared" si="1396"/>
        <v>828.8</v>
      </c>
      <c r="V177" s="22">
        <f t="shared" si="1396"/>
        <v>708.11</v>
      </c>
      <c r="W177" s="22">
        <f t="shared" ref="W177" si="1397">W175+W176</f>
        <v>1005.9399999999999</v>
      </c>
      <c r="X177" s="22">
        <f t="shared" ref="X177:Y177" si="1398">X175+X176</f>
        <v>1015.54</v>
      </c>
      <c r="Y177" s="22">
        <f t="shared" si="1398"/>
        <v>1353.78</v>
      </c>
      <c r="Z177" s="22">
        <f t="shared" ref="Z177:AA177" si="1399">Z175+Z176</f>
        <v>1076.9000000000001</v>
      </c>
      <c r="AA177" s="22">
        <f t="shared" si="1399"/>
        <v>1058.01</v>
      </c>
      <c r="AB177" s="21">
        <f t="shared" ref="AA177:AD177" si="1400">AB175+AB176</f>
        <v>1136.5455981352998</v>
      </c>
      <c r="AC177" s="21">
        <f t="shared" si="1400"/>
        <v>1418.5045051549198</v>
      </c>
      <c r="AD177" s="21">
        <f t="shared" si="1400"/>
        <v>1742.5261839571949</v>
      </c>
      <c r="AE177" s="21">
        <f t="shared" ref="AE177" si="1401">AE175+AE176</f>
        <v>2112.8476959645768</v>
      </c>
      <c r="AJ177" s="22">
        <f t="shared" ref="AJ177" si="1402">AJ175+AJ176</f>
        <v>464.78</v>
      </c>
      <c r="AK177" s="22">
        <f t="shared" ref="AK177" si="1403">AK175+AK176</f>
        <v>562.22052580958257</v>
      </c>
      <c r="AL177" s="22">
        <f t="shared" ref="AL177:AM177" si="1404">AL175+AL176</f>
        <v>617.87</v>
      </c>
      <c r="AM177" s="22">
        <f t="shared" si="1404"/>
        <v>656.21284883320504</v>
      </c>
      <c r="AN177" s="22">
        <f t="shared" ref="AN177:AO177" si="1405">AN175+AN176</f>
        <v>790.47</v>
      </c>
      <c r="AO177" s="22">
        <f t="shared" si="1405"/>
        <v>831.94361665108727</v>
      </c>
      <c r="AP177" s="22">
        <f t="shared" ref="AP177:CE177" si="1406">AP175+AP176</f>
        <v>874.51</v>
      </c>
      <c r="AQ177" s="22">
        <f t="shared" si="1406"/>
        <v>860.79812668767681</v>
      </c>
      <c r="AR177" s="22">
        <f t="shared" si="1406"/>
        <v>843.79000000000008</v>
      </c>
      <c r="AS177" s="22">
        <f t="shared" si="1406"/>
        <v>972.26672340425523</v>
      </c>
      <c r="AT177" s="22">
        <f t="shared" si="1406"/>
        <v>718.61</v>
      </c>
      <c r="AU177" s="22">
        <f t="shared" si="1406"/>
        <v>790.61801418820494</v>
      </c>
      <c r="AV177" s="22">
        <f t="shared" si="1406"/>
        <v>678.13</v>
      </c>
      <c r="AW177" s="22">
        <f t="shared" si="1406"/>
        <v>592.70786830741019</v>
      </c>
      <c r="AX177" s="22">
        <f t="shared" si="1406"/>
        <v>853.13</v>
      </c>
      <c r="AY177" s="22">
        <f t="shared" si="1406"/>
        <v>1013.2027511591961</v>
      </c>
      <c r="AZ177" s="22">
        <f t="shared" si="1406"/>
        <v>424.95</v>
      </c>
      <c r="BA177" s="22">
        <f t="shared" si="1406"/>
        <v>471.2656790903348</v>
      </c>
      <c r="BB177" s="22">
        <f t="shared" si="1406"/>
        <v>530.97</v>
      </c>
      <c r="BC177" s="22">
        <f t="shared" si="1406"/>
        <v>736.84894687745975</v>
      </c>
      <c r="BD177" s="22">
        <f t="shared" si="1406"/>
        <v>258.67</v>
      </c>
      <c r="BE177" s="22">
        <f t="shared" si="1406"/>
        <v>196.32065215923558</v>
      </c>
      <c r="BF177" s="22">
        <f t="shared" si="1406"/>
        <v>771.32999999999993</v>
      </c>
      <c r="BG177" s="22">
        <f t="shared" si="1406"/>
        <v>945.1805741122248</v>
      </c>
      <c r="BH177" s="22">
        <f t="shared" si="1406"/>
        <v>262.32</v>
      </c>
      <c r="BI177" s="22">
        <f t="shared" si="1406"/>
        <v>307.50631887769464</v>
      </c>
      <c r="BJ177" s="22">
        <f t="shared" si="1406"/>
        <v>1556.8000000000002</v>
      </c>
      <c r="BK177" s="22">
        <f t="shared" si="1406"/>
        <v>1573.1497298869522</v>
      </c>
      <c r="BL177" s="22">
        <f t="shared" si="1406"/>
        <v>1660.8000000000002</v>
      </c>
      <c r="BM177" s="22">
        <f t="shared" si="1406"/>
        <v>1722.5320231514704</v>
      </c>
      <c r="BN177" s="22">
        <f t="shared" si="1406"/>
        <v>828.8</v>
      </c>
      <c r="BO177" s="22">
        <f t="shared" si="1406"/>
        <v>1140.3260172853556</v>
      </c>
      <c r="BP177" s="22">
        <f t="shared" si="1406"/>
        <v>495.44</v>
      </c>
      <c r="BQ177" s="22">
        <f t="shared" si="1406"/>
        <v>382.72419908963406</v>
      </c>
      <c r="BR177" s="22">
        <f t="shared" si="1406"/>
        <v>708.11</v>
      </c>
      <c r="BS177" s="22">
        <f t="shared" si="1406"/>
        <v>1031.1949912884756</v>
      </c>
      <c r="BT177" s="22">
        <f t="shared" si="1406"/>
        <v>602.5</v>
      </c>
      <c r="BU177" s="22">
        <f t="shared" si="1406"/>
        <v>623.97513853695546</v>
      </c>
      <c r="BV177" s="22">
        <f t="shared" si="1406"/>
        <v>1005.9399999999999</v>
      </c>
      <c r="BW177" s="22">
        <f t="shared" si="1406"/>
        <v>1083.2896524387047</v>
      </c>
      <c r="BX177" s="22">
        <f t="shared" si="1406"/>
        <v>1226.8000000000002</v>
      </c>
      <c r="BY177" s="22">
        <f t="shared" si="1406"/>
        <v>970.48326341921256</v>
      </c>
      <c r="BZ177" s="22">
        <f t="shared" si="1406"/>
        <v>1015.54</v>
      </c>
      <c r="CA177" s="22">
        <f t="shared" si="1406"/>
        <v>1039.704241950757</v>
      </c>
      <c r="CB177" s="22">
        <f t="shared" si="1406"/>
        <v>889.7</v>
      </c>
      <c r="CC177" s="22">
        <f t="shared" si="1406"/>
        <v>773.52308563951465</v>
      </c>
      <c r="CD177" s="22">
        <f t="shared" si="1406"/>
        <v>1353.78</v>
      </c>
      <c r="CE177" s="22">
        <f t="shared" si="1406"/>
        <v>1558.1088956144345</v>
      </c>
      <c r="CF177" s="22">
        <f t="shared" ref="CF177:CG177" si="1407">CF175+CF176</f>
        <v>964.03</v>
      </c>
      <c r="CG177" s="22">
        <f t="shared" si="1407"/>
        <v>935.85724830190372</v>
      </c>
      <c r="CH177" s="22">
        <f t="shared" ref="CH177:CI177" si="1408">CH175+CH176</f>
        <v>1076.9000000000001</v>
      </c>
      <c r="CI177" s="22">
        <f t="shared" si="1408"/>
        <v>1660.1424417102253</v>
      </c>
      <c r="CJ177" s="22">
        <f t="shared" ref="CJ177:DB177" si="1409">CJ175+CJ176</f>
        <v>817.09</v>
      </c>
      <c r="CK177" s="21">
        <f t="shared" si="1409"/>
        <v>-209.26624418485756</v>
      </c>
      <c r="CL177" s="22">
        <f t="shared" ref="CL177" si="1410">CL175+CL176</f>
        <v>1058.01</v>
      </c>
      <c r="CM177" s="21">
        <f t="shared" si="1409"/>
        <v>1312.6067192267246</v>
      </c>
      <c r="CN177" s="21">
        <f t="shared" si="1409"/>
        <v>2462.1182371331788</v>
      </c>
      <c r="CO177" s="21">
        <f t="shared" si="1409"/>
        <v>2107.8171281602818</v>
      </c>
      <c r="CP177" s="21">
        <f t="shared" si="1409"/>
        <v>1136.5455981352998</v>
      </c>
      <c r="CQ177" s="21">
        <f t="shared" si="1409"/>
        <v>1604.9043172316565</v>
      </c>
      <c r="CR177" s="21">
        <f t="shared" si="1409"/>
        <v>2941.2917459915079</v>
      </c>
      <c r="CS177" s="21">
        <f t="shared" si="1409"/>
        <v>2532.1165566419641</v>
      </c>
      <c r="CT177" s="21">
        <f t="shared" si="1409"/>
        <v>1418.5045051549198</v>
      </c>
      <c r="CU177" s="21">
        <f t="shared" si="1409"/>
        <v>1962.2320079182878</v>
      </c>
      <c r="CV177" s="21">
        <f t="shared" si="1409"/>
        <v>3501.1559021220355</v>
      </c>
      <c r="CW177" s="21">
        <f t="shared" si="1409"/>
        <v>3028.5517230332671</v>
      </c>
      <c r="CX177" s="21">
        <f t="shared" si="1409"/>
        <v>1742.5261839571949</v>
      </c>
      <c r="CY177" s="21">
        <f t="shared" si="1409"/>
        <v>2368.8626701306221</v>
      </c>
      <c r="CZ177" s="21">
        <f t="shared" si="1409"/>
        <v>4138.1078221351254</v>
      </c>
      <c r="DA177" s="21">
        <f t="shared" si="1409"/>
        <v>3593.199763648845</v>
      </c>
      <c r="DB177" s="21">
        <f t="shared" si="1409"/>
        <v>2112.8476959645768</v>
      </c>
      <c r="DE177" s="126"/>
      <c r="DF177" s="22">
        <v>-3355.2113327658285</v>
      </c>
    </row>
    <row r="178" spans="1:110" s="23" customFormat="1" x14ac:dyDescent="0.2">
      <c r="AB178" s="24"/>
      <c r="AC178" s="24"/>
      <c r="AD178" s="24"/>
      <c r="AE178" s="24"/>
      <c r="CK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x14ac:dyDescent="0.2">
      <c r="A179" s="23" t="s">
        <v>78</v>
      </c>
      <c r="B179" s="23">
        <f>-'Annual Raw'!C49</f>
        <v>0</v>
      </c>
      <c r="C179" s="23">
        <f>-'Annual Raw'!D49</f>
        <v>11.69</v>
      </c>
      <c r="D179" s="23">
        <f>-'Annual Raw'!E49</f>
        <v>13.653600000000001</v>
      </c>
      <c r="E179" s="23">
        <f>-'Annual Raw'!F49</f>
        <v>10.2225</v>
      </c>
      <c r="F179" s="23">
        <f>-'Annual Raw'!G49</f>
        <v>21.163499999999999</v>
      </c>
      <c r="G179" s="23">
        <f>-'Annual Raw'!H49</f>
        <v>25.63</v>
      </c>
      <c r="H179" s="23">
        <f>-'Annual Raw'!I49</f>
        <v>27.897600000000001</v>
      </c>
      <c r="I179" s="23">
        <f>-'Annual Raw'!J49</f>
        <v>18.9312</v>
      </c>
      <c r="J179" s="23">
        <f>-'Annual Raw'!K49</f>
        <v>22.398800000000001</v>
      </c>
      <c r="K179" s="23">
        <f>-'Annual Raw'!L49</f>
        <v>20.237400000000001</v>
      </c>
      <c r="L179" s="23">
        <f>-'Annual Raw'!M49</f>
        <v>15.210599999999999</v>
      </c>
      <c r="M179" s="23">
        <f>-'Annual Raw'!N49</f>
        <v>24.242899999999999</v>
      </c>
      <c r="N179" s="23">
        <f>-'Annual Raw'!O49</f>
        <v>22.177099999999999</v>
      </c>
      <c r="O179" s="23">
        <f>-'Annual Raw'!P49</f>
        <v>23.892700000000001</v>
      </c>
      <c r="P179" s="23">
        <f>-'Annual Raw'!Q49</f>
        <v>34.853700000000003</v>
      </c>
      <c r="Q179" s="23">
        <f>-'Annual Raw'!R49</f>
        <v>31.045400000000001</v>
      </c>
      <c r="R179" s="23">
        <f>-'Annual Raw'!S49</f>
        <v>19.78</v>
      </c>
      <c r="S179" s="23">
        <f>-'Annual Raw'!T49</f>
        <v>4.5999999999999996</v>
      </c>
      <c r="T179" s="23">
        <f>-'Annual Raw'!U49</f>
        <v>99.3</v>
      </c>
      <c r="U179" s="23">
        <f>-'Annual Raw'!V49</f>
        <v>71.45</v>
      </c>
      <c r="V179" s="23">
        <f>-'Annual Raw'!W49</f>
        <v>55.77</v>
      </c>
      <c r="W179" s="23">
        <f>-'Annual Raw'!X49</f>
        <v>31.65</v>
      </c>
      <c r="X179" s="23">
        <f>-'Annual Raw'!Y49</f>
        <v>30.28</v>
      </c>
      <c r="Y179" s="23">
        <f>-'Annual Raw'!Z49</f>
        <v>-17.59</v>
      </c>
      <c r="Z179" s="23">
        <f>-'Annual Raw'!AA49</f>
        <v>-13.95</v>
      </c>
      <c r="AA179" s="23">
        <f>-'Annual Raw'!AB49</f>
        <v>37.01</v>
      </c>
      <c r="AB179" s="24">
        <f t="shared" ref="AB179:AB180" si="1411">+CP179</f>
        <v>37.01</v>
      </c>
      <c r="AC179" s="24">
        <f t="shared" ref="AC179:AC180" si="1412">+CT179</f>
        <v>37.01</v>
      </c>
      <c r="AD179" s="24">
        <f t="shared" ref="AD179:AD180" si="1413">+CX179</f>
        <v>37.01</v>
      </c>
      <c r="AE179" s="24">
        <f t="shared" ref="AE179:AE180" si="1414">+DB179</f>
        <v>37.01</v>
      </c>
      <c r="AJ179" s="23">
        <f>+'QTR Raw'!D96</f>
        <v>29.26</v>
      </c>
      <c r="AK179" s="23">
        <f t="shared" ref="AK179:CE179" si="1415">+AJ179</f>
        <v>29.26</v>
      </c>
      <c r="AL179" s="23">
        <f>+'QTR Raw'!F96</f>
        <v>22.18</v>
      </c>
      <c r="AM179" s="23">
        <f t="shared" si="1415"/>
        <v>22.18</v>
      </c>
      <c r="AN179" s="23">
        <f>+'QTR Raw'!H96</f>
        <v>28.22</v>
      </c>
      <c r="AO179" s="23">
        <f t="shared" si="1415"/>
        <v>28.22</v>
      </c>
      <c r="AP179" s="23">
        <f>+'QTR Raw'!J96</f>
        <v>23.89</v>
      </c>
      <c r="AQ179" s="23">
        <f t="shared" si="1415"/>
        <v>23.89</v>
      </c>
      <c r="AR179" s="23">
        <f>+'QTR Raw'!L96</f>
        <v>37.270000000000003</v>
      </c>
      <c r="AS179" s="23">
        <f t="shared" si="1415"/>
        <v>37.270000000000003</v>
      </c>
      <c r="AT179" s="23">
        <f>+'QTR Raw'!N96</f>
        <v>34.86</v>
      </c>
      <c r="AU179" s="23">
        <f t="shared" si="1415"/>
        <v>34.86</v>
      </c>
      <c r="AV179" s="23">
        <f>+'QTR Raw'!P96</f>
        <v>43.98</v>
      </c>
      <c r="AW179" s="23">
        <f t="shared" si="1415"/>
        <v>43.98</v>
      </c>
      <c r="AX179" s="23">
        <f>+'QTR Raw'!R96</f>
        <v>31.05</v>
      </c>
      <c r="AY179" s="23">
        <f t="shared" si="1415"/>
        <v>31.05</v>
      </c>
      <c r="AZ179" s="23">
        <f>+'QTR Raw'!T96</f>
        <v>17.71</v>
      </c>
      <c r="BA179" s="23">
        <f t="shared" si="1415"/>
        <v>17.71</v>
      </c>
      <c r="BB179" s="23">
        <f>+'QTR Raw'!V96</f>
        <v>19.78</v>
      </c>
      <c r="BC179" s="23">
        <f t="shared" si="1415"/>
        <v>19.78</v>
      </c>
      <c r="BD179" s="23">
        <f>+'QTR Raw'!X96</f>
        <v>13.41</v>
      </c>
      <c r="BE179" s="23">
        <f t="shared" si="1415"/>
        <v>13.41</v>
      </c>
      <c r="BF179" s="23">
        <f>+'QTR Raw'!Z96</f>
        <v>4.5999999999999996</v>
      </c>
      <c r="BG179" s="23">
        <f t="shared" si="1415"/>
        <v>4.5999999999999996</v>
      </c>
      <c r="BH179" s="23">
        <f>+'QTR Raw'!AB96</f>
        <v>54.63</v>
      </c>
      <c r="BI179" s="23">
        <f t="shared" si="1415"/>
        <v>54.63</v>
      </c>
      <c r="BJ179" s="23">
        <f>+'QTR Raw'!AD96</f>
        <v>99.3</v>
      </c>
      <c r="BK179" s="23">
        <f t="shared" si="1415"/>
        <v>99.3</v>
      </c>
      <c r="BL179" s="23">
        <f>+'QTR Raw'!AF96</f>
        <v>56.92</v>
      </c>
      <c r="BM179" s="23">
        <f t="shared" si="1415"/>
        <v>56.92</v>
      </c>
      <c r="BN179" s="23">
        <f>+'QTR Raw'!AH96</f>
        <v>71.45</v>
      </c>
      <c r="BO179" s="23">
        <f t="shared" si="1415"/>
        <v>71.45</v>
      </c>
      <c r="BP179" s="23">
        <f>+'QTR Raw'!AJ96</f>
        <v>63.67</v>
      </c>
      <c r="BQ179" s="23">
        <f t="shared" si="1415"/>
        <v>63.67</v>
      </c>
      <c r="BR179" s="23">
        <f>+'QTR Raw'!AL96</f>
        <v>55.77</v>
      </c>
      <c r="BS179" s="23">
        <f t="shared" si="1415"/>
        <v>55.77</v>
      </c>
      <c r="BT179" s="23">
        <f>+'QTR Raw'!AN96</f>
        <v>55.29</v>
      </c>
      <c r="BU179" s="23">
        <f t="shared" si="1415"/>
        <v>55.29</v>
      </c>
      <c r="BV179" s="23">
        <f>+'QTR Raw'!AP96</f>
        <v>31.65</v>
      </c>
      <c r="BW179" s="23">
        <f t="shared" si="1415"/>
        <v>31.65</v>
      </c>
      <c r="BX179" s="23">
        <f>+'QTR Raw'!AR96</f>
        <v>34.5</v>
      </c>
      <c r="BY179" s="23">
        <f t="shared" si="1415"/>
        <v>34.5</v>
      </c>
      <c r="BZ179" s="23">
        <f>+'QTR Raw'!AT96</f>
        <v>30.28</v>
      </c>
      <c r="CA179" s="23">
        <f t="shared" si="1415"/>
        <v>30.28</v>
      </c>
      <c r="CB179" s="23">
        <f>+'QTR Raw'!AV96</f>
        <v>-4.43</v>
      </c>
      <c r="CC179" s="23">
        <f t="shared" si="1415"/>
        <v>-4.43</v>
      </c>
      <c r="CD179" s="23">
        <f>+'QTR Raw'!AX96</f>
        <v>-17.59</v>
      </c>
      <c r="CE179" s="23">
        <f t="shared" si="1415"/>
        <v>-17.59</v>
      </c>
      <c r="CF179" s="23">
        <f>+'QTR Raw'!AZ96</f>
        <v>-63.45</v>
      </c>
      <c r="CG179" s="23">
        <f t="shared" ref="CG179:CI180" si="1416">+CF179</f>
        <v>-63.45</v>
      </c>
      <c r="CH179" s="23">
        <f t="shared" ref="CH179:CH180" si="1417">Z179</f>
        <v>-13.95</v>
      </c>
      <c r="CI179" s="23">
        <f t="shared" si="1416"/>
        <v>-13.95</v>
      </c>
      <c r="CJ179" s="23">
        <f>+'QTR Raw'!BD96</f>
        <v>-16.2</v>
      </c>
      <c r="CK179" s="24">
        <f t="shared" ref="CK179:CK180" si="1418">+CJ179</f>
        <v>-16.2</v>
      </c>
      <c r="CL179" s="23">
        <f>+'QTR Raw'!BF96</f>
        <v>37.01</v>
      </c>
      <c r="CM179" s="24">
        <f t="shared" ref="CM179:CM180" si="1419">+CL179</f>
        <v>37.01</v>
      </c>
      <c r="CN179" s="24">
        <f t="shared" ref="CN179:CN180" si="1420">+CM179</f>
        <v>37.01</v>
      </c>
      <c r="CO179" s="24">
        <f t="shared" ref="CO179:CO180" si="1421">+CN179</f>
        <v>37.01</v>
      </c>
      <c r="CP179" s="24">
        <f t="shared" ref="CP179:CP180" si="1422">+CO179</f>
        <v>37.01</v>
      </c>
      <c r="CQ179" s="24">
        <f t="shared" ref="CQ179:CQ180" si="1423">+CP179</f>
        <v>37.01</v>
      </c>
      <c r="CR179" s="24">
        <f t="shared" ref="CR179:CR180" si="1424">+CQ179</f>
        <v>37.01</v>
      </c>
      <c r="CS179" s="24">
        <f t="shared" ref="CS179:CS180" si="1425">+CR179</f>
        <v>37.01</v>
      </c>
      <c r="CT179" s="24">
        <f t="shared" ref="CT179:CT180" si="1426">+CS179</f>
        <v>37.01</v>
      </c>
      <c r="CU179" s="24">
        <f t="shared" ref="CU179:CU180" si="1427">+CT179</f>
        <v>37.01</v>
      </c>
      <c r="CV179" s="24">
        <f t="shared" ref="CV179:CV180" si="1428">+CU179</f>
        <v>37.01</v>
      </c>
      <c r="CW179" s="24">
        <f t="shared" ref="CW179:CW180" si="1429">+CV179</f>
        <v>37.01</v>
      </c>
      <c r="CX179" s="24">
        <f t="shared" ref="CX179:CX180" si="1430">+CW179</f>
        <v>37.01</v>
      </c>
      <c r="CY179" s="24">
        <f t="shared" ref="CY179:CY180" si="1431">+CX179</f>
        <v>37.01</v>
      </c>
      <c r="CZ179" s="24">
        <f t="shared" ref="CZ179:CZ180" si="1432">+CY179</f>
        <v>37.01</v>
      </c>
      <c r="DA179" s="24">
        <f t="shared" ref="DA179:DA180" si="1433">+CZ179</f>
        <v>37.01</v>
      </c>
      <c r="DB179" s="24">
        <f t="shared" ref="DB179:DB180" si="1434">+DA179</f>
        <v>37.01</v>
      </c>
      <c r="DE179" s="123"/>
      <c r="DF179" s="23">
        <v>-16.2</v>
      </c>
    </row>
    <row r="180" spans="1:110" s="23" customFormat="1" x14ac:dyDescent="0.2">
      <c r="A180" s="23" t="s">
        <v>79</v>
      </c>
      <c r="B180" s="23">
        <f>'Annual Raw'!C83</f>
        <v>56.336100000000002</v>
      </c>
      <c r="C180" s="23">
        <f>'Annual Raw'!D83</f>
        <v>53.172199999999997</v>
      </c>
      <c r="D180" s="23">
        <f>'Annual Raw'!E83</f>
        <v>8.9932999999999996</v>
      </c>
      <c r="E180" s="23">
        <f>'Annual Raw'!F83</f>
        <v>0</v>
      </c>
      <c r="F180" s="23">
        <f>'Annual Raw'!G83</f>
        <v>0</v>
      </c>
      <c r="G180" s="23">
        <f>'Annual Raw'!H83</f>
        <v>0</v>
      </c>
      <c r="H180" s="23">
        <f>'Annual Raw'!I83</f>
        <v>0</v>
      </c>
      <c r="I180" s="23">
        <f>'Annual Raw'!J83</f>
        <v>0</v>
      </c>
      <c r="J180" s="23">
        <f>'Annual Raw'!K83</f>
        <v>0</v>
      </c>
      <c r="K180" s="23">
        <f>'Annual Raw'!L83</f>
        <v>0</v>
      </c>
      <c r="L180" s="23">
        <f>'Annual Raw'!M83</f>
        <v>0</v>
      </c>
      <c r="M180" s="23">
        <f>'Annual Raw'!N83</f>
        <v>0</v>
      </c>
      <c r="N180" s="23">
        <f>'Annual Raw'!O83</f>
        <v>0</v>
      </c>
      <c r="O180" s="23">
        <f>'Annual Raw'!P83</f>
        <v>0</v>
      </c>
      <c r="P180" s="23">
        <f>'Annual Raw'!Q83</f>
        <v>0</v>
      </c>
      <c r="Q180" s="23">
        <f>'Annual Raw'!R83</f>
        <v>0</v>
      </c>
      <c r="R180" s="23">
        <f>'Annual Raw'!S83</f>
        <v>0</v>
      </c>
      <c r="S180" s="23">
        <f>'Annual Raw'!T83</f>
        <v>0</v>
      </c>
      <c r="T180" s="23">
        <f>'Annual Raw'!U83</f>
        <v>0</v>
      </c>
      <c r="U180" s="23">
        <f>'Annual Raw'!V83</f>
        <v>0</v>
      </c>
      <c r="V180" s="23">
        <f>'Annual Raw'!W83</f>
        <v>0</v>
      </c>
      <c r="W180" s="23">
        <f>'Annual Raw'!X83</f>
        <v>0</v>
      </c>
      <c r="X180" s="23">
        <f>'Annual Raw'!Y83</f>
        <v>0</v>
      </c>
      <c r="Y180" s="23">
        <f>'Annual Raw'!Z83</f>
        <v>0</v>
      </c>
      <c r="Z180" s="23">
        <f>'Annual Raw'!AA83</f>
        <v>0</v>
      </c>
      <c r="AA180" s="23">
        <f>'Annual Raw'!AB83</f>
        <v>0</v>
      </c>
      <c r="AB180" s="24">
        <f t="shared" si="1411"/>
        <v>0</v>
      </c>
      <c r="AC180" s="24">
        <f t="shared" si="1412"/>
        <v>0</v>
      </c>
      <c r="AD180" s="24">
        <f t="shared" si="1413"/>
        <v>0</v>
      </c>
      <c r="AE180" s="24">
        <f t="shared" si="1414"/>
        <v>0</v>
      </c>
      <c r="AJ180" s="23">
        <f>+'QTR Raw'!D95</f>
        <v>0</v>
      </c>
      <c r="AK180" s="23">
        <f t="shared" ref="AK180:CE180" si="1435">+AJ180</f>
        <v>0</v>
      </c>
      <c r="AL180" s="23">
        <f>+'QTR Raw'!F95</f>
        <v>0</v>
      </c>
      <c r="AM180" s="23">
        <f t="shared" si="1435"/>
        <v>0</v>
      </c>
      <c r="AN180" s="23">
        <f>+'QTR Raw'!H95</f>
        <v>0</v>
      </c>
      <c r="AO180" s="23">
        <f t="shared" si="1435"/>
        <v>0</v>
      </c>
      <c r="AP180" s="23">
        <f>+'QTR Raw'!J95</f>
        <v>0</v>
      </c>
      <c r="AQ180" s="23">
        <f t="shared" si="1435"/>
        <v>0</v>
      </c>
      <c r="AR180" s="23">
        <f>+'QTR Raw'!L95</f>
        <v>0</v>
      </c>
      <c r="AS180" s="23">
        <f t="shared" si="1435"/>
        <v>0</v>
      </c>
      <c r="AT180" s="23">
        <f>+'QTR Raw'!N95</f>
        <v>0</v>
      </c>
      <c r="AU180" s="23">
        <f t="shared" si="1435"/>
        <v>0</v>
      </c>
      <c r="AV180" s="23">
        <f>+'QTR Raw'!P95</f>
        <v>0</v>
      </c>
      <c r="AW180" s="23">
        <f t="shared" si="1435"/>
        <v>0</v>
      </c>
      <c r="AX180" s="23">
        <f>+'QTR Raw'!R95</f>
        <v>0</v>
      </c>
      <c r="AY180" s="23">
        <f t="shared" si="1435"/>
        <v>0</v>
      </c>
      <c r="AZ180" s="23">
        <f>+'QTR Raw'!T95</f>
        <v>0</v>
      </c>
      <c r="BA180" s="23">
        <f t="shared" si="1435"/>
        <v>0</v>
      </c>
      <c r="BB180" s="23">
        <f>+'QTR Raw'!V95</f>
        <v>0</v>
      </c>
      <c r="BC180" s="23">
        <f t="shared" si="1435"/>
        <v>0</v>
      </c>
      <c r="BD180" s="23">
        <f>+'QTR Raw'!X95</f>
        <v>0</v>
      </c>
      <c r="BE180" s="23">
        <f t="shared" si="1435"/>
        <v>0</v>
      </c>
      <c r="BF180" s="23">
        <f>+'QTR Raw'!Z95</f>
        <v>0</v>
      </c>
      <c r="BG180" s="23">
        <f t="shared" si="1435"/>
        <v>0</v>
      </c>
      <c r="BH180" s="23">
        <f>+'QTR Raw'!AB95</f>
        <v>0</v>
      </c>
      <c r="BI180" s="23">
        <f t="shared" si="1435"/>
        <v>0</v>
      </c>
      <c r="BJ180" s="23">
        <f>+'QTR Raw'!AD95</f>
        <v>0</v>
      </c>
      <c r="BK180" s="23">
        <f t="shared" si="1435"/>
        <v>0</v>
      </c>
      <c r="BL180" s="23">
        <f>+'QTR Raw'!AF95</f>
        <v>0</v>
      </c>
      <c r="BM180" s="23">
        <f t="shared" si="1435"/>
        <v>0</v>
      </c>
      <c r="BN180" s="23">
        <f>+'QTR Raw'!AH95</f>
        <v>0</v>
      </c>
      <c r="BO180" s="23">
        <f t="shared" si="1435"/>
        <v>0</v>
      </c>
      <c r="BP180" s="23">
        <f>+'QTR Raw'!AJ95</f>
        <v>0</v>
      </c>
      <c r="BQ180" s="23">
        <f t="shared" si="1435"/>
        <v>0</v>
      </c>
      <c r="BR180" s="23">
        <f>+'QTR Raw'!AL95</f>
        <v>0</v>
      </c>
      <c r="BS180" s="23">
        <f t="shared" si="1435"/>
        <v>0</v>
      </c>
      <c r="BT180" s="23">
        <f>+'QTR Raw'!AN95</f>
        <v>0</v>
      </c>
      <c r="BU180" s="23">
        <f t="shared" si="1435"/>
        <v>0</v>
      </c>
      <c r="BV180" s="23">
        <f>+'QTR Raw'!AP95</f>
        <v>0</v>
      </c>
      <c r="BW180" s="23">
        <f t="shared" si="1435"/>
        <v>0</v>
      </c>
      <c r="BX180" s="23">
        <f>+'QTR Raw'!AR95</f>
        <v>0</v>
      </c>
      <c r="BY180" s="23">
        <f t="shared" si="1435"/>
        <v>0</v>
      </c>
      <c r="BZ180" s="23">
        <f>+'QTR Raw'!AT95</f>
        <v>0</v>
      </c>
      <c r="CA180" s="23">
        <f t="shared" si="1435"/>
        <v>0</v>
      </c>
      <c r="CB180" s="23">
        <f>+'QTR Raw'!AV95</f>
        <v>0</v>
      </c>
      <c r="CC180" s="23">
        <f t="shared" si="1435"/>
        <v>0</v>
      </c>
      <c r="CD180" s="23">
        <f>+'QTR Raw'!AX95</f>
        <v>0</v>
      </c>
      <c r="CE180" s="23">
        <f t="shared" si="1435"/>
        <v>0</v>
      </c>
      <c r="CF180" s="23">
        <f>+'QTR Raw'!AZ95</f>
        <v>0</v>
      </c>
      <c r="CG180" s="23">
        <f t="shared" si="1416"/>
        <v>0</v>
      </c>
      <c r="CH180" s="23">
        <f t="shared" si="1417"/>
        <v>0</v>
      </c>
      <c r="CI180" s="23">
        <f t="shared" si="1416"/>
        <v>0</v>
      </c>
      <c r="CJ180" s="23">
        <f>+'QTR Raw'!BD95</f>
        <v>0</v>
      </c>
      <c r="CK180" s="24">
        <f t="shared" si="1418"/>
        <v>0</v>
      </c>
      <c r="CL180" s="23">
        <f>+'QTR Raw'!BF95</f>
        <v>0</v>
      </c>
      <c r="CM180" s="24">
        <f t="shared" si="1419"/>
        <v>0</v>
      </c>
      <c r="CN180" s="24">
        <f t="shared" si="1420"/>
        <v>0</v>
      </c>
      <c r="CO180" s="24">
        <f t="shared" si="1421"/>
        <v>0</v>
      </c>
      <c r="CP180" s="24">
        <f t="shared" si="1422"/>
        <v>0</v>
      </c>
      <c r="CQ180" s="24">
        <f t="shared" si="1423"/>
        <v>0</v>
      </c>
      <c r="CR180" s="24">
        <f t="shared" si="1424"/>
        <v>0</v>
      </c>
      <c r="CS180" s="24">
        <f t="shared" si="1425"/>
        <v>0</v>
      </c>
      <c r="CT180" s="24">
        <f t="shared" si="1426"/>
        <v>0</v>
      </c>
      <c r="CU180" s="24">
        <f t="shared" si="1427"/>
        <v>0</v>
      </c>
      <c r="CV180" s="24">
        <f t="shared" si="1428"/>
        <v>0</v>
      </c>
      <c r="CW180" s="24">
        <f t="shared" si="1429"/>
        <v>0</v>
      </c>
      <c r="CX180" s="24">
        <f t="shared" si="1430"/>
        <v>0</v>
      </c>
      <c r="CY180" s="24">
        <f t="shared" si="1431"/>
        <v>0</v>
      </c>
      <c r="CZ180" s="24">
        <f t="shared" si="1432"/>
        <v>0</v>
      </c>
      <c r="DA180" s="24">
        <f t="shared" si="1433"/>
        <v>0</v>
      </c>
      <c r="DB180" s="24">
        <f t="shared" si="1434"/>
        <v>0</v>
      </c>
      <c r="DE180" s="123"/>
      <c r="DF180" s="23">
        <v>0</v>
      </c>
    </row>
    <row r="181" spans="1:110" s="26" customFormat="1" x14ac:dyDescent="0.2">
      <c r="A181" s="26" t="s">
        <v>438</v>
      </c>
      <c r="B181" s="26">
        <f t="shared" ref="B181:W181" si="1436">B179+B177+B173+B156+B154+B180</f>
        <v>289.54180000000008</v>
      </c>
      <c r="C181" s="26">
        <f t="shared" si="1436"/>
        <v>307.24979999999999</v>
      </c>
      <c r="D181" s="26">
        <f t="shared" si="1436"/>
        <v>295.75009999999997</v>
      </c>
      <c r="E181" s="26">
        <f t="shared" si="1436"/>
        <v>317.9674</v>
      </c>
      <c r="F181" s="26">
        <f t="shared" si="1436"/>
        <v>346.26280000000003</v>
      </c>
      <c r="G181" s="26">
        <f t="shared" si="1436"/>
        <v>361.70179999999988</v>
      </c>
      <c r="H181" s="26">
        <f t="shared" si="1436"/>
        <v>535.75849999999991</v>
      </c>
      <c r="I181" s="26">
        <f t="shared" si="1436"/>
        <v>651.51220000000001</v>
      </c>
      <c r="J181" s="26">
        <f t="shared" si="1436"/>
        <v>987.09239999999977</v>
      </c>
      <c r="K181" s="26">
        <f t="shared" si="1436"/>
        <v>1134.2023999999997</v>
      </c>
      <c r="L181" s="26">
        <f t="shared" si="1436"/>
        <v>1519.4133999999997</v>
      </c>
      <c r="M181" s="26">
        <f t="shared" si="1436"/>
        <v>1720.0114999999998</v>
      </c>
      <c r="N181" s="26">
        <f t="shared" si="1436"/>
        <v>1899.8896000000004</v>
      </c>
      <c r="O181" s="26">
        <f t="shared" si="1436"/>
        <v>2097.2060000000001</v>
      </c>
      <c r="P181" s="26">
        <f t="shared" si="1436"/>
        <v>2240.1865000000003</v>
      </c>
      <c r="Q181" s="26">
        <f t="shared" si="1436"/>
        <v>3108.5045999999993</v>
      </c>
      <c r="R181" s="26">
        <f t="shared" si="1436"/>
        <v>3506.0800000000004</v>
      </c>
      <c r="S181" s="26">
        <f t="shared" si="1436"/>
        <v>4079.24</v>
      </c>
      <c r="T181" s="26">
        <f t="shared" si="1436"/>
        <v>4459.3900000000003</v>
      </c>
      <c r="U181" s="26">
        <f t="shared" si="1436"/>
        <v>4534.55</v>
      </c>
      <c r="V181" s="26">
        <f t="shared" si="1436"/>
        <v>5290.06</v>
      </c>
      <c r="W181" s="26">
        <f t="shared" si="1436"/>
        <v>5898.47</v>
      </c>
      <c r="X181" s="26">
        <f t="shared" ref="X181:Y181" si="1437">X179+X177+X173+X156+X154+X180</f>
        <v>6109.6900000000005</v>
      </c>
      <c r="Y181" s="26">
        <f t="shared" si="1437"/>
        <v>6567.52</v>
      </c>
      <c r="Z181" s="26">
        <f t="shared" ref="Z181:AA181" si="1438">Z179+Z177+Z173+Z156+Z154+Z180</f>
        <v>7403.6000000000013</v>
      </c>
      <c r="AA181" s="26">
        <f t="shared" si="1438"/>
        <v>7365.45</v>
      </c>
      <c r="AB181" s="27">
        <f t="shared" ref="AA181:AD181" si="1439">AB179+AB177+AB173+AB156+AB154+AB180</f>
        <v>7896.0462405637791</v>
      </c>
      <c r="AC181" s="27">
        <f t="shared" si="1439"/>
        <v>8584.5723410475439</v>
      </c>
      <c r="AD181" s="27">
        <f t="shared" si="1439"/>
        <v>9396.4172394109683</v>
      </c>
      <c r="AE181" s="27">
        <f t="shared" ref="AE181" si="1440">AE179+AE177+AE173+AE156+AE154+AE180</f>
        <v>10346.043374575134</v>
      </c>
      <c r="AJ181" s="26">
        <f t="shared" ref="AJ181" si="1441">AJ179+AJ177+AJ173+AJ156+AJ154+AJ180</f>
        <v>1915.3300000000002</v>
      </c>
      <c r="AK181" s="26">
        <f t="shared" ref="AK181:AL181" si="1442">AK179+AK177+AK173+AK156+AK154+AK180</f>
        <v>1992.14</v>
      </c>
      <c r="AL181" s="26">
        <f t="shared" si="1442"/>
        <v>1898.67</v>
      </c>
      <c r="AM181" s="26">
        <f t="shared" ref="AM181:AO181" si="1443">AM179+AM177+AM173+AM156+AM154+AM180</f>
        <v>1939.42</v>
      </c>
      <c r="AN181" s="26">
        <f t="shared" si="1443"/>
        <v>1986.4900000000002</v>
      </c>
      <c r="AO181" s="26">
        <f t="shared" si="1443"/>
        <v>2048.41</v>
      </c>
      <c r="AP181" s="26">
        <f t="shared" ref="AP181:CE181" si="1444">AP179+AP177+AP173+AP156+AP154+AP180</f>
        <v>2096.0299999999997</v>
      </c>
      <c r="AQ181" s="26">
        <f t="shared" si="1444"/>
        <v>2205.0199999999995</v>
      </c>
      <c r="AR181" s="26">
        <f t="shared" si="1444"/>
        <v>2187.71</v>
      </c>
      <c r="AS181" s="26">
        <f t="shared" si="1444"/>
        <v>2295.08</v>
      </c>
      <c r="AT181" s="26">
        <f t="shared" si="1444"/>
        <v>2239.7999999999997</v>
      </c>
      <c r="AU181" s="26">
        <f t="shared" si="1444"/>
        <v>2342.3399999999997</v>
      </c>
      <c r="AV181" s="26">
        <f t="shared" si="1444"/>
        <v>2458.3500000000004</v>
      </c>
      <c r="AW181" s="26">
        <f t="shared" si="1444"/>
        <v>2515.1800000000003</v>
      </c>
      <c r="AX181" s="26">
        <f t="shared" si="1444"/>
        <v>3108.5099999999998</v>
      </c>
      <c r="AY181" s="26">
        <f t="shared" si="1444"/>
        <v>3266.1299999999997</v>
      </c>
      <c r="AZ181" s="26">
        <f t="shared" si="1444"/>
        <v>3222</v>
      </c>
      <c r="BA181" s="26">
        <f t="shared" si="1444"/>
        <v>3302.1900000000005</v>
      </c>
      <c r="BB181" s="26">
        <f t="shared" si="1444"/>
        <v>3506.08</v>
      </c>
      <c r="BC181" s="26">
        <f t="shared" si="1444"/>
        <v>3691.72</v>
      </c>
      <c r="BD181" s="26">
        <f t="shared" si="1444"/>
        <v>3734.5600000000004</v>
      </c>
      <c r="BE181" s="26">
        <f t="shared" si="1444"/>
        <v>3834.0400000000004</v>
      </c>
      <c r="BF181" s="26">
        <f t="shared" si="1444"/>
        <v>4079.2400000000002</v>
      </c>
      <c r="BG181" s="26">
        <f t="shared" si="1444"/>
        <v>4263.16</v>
      </c>
      <c r="BH181" s="26">
        <f t="shared" ref="BH181" si="1445">BH179+BH177+BH173+BH156+BH154+BH180</f>
        <v>4442.8400000000011</v>
      </c>
      <c r="BI181" s="26">
        <f t="shared" si="1444"/>
        <v>4523.7600000000011</v>
      </c>
      <c r="BJ181" s="26">
        <f t="shared" si="1444"/>
        <v>4459.3900000000012</v>
      </c>
      <c r="BK181" s="26">
        <f t="shared" si="1444"/>
        <v>4624.5700000000015</v>
      </c>
      <c r="BL181" s="26">
        <f t="shared" si="1444"/>
        <v>4457.26</v>
      </c>
      <c r="BM181" s="26">
        <f t="shared" si="1444"/>
        <v>4544.170000000001</v>
      </c>
      <c r="BN181" s="26">
        <f t="shared" si="1444"/>
        <v>4534.55</v>
      </c>
      <c r="BO181" s="26">
        <f t="shared" si="1444"/>
        <v>4615.7</v>
      </c>
      <c r="BP181" s="26">
        <f t="shared" si="1444"/>
        <v>4851.3</v>
      </c>
      <c r="BQ181" s="26">
        <f t="shared" si="1444"/>
        <v>4979.21</v>
      </c>
      <c r="BR181" s="26">
        <f t="shared" si="1444"/>
        <v>5280.8499999999995</v>
      </c>
      <c r="BS181" s="26">
        <f t="shared" si="1444"/>
        <v>5402.65</v>
      </c>
      <c r="BT181" s="26">
        <f t="shared" si="1444"/>
        <v>5578.58</v>
      </c>
      <c r="BU181" s="26">
        <f t="shared" si="1444"/>
        <v>5674.5599999999995</v>
      </c>
      <c r="BV181" s="26">
        <f t="shared" si="1444"/>
        <v>5880.8300000000008</v>
      </c>
      <c r="BW181" s="26">
        <f t="shared" si="1444"/>
        <v>5989.7100000000009</v>
      </c>
      <c r="BX181" s="26">
        <f t="shared" si="1444"/>
        <v>5999.9400000000005</v>
      </c>
      <c r="BY181" s="26">
        <f t="shared" si="1444"/>
        <v>5889.56</v>
      </c>
      <c r="BZ181" s="26">
        <f t="shared" si="1444"/>
        <v>6109.6899999999987</v>
      </c>
      <c r="CA181" s="26">
        <f t="shared" si="1444"/>
        <v>6238.9799999999977</v>
      </c>
      <c r="CB181" s="26">
        <f t="shared" si="1444"/>
        <v>6278.079999999999</v>
      </c>
      <c r="CC181" s="26">
        <f t="shared" si="1444"/>
        <v>6247.6699999999992</v>
      </c>
      <c r="CD181" s="26">
        <f t="shared" si="1444"/>
        <v>6567.52</v>
      </c>
      <c r="CE181" s="26">
        <f t="shared" si="1444"/>
        <v>6901.75</v>
      </c>
      <c r="CF181" s="26">
        <f t="shared" ref="CF181:CG181" si="1446">CF179+CF177+CF173+CF156+CF154+CF180</f>
        <v>7141.9599999999982</v>
      </c>
      <c r="CG181" s="26">
        <f t="shared" si="1446"/>
        <v>7274.0899999999992</v>
      </c>
      <c r="CH181" s="26">
        <f t="shared" ref="CH181:CI181" si="1447">CH179+CH177+CH173+CH156+CH154+CH180</f>
        <v>7403.6000000000013</v>
      </c>
      <c r="CI181" s="26">
        <f t="shared" si="1447"/>
        <v>7544.0600000000013</v>
      </c>
      <c r="CJ181" s="26">
        <f t="shared" ref="CJ181:DB181" si="1448">CJ179+CJ177+CJ173+CJ156+CJ154+CJ180</f>
        <v>8120.5700000000006</v>
      </c>
      <c r="CK181" s="27">
        <f t="shared" si="1448"/>
        <v>8205.52</v>
      </c>
      <c r="CL181" s="26">
        <f t="shared" ref="CL181" si="1449">CL179+CL177+CL173+CL156+CL154+CL180</f>
        <v>7365.4499999999989</v>
      </c>
      <c r="CM181" s="27">
        <f t="shared" si="1448"/>
        <v>7506.7155076313538</v>
      </c>
      <c r="CN181" s="27">
        <f t="shared" si="1448"/>
        <v>7572.5768253463993</v>
      </c>
      <c r="CO181" s="27">
        <f t="shared" si="1448"/>
        <v>7678.0479979853135</v>
      </c>
      <c r="CP181" s="27">
        <f t="shared" si="1448"/>
        <v>7896.0462405637791</v>
      </c>
      <c r="CQ181" s="27">
        <f t="shared" si="1448"/>
        <v>8104.1542836642129</v>
      </c>
      <c r="CR181" s="27">
        <f t="shared" si="1448"/>
        <v>8200.0246901463961</v>
      </c>
      <c r="CS181" s="27">
        <f t="shared" si="1448"/>
        <v>8325.1255067734946</v>
      </c>
      <c r="CT181" s="27">
        <f t="shared" si="1448"/>
        <v>8584.5723410475439</v>
      </c>
      <c r="CU181" s="27">
        <f t="shared" si="1448"/>
        <v>8834.2744795053441</v>
      </c>
      <c r="CV181" s="27">
        <f t="shared" si="1448"/>
        <v>8951.7343896657094</v>
      </c>
      <c r="CW181" s="27">
        <f t="shared" si="1448"/>
        <v>9098.549214373721</v>
      </c>
      <c r="CX181" s="27">
        <f t="shared" si="1448"/>
        <v>9396.4172394109683</v>
      </c>
      <c r="CY181" s="27">
        <f t="shared" si="1448"/>
        <v>9689.3778123603824</v>
      </c>
      <c r="CZ181" s="27">
        <f t="shared" si="1448"/>
        <v>9828.5731308649938</v>
      </c>
      <c r="DA181" s="27">
        <f t="shared" si="1448"/>
        <v>10000.514172007857</v>
      </c>
      <c r="DB181" s="27">
        <f t="shared" si="1448"/>
        <v>10346.043374575134</v>
      </c>
      <c r="DE181" s="121"/>
      <c r="DF181" s="26">
        <v>8477.5377765037229</v>
      </c>
    </row>
    <row r="182" spans="1:110" s="23" customFormat="1" x14ac:dyDescent="0.2">
      <c r="A182" s="28" t="s">
        <v>439</v>
      </c>
      <c r="B182" s="23">
        <f t="shared" ref="B182:W182" si="1450">B181-B145</f>
        <v>0</v>
      </c>
      <c r="C182" s="23">
        <f t="shared" si="1450"/>
        <v>0</v>
      </c>
      <c r="D182" s="23">
        <f t="shared" si="1450"/>
        <v>0</v>
      </c>
      <c r="E182" s="23">
        <f t="shared" si="1450"/>
        <v>0</v>
      </c>
      <c r="F182" s="23">
        <f t="shared" si="1450"/>
        <v>0</v>
      </c>
      <c r="G182" s="23">
        <f t="shared" si="1450"/>
        <v>0</v>
      </c>
      <c r="H182" s="23">
        <f t="shared" si="1450"/>
        <v>0</v>
      </c>
      <c r="I182" s="23">
        <f t="shared" si="1450"/>
        <v>0</v>
      </c>
      <c r="J182" s="23">
        <f t="shared" si="1450"/>
        <v>0</v>
      </c>
      <c r="K182" s="23">
        <f t="shared" si="1450"/>
        <v>0</v>
      </c>
      <c r="L182" s="23">
        <f t="shared" si="1450"/>
        <v>0</v>
      </c>
      <c r="M182" s="23">
        <f t="shared" si="1450"/>
        <v>0</v>
      </c>
      <c r="N182" s="23">
        <f t="shared" si="1450"/>
        <v>0</v>
      </c>
      <c r="O182" s="23">
        <f t="shared" si="1450"/>
        <v>0</v>
      </c>
      <c r="P182" s="23">
        <f t="shared" si="1450"/>
        <v>0</v>
      </c>
      <c r="Q182" s="23">
        <f t="shared" si="1450"/>
        <v>0</v>
      </c>
      <c r="R182" s="23">
        <f t="shared" si="1450"/>
        <v>0</v>
      </c>
      <c r="S182" s="23">
        <f t="shared" si="1450"/>
        <v>0</v>
      </c>
      <c r="T182" s="23">
        <f t="shared" si="1450"/>
        <v>0</v>
      </c>
      <c r="U182" s="23">
        <f t="shared" si="1450"/>
        <v>0</v>
      </c>
      <c r="V182" s="23">
        <f t="shared" si="1450"/>
        <v>0</v>
      </c>
      <c r="W182" s="23">
        <f t="shared" si="1450"/>
        <v>0</v>
      </c>
      <c r="X182" s="23">
        <f t="shared" ref="X182:Y182" si="1451">X181-X145</f>
        <v>0</v>
      </c>
      <c r="Y182" s="23">
        <f t="shared" si="1451"/>
        <v>0</v>
      </c>
      <c r="Z182" s="23">
        <f t="shared" ref="Z182:AA182" si="1452">Z181-Z145</f>
        <v>0</v>
      </c>
      <c r="AA182" s="23">
        <f t="shared" si="1452"/>
        <v>0</v>
      </c>
      <c r="AB182" s="24">
        <f t="shared" ref="AA182:AD182" si="1453">AB181-AB145</f>
        <v>0</v>
      </c>
      <c r="AC182" s="24">
        <f t="shared" si="1453"/>
        <v>0</v>
      </c>
      <c r="AD182" s="24">
        <f t="shared" si="1453"/>
        <v>0</v>
      </c>
      <c r="AE182" s="24">
        <f t="shared" ref="AE182" si="1454">AE181-AE145</f>
        <v>0</v>
      </c>
      <c r="AJ182" s="23">
        <f t="shared" ref="AJ182" si="1455">AJ181-AJ145</f>
        <v>0</v>
      </c>
      <c r="AK182" s="23">
        <f t="shared" ref="AK182" si="1456">AK181-AK145</f>
        <v>0</v>
      </c>
      <c r="AL182" s="23">
        <f t="shared" ref="AL182:AM182" si="1457">AL181-AL145</f>
        <v>0</v>
      </c>
      <c r="AM182" s="23">
        <f t="shared" si="1457"/>
        <v>0</v>
      </c>
      <c r="AN182" s="23">
        <f t="shared" ref="AN182:AO182" si="1458">AN181-AN145</f>
        <v>0</v>
      </c>
      <c r="AO182" s="23">
        <f t="shared" si="1458"/>
        <v>0</v>
      </c>
      <c r="AP182" s="23">
        <f t="shared" ref="AP182:CE182" si="1459">AP181-AP145</f>
        <v>0</v>
      </c>
      <c r="AQ182" s="23">
        <f t="shared" si="1459"/>
        <v>0</v>
      </c>
      <c r="AR182" s="23">
        <f t="shared" si="1459"/>
        <v>0</v>
      </c>
      <c r="AS182" s="23">
        <f t="shared" si="1459"/>
        <v>0</v>
      </c>
      <c r="AT182" s="23">
        <f t="shared" si="1459"/>
        <v>0</v>
      </c>
      <c r="AU182" s="23">
        <f t="shared" si="1459"/>
        <v>0</v>
      </c>
      <c r="AV182" s="23">
        <f t="shared" si="1459"/>
        <v>0</v>
      </c>
      <c r="AW182" s="23">
        <f t="shared" si="1459"/>
        <v>0</v>
      </c>
      <c r="AX182" s="23">
        <f t="shared" si="1459"/>
        <v>0</v>
      </c>
      <c r="AY182" s="23">
        <f t="shared" si="1459"/>
        <v>0</v>
      </c>
      <c r="AZ182" s="23">
        <f t="shared" si="1459"/>
        <v>0</v>
      </c>
      <c r="BA182" s="23">
        <f t="shared" si="1459"/>
        <v>0</v>
      </c>
      <c r="BB182" s="23">
        <f t="shared" si="1459"/>
        <v>0</v>
      </c>
      <c r="BC182" s="23">
        <f t="shared" si="1459"/>
        <v>0</v>
      </c>
      <c r="BD182" s="23">
        <f t="shared" si="1459"/>
        <v>0</v>
      </c>
      <c r="BE182" s="23">
        <f t="shared" si="1459"/>
        <v>0</v>
      </c>
      <c r="BF182" s="23">
        <f t="shared" si="1459"/>
        <v>0</v>
      </c>
      <c r="BG182" s="23">
        <f t="shared" si="1459"/>
        <v>0</v>
      </c>
      <c r="BH182" s="23">
        <f t="shared" ref="BH182" si="1460">BH181-BH145</f>
        <v>0</v>
      </c>
      <c r="BI182" s="23">
        <f t="shared" si="1459"/>
        <v>0</v>
      </c>
      <c r="BJ182" s="23">
        <f t="shared" si="1459"/>
        <v>0</v>
      </c>
      <c r="BK182" s="23">
        <f t="shared" si="1459"/>
        <v>0</v>
      </c>
      <c r="BL182" s="23">
        <f t="shared" si="1459"/>
        <v>0</v>
      </c>
      <c r="BM182" s="23">
        <f t="shared" si="1459"/>
        <v>0</v>
      </c>
      <c r="BN182" s="23">
        <f t="shared" si="1459"/>
        <v>0</v>
      </c>
      <c r="BO182" s="23">
        <f t="shared" si="1459"/>
        <v>0</v>
      </c>
      <c r="BP182" s="23">
        <f t="shared" si="1459"/>
        <v>1.0000000001127773E-2</v>
      </c>
      <c r="BQ182" s="23">
        <f t="shared" si="1459"/>
        <v>1.0000000001127773E-2</v>
      </c>
      <c r="BR182" s="23">
        <f t="shared" si="1459"/>
        <v>0</v>
      </c>
      <c r="BS182" s="23">
        <f t="shared" si="1459"/>
        <v>0</v>
      </c>
      <c r="BT182" s="23">
        <f t="shared" si="1459"/>
        <v>0</v>
      </c>
      <c r="BU182" s="23">
        <f t="shared" si="1459"/>
        <v>0</v>
      </c>
      <c r="BV182" s="23">
        <f t="shared" si="1459"/>
        <v>0</v>
      </c>
      <c r="BW182" s="23">
        <f t="shared" si="1459"/>
        <v>0</v>
      </c>
      <c r="BX182" s="23">
        <f t="shared" si="1459"/>
        <v>0</v>
      </c>
      <c r="BY182" s="23">
        <f t="shared" si="1459"/>
        <v>0</v>
      </c>
      <c r="BZ182" s="23">
        <f t="shared" si="1459"/>
        <v>0</v>
      </c>
      <c r="CA182" s="23">
        <f t="shared" si="1459"/>
        <v>0</v>
      </c>
      <c r="CB182" s="23">
        <f t="shared" si="1459"/>
        <v>0</v>
      </c>
      <c r="CC182" s="23">
        <f t="shared" si="1459"/>
        <v>0</v>
      </c>
      <c r="CD182" s="23">
        <f t="shared" si="1459"/>
        <v>0</v>
      </c>
      <c r="CE182" s="23">
        <f t="shared" si="1459"/>
        <v>0</v>
      </c>
      <c r="CF182" s="23">
        <f t="shared" ref="CF182:CG182" si="1461">CF181-CF145</f>
        <v>0</v>
      </c>
      <c r="CG182" s="23">
        <f t="shared" si="1461"/>
        <v>0</v>
      </c>
      <c r="CH182" s="23">
        <f t="shared" ref="CH182:CI182" si="1462">CH181-CH145</f>
        <v>0</v>
      </c>
      <c r="CI182" s="23">
        <f t="shared" si="1462"/>
        <v>0</v>
      </c>
      <c r="CJ182" s="23">
        <f t="shared" ref="CJ182:DB182" si="1463">CJ181-CJ145</f>
        <v>0</v>
      </c>
      <c r="CK182" s="24">
        <f t="shared" si="1463"/>
        <v>0</v>
      </c>
      <c r="CL182" s="23">
        <f t="shared" ref="CL182" si="1464">CL181-CL145</f>
        <v>0</v>
      </c>
      <c r="CM182" s="24">
        <f t="shared" si="1463"/>
        <v>0</v>
      </c>
      <c r="CN182" s="24">
        <f t="shared" si="1463"/>
        <v>0</v>
      </c>
      <c r="CO182" s="24">
        <f t="shared" si="1463"/>
        <v>0</v>
      </c>
      <c r="CP182" s="24">
        <f t="shared" si="1463"/>
        <v>0</v>
      </c>
      <c r="CQ182" s="24">
        <f t="shared" si="1463"/>
        <v>0</v>
      </c>
      <c r="CR182" s="24">
        <f t="shared" si="1463"/>
        <v>0</v>
      </c>
      <c r="CS182" s="24">
        <f t="shared" si="1463"/>
        <v>0</v>
      </c>
      <c r="CT182" s="24">
        <f t="shared" si="1463"/>
        <v>0</v>
      </c>
      <c r="CU182" s="24">
        <f t="shared" si="1463"/>
        <v>0</v>
      </c>
      <c r="CV182" s="24">
        <f t="shared" si="1463"/>
        <v>0</v>
      </c>
      <c r="CW182" s="24">
        <f t="shared" si="1463"/>
        <v>0</v>
      </c>
      <c r="CX182" s="24">
        <f t="shared" si="1463"/>
        <v>0</v>
      </c>
      <c r="CY182" s="24">
        <f t="shared" si="1463"/>
        <v>0</v>
      </c>
      <c r="CZ182" s="24">
        <f t="shared" si="1463"/>
        <v>0</v>
      </c>
      <c r="DA182" s="24">
        <f t="shared" si="1463"/>
        <v>0</v>
      </c>
      <c r="DB182" s="24">
        <f t="shared" si="1463"/>
        <v>0</v>
      </c>
      <c r="DE182" s="123"/>
      <c r="DF182" s="23">
        <v>0</v>
      </c>
    </row>
    <row r="183" spans="1:110" s="23" customFormat="1" x14ac:dyDescent="0.2">
      <c r="A183" s="28"/>
      <c r="AB183" s="24"/>
      <c r="AC183" s="24"/>
      <c r="AD183" s="24"/>
      <c r="AE183" s="24"/>
      <c r="CK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80</v>
      </c>
      <c r="B184" s="22">
        <f t="shared" ref="B184:W184" si="1465">B144-B177</f>
        <v>114.7637</v>
      </c>
      <c r="C184" s="22">
        <f t="shared" si="1465"/>
        <v>16.877499999999998</v>
      </c>
      <c r="D184" s="22">
        <f t="shared" si="1465"/>
        <v>9.5285999999999831</v>
      </c>
      <c r="E184" s="22">
        <f t="shared" si="1465"/>
        <v>-1.6813999999999965</v>
      </c>
      <c r="F184" s="22">
        <f t="shared" si="1465"/>
        <v>-36.225999999999985</v>
      </c>
      <c r="G184" s="22">
        <f t="shared" si="1465"/>
        <v>-57.262</v>
      </c>
      <c r="H184" s="22">
        <f t="shared" si="1465"/>
        <v>-151.55549999999999</v>
      </c>
      <c r="I184" s="22">
        <f t="shared" si="1465"/>
        <v>-453.72820000000002</v>
      </c>
      <c r="J184" s="22">
        <f t="shared" si="1465"/>
        <v>-400.02710000000002</v>
      </c>
      <c r="K184" s="22">
        <f t="shared" si="1465"/>
        <v>-642.75520000000006</v>
      </c>
      <c r="L184" s="22">
        <f t="shared" si="1465"/>
        <v>-575.62040000000002</v>
      </c>
      <c r="M184" s="22">
        <f t="shared" si="1465"/>
        <v>-269.22709999999995</v>
      </c>
      <c r="N184" s="22">
        <f t="shared" si="1465"/>
        <v>-355.41460000000001</v>
      </c>
      <c r="O184" s="22">
        <f t="shared" si="1465"/>
        <v>-610.44219999999996</v>
      </c>
      <c r="P184" s="22">
        <f t="shared" si="1465"/>
        <v>-596.55450000000008</v>
      </c>
      <c r="Q184" s="22">
        <f t="shared" si="1465"/>
        <v>-582.39530000000002</v>
      </c>
      <c r="R184" s="22">
        <f t="shared" si="1465"/>
        <v>-360.03000000000003</v>
      </c>
      <c r="S184" s="22">
        <f t="shared" si="1465"/>
        <v>-629.04</v>
      </c>
      <c r="T184" s="22">
        <f t="shared" si="1465"/>
        <v>-1242.1500000000001</v>
      </c>
      <c r="U184" s="22">
        <f t="shared" si="1465"/>
        <v>-610.94999999999993</v>
      </c>
      <c r="V184" s="22">
        <f t="shared" si="1465"/>
        <v>-447.5</v>
      </c>
      <c r="W184" s="22">
        <f t="shared" si="1465"/>
        <v>-645.1099999999999</v>
      </c>
      <c r="X184" s="22">
        <f t="shared" ref="X184:Y184" si="1466">X144-X177</f>
        <v>-399.56999999999994</v>
      </c>
      <c r="Y184" s="22">
        <f t="shared" si="1466"/>
        <v>-640.47</v>
      </c>
      <c r="Z184" s="22">
        <f t="shared" ref="Z184:AA184" si="1467">Z144-Z177</f>
        <v>-213.60000000000014</v>
      </c>
      <c r="AA184" s="22">
        <f t="shared" si="1467"/>
        <v>-91.6099999999999</v>
      </c>
      <c r="AB184" s="21">
        <f t="shared" ref="AA184:AD184" si="1468">AB144-AB177</f>
        <v>-170.14559813529968</v>
      </c>
      <c r="AC184" s="21">
        <f t="shared" si="1468"/>
        <v>-452.10450515491971</v>
      </c>
      <c r="AD184" s="21">
        <f t="shared" si="1468"/>
        <v>-776.12618395719483</v>
      </c>
      <c r="AE184" s="21">
        <f t="shared" ref="AE184" si="1469">AE144-AE177</f>
        <v>-1146.4476959645767</v>
      </c>
      <c r="AJ184" s="22">
        <f t="shared" ref="AJ184:AM184" si="1470">AJ144-AJ177</f>
        <v>-164.93</v>
      </c>
      <c r="AK184" s="22">
        <f t="shared" si="1470"/>
        <v>-262.3705258095826</v>
      </c>
      <c r="AL184" s="22">
        <f t="shared" si="1470"/>
        <v>-356.63</v>
      </c>
      <c r="AM184" s="22">
        <f t="shared" si="1470"/>
        <v>-394.97284883320503</v>
      </c>
      <c r="AN184" s="22">
        <f t="shared" ref="AN184:AO184" si="1471">AN144-AN177</f>
        <v>-548.28</v>
      </c>
      <c r="AO184" s="22">
        <f t="shared" si="1471"/>
        <v>-589.75361665108721</v>
      </c>
      <c r="AP184" s="22">
        <f t="shared" ref="AP184:CE184" si="1472">AP144-AP177</f>
        <v>-611.62</v>
      </c>
      <c r="AQ184" s="22">
        <f t="shared" si="1472"/>
        <v>-597.90812668767683</v>
      </c>
      <c r="AR184" s="22">
        <f t="shared" si="1472"/>
        <v>-642.49</v>
      </c>
      <c r="AS184" s="22">
        <f t="shared" si="1472"/>
        <v>-770.96672340425516</v>
      </c>
      <c r="AT184" s="22">
        <f t="shared" si="1472"/>
        <v>-596.93000000000006</v>
      </c>
      <c r="AU184" s="22">
        <f t="shared" si="1472"/>
        <v>-668.93801418820499</v>
      </c>
      <c r="AV184" s="22">
        <f t="shared" si="1472"/>
        <v>-505.6</v>
      </c>
      <c r="AW184" s="22">
        <f t="shared" si="1472"/>
        <v>-420.17786830741022</v>
      </c>
      <c r="AX184" s="22">
        <f t="shared" si="1472"/>
        <v>-582.39</v>
      </c>
      <c r="AY184" s="22">
        <f t="shared" si="1472"/>
        <v>-742.46275115919605</v>
      </c>
      <c r="AZ184" s="22">
        <f t="shared" si="1472"/>
        <v>-255.63</v>
      </c>
      <c r="BA184" s="22">
        <f t="shared" si="1472"/>
        <v>-301.94567909033481</v>
      </c>
      <c r="BB184" s="22">
        <f t="shared" si="1472"/>
        <v>-360.03000000000003</v>
      </c>
      <c r="BC184" s="22">
        <f t="shared" si="1472"/>
        <v>-565.90894687745981</v>
      </c>
      <c r="BD184" s="22">
        <f t="shared" si="1472"/>
        <v>-93.140000000000015</v>
      </c>
      <c r="BE184" s="22">
        <f t="shared" si="1472"/>
        <v>-30.790652159235577</v>
      </c>
      <c r="BF184" s="22">
        <f t="shared" si="1472"/>
        <v>-629.04</v>
      </c>
      <c r="BG184" s="22">
        <f t="shared" si="1472"/>
        <v>-802.89057411222484</v>
      </c>
      <c r="BH184" s="22">
        <f t="shared" si="1472"/>
        <v>252.92000000000002</v>
      </c>
      <c r="BI184" s="22">
        <f t="shared" si="1472"/>
        <v>207.73368112230537</v>
      </c>
      <c r="BJ184" s="22">
        <f t="shared" si="1472"/>
        <v>-1242.1500000000001</v>
      </c>
      <c r="BK184" s="22">
        <f t="shared" si="1472"/>
        <v>-1258.4997298869521</v>
      </c>
      <c r="BL184" s="22">
        <f t="shared" si="1472"/>
        <v>-1330.38</v>
      </c>
      <c r="BM184" s="22">
        <f t="shared" si="1472"/>
        <v>-1392.1120231514703</v>
      </c>
      <c r="BN184" s="22">
        <f t="shared" si="1472"/>
        <v>-610.94999999999993</v>
      </c>
      <c r="BO184" s="22">
        <f t="shared" si="1472"/>
        <v>-922.47601728535562</v>
      </c>
      <c r="BP184" s="22">
        <f t="shared" si="1472"/>
        <v>-65.080000000000041</v>
      </c>
      <c r="BQ184" s="22">
        <f t="shared" si="1472"/>
        <v>47.635800910365901</v>
      </c>
      <c r="BR184" s="22">
        <f t="shared" si="1472"/>
        <v>-456.71000000000004</v>
      </c>
      <c r="BS184" s="22">
        <f t="shared" si="1472"/>
        <v>-779.79499128847567</v>
      </c>
      <c r="BT184" s="22">
        <f t="shared" si="1472"/>
        <v>-188.83999999999997</v>
      </c>
      <c r="BU184" s="22">
        <f t="shared" si="1472"/>
        <v>-210.31513853695543</v>
      </c>
      <c r="BV184" s="22">
        <f t="shared" si="1472"/>
        <v>-662.75</v>
      </c>
      <c r="BW184" s="22">
        <f t="shared" si="1472"/>
        <v>-740.09965243870465</v>
      </c>
      <c r="BX184" s="22">
        <f t="shared" si="1472"/>
        <v>-860.05000000000018</v>
      </c>
      <c r="BY184" s="22">
        <f t="shared" si="1472"/>
        <v>-603.73326341921256</v>
      </c>
      <c r="BZ184" s="22">
        <f t="shared" si="1472"/>
        <v>-399.56999999999994</v>
      </c>
      <c r="CA184" s="22">
        <f t="shared" si="1472"/>
        <v>-423.734241950757</v>
      </c>
      <c r="CB184" s="22">
        <f t="shared" si="1472"/>
        <v>-367.20000000000005</v>
      </c>
      <c r="CC184" s="22">
        <f t="shared" si="1472"/>
        <v>-251.02308563951465</v>
      </c>
      <c r="CD184" s="22">
        <f t="shared" si="1472"/>
        <v>-640.47</v>
      </c>
      <c r="CE184" s="22">
        <f t="shared" si="1472"/>
        <v>-844.79889561443451</v>
      </c>
      <c r="CF184" s="22">
        <f t="shared" ref="CF184:CG184" si="1473">CF144-CF177</f>
        <v>-134.20000000000005</v>
      </c>
      <c r="CG184" s="22">
        <f t="shared" si="1473"/>
        <v>-106.0272483019038</v>
      </c>
      <c r="CH184" s="22">
        <f t="shared" ref="CH184:CI184" si="1474">CH144-CH177</f>
        <v>-213.60000000000014</v>
      </c>
      <c r="CI184" s="22">
        <f t="shared" si="1474"/>
        <v>-796.84244171022533</v>
      </c>
      <c r="CJ184" s="22">
        <f t="shared" ref="CJ184:DB184" si="1475">CJ144-CJ177</f>
        <v>909.87</v>
      </c>
      <c r="CK184" s="21">
        <f t="shared" si="1475"/>
        <v>1936.2262441848575</v>
      </c>
      <c r="CL184" s="22">
        <f t="shared" ref="CL184" si="1476">CL144-CL177</f>
        <v>-91.6099999999999</v>
      </c>
      <c r="CM184" s="21">
        <f t="shared" si="1475"/>
        <v>-346.20671922672454</v>
      </c>
      <c r="CN184" s="21">
        <f t="shared" si="1475"/>
        <v>-1495.7182371331787</v>
      </c>
      <c r="CO184" s="21">
        <f t="shared" si="1475"/>
        <v>-1141.4171281602817</v>
      </c>
      <c r="CP184" s="21">
        <f t="shared" si="1475"/>
        <v>-170.14559813529968</v>
      </c>
      <c r="CQ184" s="21">
        <f t="shared" si="1475"/>
        <v>-638.50431723165639</v>
      </c>
      <c r="CR184" s="21">
        <f t="shared" si="1475"/>
        <v>-1974.8917459915078</v>
      </c>
      <c r="CS184" s="21">
        <f t="shared" si="1475"/>
        <v>-1565.716556641964</v>
      </c>
      <c r="CT184" s="21">
        <f t="shared" si="1475"/>
        <v>-452.10450515491971</v>
      </c>
      <c r="CU184" s="21">
        <f t="shared" si="1475"/>
        <v>-995.83200791828767</v>
      </c>
      <c r="CV184" s="21">
        <f t="shared" si="1475"/>
        <v>-2534.7559021220354</v>
      </c>
      <c r="CW184" s="21">
        <f t="shared" si="1475"/>
        <v>-2062.151723033267</v>
      </c>
      <c r="CX184" s="21">
        <f t="shared" si="1475"/>
        <v>-776.12618395719483</v>
      </c>
      <c r="CY184" s="21">
        <f t="shared" si="1475"/>
        <v>-1402.462670130622</v>
      </c>
      <c r="CZ184" s="21">
        <f t="shared" si="1475"/>
        <v>-3171.7078221351253</v>
      </c>
      <c r="DA184" s="21">
        <f t="shared" si="1475"/>
        <v>-2626.7997636488449</v>
      </c>
      <c r="DB184" s="21">
        <f t="shared" si="1475"/>
        <v>-1146.4476959645767</v>
      </c>
      <c r="DE184" s="126"/>
      <c r="DF184" s="22">
        <v>5082.171332765829</v>
      </c>
    </row>
    <row r="185" spans="1:110" x14ac:dyDescent="0.2">
      <c r="AA185" s="2"/>
      <c r="CE185" s="111"/>
      <c r="CG185" s="111"/>
      <c r="CL185" s="2"/>
    </row>
    <row r="186" spans="1:110" s="49" customFormat="1" x14ac:dyDescent="0.2">
      <c r="A186" s="49" t="s">
        <v>81</v>
      </c>
      <c r="B186" s="49">
        <f>'Annual Raw'!C85</f>
        <v>158.16120000000001</v>
      </c>
      <c r="C186" s="49">
        <f>'Annual Raw'!D85</f>
        <v>76.546099999999996</v>
      </c>
      <c r="D186" s="49">
        <f>'Annual Raw'!E85</f>
        <v>171.5712</v>
      </c>
      <c r="E186" s="49">
        <f>'Annual Raw'!F85</f>
        <v>251.23159999999999</v>
      </c>
      <c r="F186" s="49">
        <f>'Annual Raw'!G85</f>
        <v>526.37819999999999</v>
      </c>
      <c r="G186" s="49">
        <f>'Annual Raw'!H85</f>
        <v>534.17079999999999</v>
      </c>
      <c r="H186" s="49">
        <f>'Annual Raw'!I85</f>
        <v>674.58989999999994</v>
      </c>
      <c r="I186" s="49">
        <f>'Annual Raw'!J85</f>
        <v>726.04989999999998</v>
      </c>
      <c r="J186" s="49">
        <f>'Annual Raw'!K85</f>
        <v>1206.9558</v>
      </c>
      <c r="K186" s="49">
        <f>'Annual Raw'!L85</f>
        <v>1259.4076</v>
      </c>
      <c r="L186" s="49">
        <f>'Annual Raw'!M85</f>
        <v>60.036299999999997</v>
      </c>
      <c r="M186" s="49">
        <f>'Annual Raw'!N85</f>
        <v>363.80630000000002</v>
      </c>
      <c r="N186" s="49">
        <f>'Annual Raw'!O85</f>
        <v>49.9572</v>
      </c>
      <c r="O186" s="49">
        <f>'Annual Raw'!P85</f>
        <v>279.74119999999999</v>
      </c>
      <c r="P186" s="49">
        <f>'Annual Raw'!Q85</f>
        <v>258.61399999999998</v>
      </c>
      <c r="Q186" s="49">
        <f>'Annual Raw'!R85</f>
        <v>1051.5404000000001</v>
      </c>
      <c r="R186" s="49">
        <f>'Annual Raw'!S85</f>
        <v>3369.4</v>
      </c>
      <c r="S186" s="49">
        <f>'Annual Raw'!T85</f>
        <v>2465.9</v>
      </c>
      <c r="T186" s="49">
        <f>'Annual Raw'!U85</f>
        <v>2310.92</v>
      </c>
      <c r="U186" s="49">
        <f>'Annual Raw'!V85</f>
        <v>2801.38</v>
      </c>
      <c r="V186" s="49">
        <f>'Annual Raw'!W85</f>
        <v>3500.42</v>
      </c>
      <c r="W186" s="49">
        <f>'Annual Raw'!X85</f>
        <v>3356.05</v>
      </c>
      <c r="X186" s="49">
        <f>'Annual Raw'!Y85</f>
        <v>1635.37</v>
      </c>
      <c r="Y186" s="49">
        <f>'Annual Raw'!Z85</f>
        <v>5015</v>
      </c>
      <c r="Z186" s="49">
        <f>'Annual Raw'!AA85</f>
        <v>5107.18</v>
      </c>
      <c r="AA186" s="49">
        <f>'Annual Raw'!AB85</f>
        <v>1730.23</v>
      </c>
      <c r="AB186" s="50"/>
      <c r="AC186" s="50"/>
      <c r="AD186" s="50"/>
      <c r="AE186" s="50"/>
      <c r="CK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E186" s="138"/>
    </row>
    <row r="187" spans="1:110" s="29" customFormat="1" x14ac:dyDescent="0.2">
      <c r="A187" s="29" t="s">
        <v>82</v>
      </c>
      <c r="B187" s="29">
        <f>'Annual Raw'!C95</f>
        <v>50.884999999999998</v>
      </c>
      <c r="C187" s="29">
        <f>'Annual Raw'!D95</f>
        <v>0</v>
      </c>
      <c r="D187" s="29">
        <f>'Annual Raw'!E95</f>
        <v>0</v>
      </c>
      <c r="E187" s="29">
        <f>'Annual Raw'!F95</f>
        <v>2.2776999999999998</v>
      </c>
      <c r="F187" s="29">
        <f>'Annual Raw'!G95</f>
        <v>275.00360000000001</v>
      </c>
      <c r="G187" s="29">
        <f>'Annual Raw'!H95</f>
        <v>309.31420000000003</v>
      </c>
      <c r="H187" s="29">
        <f>'Annual Raw'!I95</f>
        <v>406.2167</v>
      </c>
      <c r="I187" s="29">
        <f>'Annual Raw'!J95</f>
        <v>498.03809999999999</v>
      </c>
      <c r="J187" s="29">
        <f>'Annual Raw'!K95</f>
        <v>964.71439999999996</v>
      </c>
      <c r="K187" s="29">
        <f>'Annual Raw'!L95</f>
        <v>983.10249999999996</v>
      </c>
      <c r="L187" s="29">
        <f>'Annual Raw'!M95</f>
        <v>0</v>
      </c>
      <c r="M187" s="29">
        <f>'Annual Raw'!N95</f>
        <v>0</v>
      </c>
      <c r="N187" s="29">
        <f>'Annual Raw'!O95</f>
        <v>0</v>
      </c>
      <c r="O187" s="29">
        <f>'Annual Raw'!P95</f>
        <v>0</v>
      </c>
      <c r="P187" s="29">
        <f>'Annual Raw'!Q95</f>
        <v>0</v>
      </c>
      <c r="Q187" s="29">
        <f>'Annual Raw'!R95</f>
        <v>107.74079999999999</v>
      </c>
      <c r="R187" s="29">
        <f>'Annual Raw'!S95</f>
        <v>3151.32</v>
      </c>
      <c r="S187" s="29">
        <f>'Annual Raw'!T95</f>
        <v>2282.91</v>
      </c>
      <c r="T187" s="29">
        <f>'Annual Raw'!U95</f>
        <v>2049.61</v>
      </c>
      <c r="U187" s="29">
        <f>'Annual Raw'!V95</f>
        <v>2431.14</v>
      </c>
      <c r="V187" s="29">
        <f>'Annual Raw'!W95</f>
        <v>3197.91</v>
      </c>
      <c r="W187" s="29">
        <f>'Annual Raw'!X95</f>
        <v>3097.65</v>
      </c>
      <c r="X187" s="29">
        <f>'Annual Raw'!Y95</f>
        <v>1355.21</v>
      </c>
      <c r="Y187" s="29">
        <f>'Annual Raw'!Z95</f>
        <v>4712.54</v>
      </c>
      <c r="Z187" s="29">
        <f>'Annual Raw'!AA95</f>
        <v>4801.46</v>
      </c>
      <c r="AA187" s="29">
        <f>'Annual Raw'!AB95</f>
        <v>1402.1</v>
      </c>
      <c r="AB187" s="30"/>
      <c r="AC187" s="30"/>
      <c r="AD187" s="30"/>
      <c r="AE187" s="30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29" customFormat="1" x14ac:dyDescent="0.2">
      <c r="A188" s="29" t="s">
        <v>83</v>
      </c>
      <c r="B188" s="29">
        <f>'Annual Raw'!C93</f>
        <v>101.5072</v>
      </c>
      <c r="C188" s="29">
        <f>'Annual Raw'!D93</f>
        <v>75.955100000000002</v>
      </c>
      <c r="D188" s="29">
        <f>'Annual Raw'!E93</f>
        <v>171.0324</v>
      </c>
      <c r="E188" s="29">
        <f>'Annual Raw'!F93</f>
        <v>242.9085</v>
      </c>
      <c r="F188" s="29">
        <f>'Annual Raw'!G93</f>
        <v>239.29949999999999</v>
      </c>
      <c r="G188" s="29">
        <f>'Annual Raw'!H93</f>
        <v>209.00649999999999</v>
      </c>
      <c r="H188" s="29">
        <f>'Annual Raw'!I93</f>
        <v>246.69669999999999</v>
      </c>
      <c r="I188" s="29">
        <f>'Annual Raw'!J93</f>
        <v>210.77209999999999</v>
      </c>
      <c r="J188" s="29">
        <f>'Annual Raw'!K93</f>
        <v>238.59960000000001</v>
      </c>
      <c r="K188" s="29">
        <f>'Annual Raw'!L93</f>
        <v>276.30509999999998</v>
      </c>
      <c r="L188" s="29">
        <f>'Annual Raw'!M93</f>
        <v>60.036299999999997</v>
      </c>
      <c r="M188" s="29">
        <f>'Annual Raw'!N93</f>
        <v>363.80630000000002</v>
      </c>
      <c r="N188" s="29">
        <f>'Annual Raw'!O93</f>
        <v>49.9572</v>
      </c>
      <c r="O188" s="29">
        <f>'Annual Raw'!P93</f>
        <v>279.74119999999999</v>
      </c>
      <c r="P188" s="29">
        <f>'Annual Raw'!Q93</f>
        <v>258.61399999999998</v>
      </c>
      <c r="Q188" s="29">
        <f>'Annual Raw'!R93</f>
        <v>943.79960000000005</v>
      </c>
      <c r="R188" s="29">
        <f>'Annual Raw'!S93</f>
        <v>218.08</v>
      </c>
      <c r="S188" s="29">
        <f>'Annual Raw'!T93</f>
        <v>182.99</v>
      </c>
      <c r="T188" s="29">
        <f>'Annual Raw'!U93</f>
        <v>261.31</v>
      </c>
      <c r="U188" s="29">
        <f>'Annual Raw'!V93</f>
        <v>370.24</v>
      </c>
      <c r="V188" s="29">
        <f>'Annual Raw'!W93</f>
        <v>302.51</v>
      </c>
      <c r="W188" s="29">
        <f>'Annual Raw'!X93</f>
        <v>258.39999999999998</v>
      </c>
      <c r="X188" s="29">
        <f>'Annual Raw'!Y93</f>
        <v>280.16000000000003</v>
      </c>
      <c r="Y188" s="29">
        <f>'Annual Raw'!Z93</f>
        <v>302.45999999999998</v>
      </c>
      <c r="Z188" s="29">
        <f>'Annual Raw'!AA93</f>
        <v>305.72000000000003</v>
      </c>
      <c r="AA188" s="29">
        <f>'Annual Raw'!AB93</f>
        <v>328.13</v>
      </c>
      <c r="AB188" s="30"/>
      <c r="AC188" s="30"/>
      <c r="AD188" s="30"/>
      <c r="AE188" s="30"/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29" customFormat="1" x14ac:dyDescent="0.2">
      <c r="A189" s="29" t="s">
        <v>84</v>
      </c>
      <c r="B189" s="29">
        <f t="shared" ref="B189:V189" si="1477">B186-B187-B188</f>
        <v>5.7690000000000197</v>
      </c>
      <c r="C189" s="29">
        <f t="shared" si="1477"/>
        <v>0.59099999999999397</v>
      </c>
      <c r="D189" s="29">
        <f t="shared" si="1477"/>
        <v>0.53880000000000905</v>
      </c>
      <c r="E189" s="29">
        <f t="shared" si="1477"/>
        <v>6.0453999999999724</v>
      </c>
      <c r="F189" s="29">
        <f t="shared" si="1477"/>
        <v>12.075099999999992</v>
      </c>
      <c r="G189" s="29">
        <f t="shared" si="1477"/>
        <v>15.850099999999969</v>
      </c>
      <c r="H189" s="29">
        <f t="shared" si="1477"/>
        <v>21.676499999999947</v>
      </c>
      <c r="I189" s="29">
        <f t="shared" si="1477"/>
        <v>17.239699999999999</v>
      </c>
      <c r="J189" s="29">
        <f t="shared" si="1477"/>
        <v>3.6417999999999893</v>
      </c>
      <c r="K189" s="29">
        <f t="shared" si="1477"/>
        <v>0</v>
      </c>
      <c r="L189" s="29">
        <f t="shared" si="1477"/>
        <v>0</v>
      </c>
      <c r="M189" s="29">
        <f t="shared" si="1477"/>
        <v>0</v>
      </c>
      <c r="N189" s="29">
        <f t="shared" si="1477"/>
        <v>0</v>
      </c>
      <c r="O189" s="29">
        <f t="shared" si="1477"/>
        <v>0</v>
      </c>
      <c r="P189" s="29">
        <f t="shared" si="1477"/>
        <v>0</v>
      </c>
      <c r="Q189" s="29">
        <f t="shared" si="1477"/>
        <v>0</v>
      </c>
      <c r="R189" s="29">
        <f t="shared" si="1477"/>
        <v>0</v>
      </c>
      <c r="S189" s="29">
        <f t="shared" si="1477"/>
        <v>2.2737367544323206E-13</v>
      </c>
      <c r="T189" s="29">
        <f t="shared" si="1477"/>
        <v>0</v>
      </c>
      <c r="U189" s="29">
        <f t="shared" si="1477"/>
        <v>0</v>
      </c>
      <c r="V189" s="29">
        <f t="shared" si="1477"/>
        <v>0</v>
      </c>
      <c r="W189" s="29">
        <f t="shared" ref="W189" si="1478">W186-W187-W188</f>
        <v>0</v>
      </c>
      <c r="X189" s="29">
        <f t="shared" ref="X189:Y189" si="1479">X186-X187-X188</f>
        <v>0</v>
      </c>
      <c r="Y189" s="29">
        <f t="shared" si="1479"/>
        <v>0</v>
      </c>
      <c r="Z189" s="29">
        <f t="shared" ref="Z189:AA189" si="1480">Z186-Z187-Z188</f>
        <v>0</v>
      </c>
      <c r="AA189" s="29">
        <f t="shared" si="1480"/>
        <v>0</v>
      </c>
      <c r="AB189" s="30">
        <f t="shared" ref="AA189:AD189" si="1481">AB186-AB187-AB188</f>
        <v>0</v>
      </c>
      <c r="AC189" s="30">
        <f t="shared" si="1481"/>
        <v>0</v>
      </c>
      <c r="AD189" s="30">
        <f t="shared" si="1481"/>
        <v>0</v>
      </c>
      <c r="AE189" s="30">
        <f t="shared" ref="AE189" si="1482">AE186-AE187-AE188</f>
        <v>0</v>
      </c>
      <c r="CK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29">
        <v>0</v>
      </c>
    </row>
    <row r="190" spans="1:110" s="5" customFormat="1" x14ac:dyDescent="0.2">
      <c r="AB190" s="63"/>
      <c r="AC190" s="63"/>
      <c r="AD190" s="63"/>
      <c r="AE190" s="63"/>
      <c r="CE190" s="112"/>
      <c r="CG190" s="112"/>
      <c r="CK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95" customFormat="1" x14ac:dyDescent="0.2">
      <c r="A191" s="95" t="s">
        <v>85</v>
      </c>
      <c r="B191" s="95">
        <f t="shared" ref="B191:W191" si="1483">B186/B136</f>
        <v>1.0199164649870673</v>
      </c>
      <c r="C191" s="95">
        <f t="shared" si="1483"/>
        <v>0.3681242500679297</v>
      </c>
      <c r="D191" s="95">
        <f t="shared" si="1483"/>
        <v>0.92030662726635382</v>
      </c>
      <c r="E191" s="95">
        <f t="shared" si="1483"/>
        <v>1.16962558997675</v>
      </c>
      <c r="F191" s="95">
        <f t="shared" si="1483"/>
        <v>2.3976359714950086</v>
      </c>
      <c r="G191" s="95">
        <f t="shared" si="1483"/>
        <v>1.9684616195332774</v>
      </c>
      <c r="H191" s="95">
        <f t="shared" si="1483"/>
        <v>1.5919905111602657</v>
      </c>
      <c r="I191" s="95">
        <f t="shared" si="1483"/>
        <v>1.2578321522766238</v>
      </c>
      <c r="J191" s="95">
        <f t="shared" si="1483"/>
        <v>1.528276557531653</v>
      </c>
      <c r="K191" s="95">
        <f t="shared" si="1483"/>
        <v>1.1605639897800213</v>
      </c>
      <c r="L191" s="95">
        <f t="shared" si="1483"/>
        <v>4.4088666568310467E-2</v>
      </c>
      <c r="M191" s="95">
        <f t="shared" si="1483"/>
        <v>0.246173816004296</v>
      </c>
      <c r="N191" s="95">
        <f t="shared" si="1483"/>
        <v>3.0731129376940031E-2</v>
      </c>
      <c r="O191" s="95">
        <f t="shared" si="1483"/>
        <v>0.15376131239284807</v>
      </c>
      <c r="P191" s="95">
        <f t="shared" si="1483"/>
        <v>0.12302805411076512</v>
      </c>
      <c r="Q191" s="95">
        <f t="shared" si="1483"/>
        <v>0.37406934925924135</v>
      </c>
      <c r="R191" s="95">
        <f t="shared" si="1483"/>
        <v>1.0189861550465431</v>
      </c>
      <c r="S191" s="95">
        <f t="shared" si="1483"/>
        <v>0.63143851419001795</v>
      </c>
      <c r="T191" s="95">
        <f t="shared" si="1483"/>
        <v>0.56226900795379064</v>
      </c>
      <c r="U191" s="95">
        <f t="shared" si="1483"/>
        <v>0.65449592426539827</v>
      </c>
      <c r="V191" s="95">
        <f t="shared" si="1483"/>
        <v>0.70101635174782462</v>
      </c>
      <c r="W191" s="95">
        <f t="shared" si="1483"/>
        <v>0.61023972826917072</v>
      </c>
      <c r="X191" s="95">
        <f t="shared" ref="X191:Y191" si="1484">X186/X136</f>
        <v>0.29995396243995398</v>
      </c>
      <c r="Y191" s="95">
        <f t="shared" si="1484"/>
        <v>0.86160982733442149</v>
      </c>
      <c r="Z191" s="95">
        <f t="shared" ref="Z191:AA191" si="1485">Z186/Z136</f>
        <v>0.78412159828042838</v>
      </c>
      <c r="AA191" s="95">
        <f t="shared" si="1485"/>
        <v>0.27135712280492646</v>
      </c>
      <c r="AB191" s="87">
        <f t="shared" ref="AA191:AD191" si="1486">AB186/AB136</f>
        <v>0</v>
      </c>
      <c r="AC191" s="87">
        <f t="shared" si="1486"/>
        <v>0</v>
      </c>
      <c r="AD191" s="87">
        <f t="shared" si="1486"/>
        <v>0</v>
      </c>
      <c r="AE191" s="87">
        <f t="shared" ref="AE191" si="1487">AE186/AE136</f>
        <v>0</v>
      </c>
      <c r="CK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E191" s="140"/>
      <c r="DF191" s="95">
        <v>0</v>
      </c>
    </row>
    <row r="192" spans="1:110" x14ac:dyDescent="0.2">
      <c r="A192" s="152" t="s">
        <v>492</v>
      </c>
      <c r="AA192" s="2"/>
      <c r="CE192" s="111"/>
      <c r="CG192" s="111"/>
      <c r="CL192" s="2"/>
    </row>
    <row r="193" spans="1:110" s="6" customFormat="1" x14ac:dyDescent="0.2">
      <c r="AB193" s="19"/>
      <c r="AC193" s="19"/>
      <c r="AD193" s="19"/>
      <c r="AE193" s="19"/>
      <c r="CE193" s="113"/>
      <c r="CG193" s="113"/>
      <c r="CK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62" customFormat="1" x14ac:dyDescent="0.2">
      <c r="A194" s="153" t="s">
        <v>493</v>
      </c>
      <c r="AB194" s="63"/>
      <c r="AC194" s="63"/>
      <c r="AD194" s="63"/>
      <c r="AE194" s="63"/>
      <c r="CE194" s="114"/>
      <c r="CG194" s="114"/>
      <c r="CK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62" customFormat="1" outlineLevel="1" x14ac:dyDescent="0.2">
      <c r="A195" s="68" t="s">
        <v>464</v>
      </c>
      <c r="B195" s="67">
        <f t="shared" ref="B195:AE195" si="1488">B160/B24*365</f>
        <v>62.396171633537406</v>
      </c>
      <c r="C195" s="67">
        <f t="shared" si="1488"/>
        <v>48.158774843158554</v>
      </c>
      <c r="D195" s="67">
        <f t="shared" si="1488"/>
        <v>38.326621551391739</v>
      </c>
      <c r="E195" s="67">
        <f t="shared" si="1488"/>
        <v>43.933995102400615</v>
      </c>
      <c r="F195" s="67">
        <f t="shared" si="1488"/>
        <v>61.584274677407521</v>
      </c>
      <c r="G195" s="67">
        <f t="shared" si="1488"/>
        <v>57.202359914469163</v>
      </c>
      <c r="H195" s="67">
        <f t="shared" si="1488"/>
        <v>71.96501194434363</v>
      </c>
      <c r="I195" s="67">
        <f t="shared" si="1488"/>
        <v>71.542917327408219</v>
      </c>
      <c r="J195" s="67">
        <f t="shared" si="1488"/>
        <v>93.412210824485754</v>
      </c>
      <c r="K195" s="67">
        <f t="shared" si="1488"/>
        <v>50.219766959875962</v>
      </c>
      <c r="L195" s="67">
        <f t="shared" si="1488"/>
        <v>57.373750451399694</v>
      </c>
      <c r="M195" s="67">
        <f t="shared" si="1488"/>
        <v>58.285165051291678</v>
      </c>
      <c r="N195" s="67">
        <f t="shared" si="1488"/>
        <v>63.959018808918131</v>
      </c>
      <c r="O195" s="67">
        <f t="shared" si="1488"/>
        <v>62.015493993914376</v>
      </c>
      <c r="P195" s="67">
        <f t="shared" si="1488"/>
        <v>60.805140861697829</v>
      </c>
      <c r="Q195" s="67">
        <f t="shared" si="1488"/>
        <v>46.028333640961677</v>
      </c>
      <c r="R195" s="67">
        <f t="shared" si="1488"/>
        <v>54.317450968167449</v>
      </c>
      <c r="S195" s="67">
        <f t="shared" si="1488"/>
        <v>46.164802648466754</v>
      </c>
      <c r="T195" s="67">
        <f t="shared" si="1488"/>
        <v>55.879700789015281</v>
      </c>
      <c r="U195" s="67">
        <f t="shared" si="1488"/>
        <v>70.012731650753196</v>
      </c>
      <c r="V195" s="67">
        <f t="shared" si="1488"/>
        <v>61.814134344832695</v>
      </c>
      <c r="W195" s="67">
        <f t="shared" si="1488"/>
        <v>76.427143658350616</v>
      </c>
      <c r="X195" s="67">
        <f t="shared" si="1488"/>
        <v>61.173083462385122</v>
      </c>
      <c r="Y195" s="67">
        <f t="shared" si="1488"/>
        <v>62.446966279711674</v>
      </c>
      <c r="Z195" s="67">
        <f t="shared" si="1488"/>
        <v>64.291127693298876</v>
      </c>
      <c r="AA195" s="67">
        <f t="shared" ref="AA195" si="1489">AA160/AA24*365</f>
        <v>87.963091017585725</v>
      </c>
      <c r="AB195" s="18">
        <f t="shared" si="1488"/>
        <v>87.963091017585725</v>
      </c>
      <c r="AC195" s="18">
        <f t="shared" si="1488"/>
        <v>87.963091017585725</v>
      </c>
      <c r="AD195" s="18">
        <f t="shared" si="1488"/>
        <v>87.963091017585739</v>
      </c>
      <c r="AE195" s="18">
        <f t="shared" si="1488"/>
        <v>87.963091017585725</v>
      </c>
      <c r="AI195" s="67">
        <f>AJ160/AI24*90</f>
        <v>47.493227446469007</v>
      </c>
      <c r="AJ195" s="67">
        <f>AJ160/AJ24*90</f>
        <v>65.941313364648906</v>
      </c>
      <c r="AK195" s="67">
        <f t="shared" ref="AK195:CE195" si="1490">+AJ195</f>
        <v>65.941313364648906</v>
      </c>
      <c r="AL195" s="67">
        <f>AL160/AL24*90</f>
        <v>55.134586847493281</v>
      </c>
      <c r="AM195" s="67">
        <f t="shared" ref="AM195:AM196" si="1491">+AL195</f>
        <v>55.134586847493281</v>
      </c>
      <c r="AN195" s="67">
        <f>AN160/AN24*90</f>
        <v>70.846899206870717</v>
      </c>
      <c r="AO195" s="67">
        <f t="shared" ref="AO195:AO196" si="1492">+AN195</f>
        <v>70.846899206870717</v>
      </c>
      <c r="AP195" s="67">
        <f>AP160/AP24*90</f>
        <v>55.433173139368755</v>
      </c>
      <c r="AQ195" s="67">
        <f t="shared" ref="AQ195:AQ196" si="1493">+AP195</f>
        <v>55.433173139368755</v>
      </c>
      <c r="AR195" s="67">
        <f>AR160/AR24*90</f>
        <v>77.43299649621693</v>
      </c>
      <c r="AS195" s="67">
        <f t="shared" ref="AS195:AS196" si="1494">+AR195</f>
        <v>77.43299649621693</v>
      </c>
      <c r="AT195" s="67">
        <f>AT160/AT24*90</f>
        <v>52.373806184017127</v>
      </c>
      <c r="AU195" s="67">
        <f t="shared" ref="AU195:AU196" si="1495">+AT195</f>
        <v>52.373806184017127</v>
      </c>
      <c r="AV195" s="67">
        <f>AV160/AV24*90</f>
        <v>81.278423204799935</v>
      </c>
      <c r="AW195" s="67">
        <f t="shared" ref="AW195:AW196" si="1496">+AV195</f>
        <v>81.278423204799935</v>
      </c>
      <c r="AX195" s="67">
        <f>AX160/AX24*90</f>
        <v>35.001931993817614</v>
      </c>
      <c r="AY195" s="67">
        <f t="shared" ref="AY195:AY196" si="1497">+AX195</f>
        <v>35.001931993817614</v>
      </c>
      <c r="AZ195" s="67">
        <f>AZ160/AZ24*90</f>
        <v>65.710472153730166</v>
      </c>
      <c r="BA195" s="67">
        <f t="shared" ref="BA195:BA196" si="1498">+AZ195</f>
        <v>65.710472153730166</v>
      </c>
      <c r="BB195" s="67">
        <f>BB160/BB24*90</f>
        <v>39.661024360382065</v>
      </c>
      <c r="BC195" s="67">
        <f t="shared" ref="BC195:BC196" si="1499">+BB195</f>
        <v>39.661024360382065</v>
      </c>
      <c r="BD195" s="67">
        <f>BD160/BD24*90</f>
        <v>61.018317562288388</v>
      </c>
      <c r="BE195" s="67">
        <f t="shared" ref="BE195:BE196" si="1500">+BD195</f>
        <v>61.018317562288388</v>
      </c>
      <c r="BF195" s="67">
        <f>BF160/BF24*90</f>
        <v>35.720471787461307</v>
      </c>
      <c r="BG195" s="67">
        <f t="shared" ref="BG195:BG196" si="1501">+BF195</f>
        <v>35.720471787461307</v>
      </c>
      <c r="BH195" s="67">
        <f>BH160/BH24*90</f>
        <v>68.162323408566436</v>
      </c>
      <c r="BI195" s="67">
        <f t="shared" ref="BI195:BI196" si="1502">+BH195</f>
        <v>68.162323408566436</v>
      </c>
      <c r="BJ195" s="67">
        <f>BJ160/BJ24*90</f>
        <v>47.58459211572395</v>
      </c>
      <c r="BK195" s="67">
        <f t="shared" ref="BK195:BK196" si="1503">+BJ195</f>
        <v>47.58459211572395</v>
      </c>
      <c r="BL195" s="67">
        <f>BL160/BL24*90</f>
        <v>51.627494831005521</v>
      </c>
      <c r="BM195" s="67">
        <f t="shared" ref="BM195:BM196" si="1504">+BL195</f>
        <v>51.627494831005521</v>
      </c>
      <c r="BN195" s="67">
        <f>BN160/BN24*90</f>
        <v>63.266989849877746</v>
      </c>
      <c r="BO195" s="67">
        <f t="shared" ref="BO195:BO196" si="1505">+BN195</f>
        <v>63.266989849877746</v>
      </c>
      <c r="BP195" s="67">
        <f>BP160/BP24*90</f>
        <v>71.301673136790413</v>
      </c>
      <c r="BQ195" s="67">
        <f t="shared" ref="BQ195:BQ196" si="1506">+BP195</f>
        <v>71.301673136790413</v>
      </c>
      <c r="BR195" s="67">
        <f>BR160/BR24*90</f>
        <v>43.430907431571164</v>
      </c>
      <c r="BS195" s="67">
        <f t="shared" ref="BS195:BS196" si="1507">+BR195</f>
        <v>43.430907431571164</v>
      </c>
      <c r="BT195" s="67">
        <f>BT160/BT24*90</f>
        <v>64.710078859497472</v>
      </c>
      <c r="BU195" s="67">
        <f t="shared" ref="BU195:BU196" si="1508">+BT195</f>
        <v>64.710078859497472</v>
      </c>
      <c r="BV195" s="67">
        <f>BV160/BV24*90</f>
        <v>56.073734896384138</v>
      </c>
      <c r="BW195" s="67">
        <f t="shared" ref="BW195:BW196" si="1509">+BV195</f>
        <v>56.073734896384138</v>
      </c>
      <c r="BX195" s="67">
        <f>BX160/BX24*90</f>
        <v>79.448528580153365</v>
      </c>
      <c r="BY195" s="67">
        <f t="shared" ref="BY195:BY196" si="1510">+BX195</f>
        <v>79.448528580153365</v>
      </c>
      <c r="BZ195" s="67">
        <f>BZ160/BZ24*90</f>
        <v>48.456879058441558</v>
      </c>
      <c r="CA195" s="67">
        <f t="shared" ref="CA195:CA196" si="1511">+BZ195</f>
        <v>48.456879058441558</v>
      </c>
      <c r="CB195" s="67">
        <f>CB160/CB24*90</f>
        <v>62.813738959764478</v>
      </c>
      <c r="CC195" s="67">
        <f t="shared" ref="CC195:CC196" si="1512">+CB195</f>
        <v>62.813738959764478</v>
      </c>
      <c r="CD195" s="67">
        <f>CD160/CD24*90</f>
        <v>45.726787345820014</v>
      </c>
      <c r="CE195" s="67">
        <f t="shared" si="1490"/>
        <v>45.726787345820014</v>
      </c>
      <c r="CF195" s="67">
        <f>CF160/CF24*90</f>
        <v>72.281843832446896</v>
      </c>
      <c r="CG195" s="67">
        <f t="shared" ref="CG195:CI196" si="1513">+CF195</f>
        <v>72.281843832446896</v>
      </c>
      <c r="CH195" s="67">
        <f>CH160/CH24*90</f>
        <v>51.249045633405764</v>
      </c>
      <c r="CI195" s="67">
        <f t="shared" si="1513"/>
        <v>51.249045633405764</v>
      </c>
      <c r="CJ195" s="67">
        <f>CJ160/CJ24*90</f>
        <v>119.26077398905989</v>
      </c>
      <c r="CK195" s="30">
        <f t="shared" ref="CK195:CK196" si="1514">+CJ195</f>
        <v>119.26077398905989</v>
      </c>
      <c r="CL195" s="67">
        <f>CL160/CL24*90</f>
        <v>63.209338295317146</v>
      </c>
      <c r="CM195" s="30">
        <f t="shared" ref="CM195:CM196" si="1515">+CL195</f>
        <v>63.209338295317146</v>
      </c>
      <c r="CN195" s="30">
        <f t="shared" ref="CN195:CN196" si="1516">+CM195</f>
        <v>63.209338295317146</v>
      </c>
      <c r="CO195" s="30">
        <f t="shared" ref="CO195:CO196" si="1517">+CN195</f>
        <v>63.209338295317146</v>
      </c>
      <c r="CP195" s="30">
        <f t="shared" ref="CP195:CP196" si="1518">+CO195</f>
        <v>63.209338295317146</v>
      </c>
      <c r="CQ195" s="30">
        <f t="shared" ref="CQ195:CQ196" si="1519">+CP195</f>
        <v>63.209338295317146</v>
      </c>
      <c r="CR195" s="30">
        <f t="shared" ref="CR195:CR196" si="1520">+CQ195</f>
        <v>63.209338295317146</v>
      </c>
      <c r="CS195" s="30">
        <f t="shared" ref="CS195:CS196" si="1521">+CR195</f>
        <v>63.209338295317146</v>
      </c>
      <c r="CT195" s="30">
        <f t="shared" ref="CT195:CT196" si="1522">+CS195</f>
        <v>63.209338295317146</v>
      </c>
      <c r="CU195" s="30">
        <f t="shared" ref="CU195:CU196" si="1523">+CT195</f>
        <v>63.209338295317146</v>
      </c>
      <c r="CV195" s="30">
        <f t="shared" ref="CV195:CV196" si="1524">+CU195</f>
        <v>63.209338295317146</v>
      </c>
      <c r="CW195" s="30">
        <f t="shared" ref="CW195:CW196" si="1525">+CV195</f>
        <v>63.209338295317146</v>
      </c>
      <c r="CX195" s="30">
        <f t="shared" ref="CX195:CX196" si="1526">+CW195</f>
        <v>63.209338295317146</v>
      </c>
      <c r="CY195" s="30">
        <f t="shared" ref="CY195:CY196" si="1527">+CX195</f>
        <v>63.209338295317146</v>
      </c>
      <c r="CZ195" s="30">
        <f t="shared" ref="CZ195:CZ196" si="1528">+CY195</f>
        <v>63.209338295317146</v>
      </c>
      <c r="DA195" s="30">
        <f t="shared" ref="DA195:DA196" si="1529">+CZ195</f>
        <v>63.209338295317146</v>
      </c>
      <c r="DB195" s="30">
        <f t="shared" ref="DB195:DB196" si="1530">+DA195</f>
        <v>63.209338295317146</v>
      </c>
      <c r="DE195" s="139"/>
      <c r="DF195" s="62">
        <v>119.26077398905989</v>
      </c>
    </row>
    <row r="196" spans="1:110" s="62" customFormat="1" outlineLevel="1" x14ac:dyDescent="0.2">
      <c r="A196" s="68" t="s">
        <v>465</v>
      </c>
      <c r="B196" s="67">
        <f t="shared" ref="B196:AE196" si="1531">B161/B24*365</f>
        <v>77.310601668047696</v>
      </c>
      <c r="C196" s="67">
        <f t="shared" si="1531"/>
        <v>94.583540803861027</v>
      </c>
      <c r="D196" s="67">
        <f t="shared" si="1531"/>
        <v>100.00815204331961</v>
      </c>
      <c r="E196" s="67">
        <f t="shared" si="1531"/>
        <v>99.652788975684928</v>
      </c>
      <c r="F196" s="67">
        <f t="shared" si="1531"/>
        <v>95.014209551157833</v>
      </c>
      <c r="G196" s="67">
        <f t="shared" si="1531"/>
        <v>79.880837771564657</v>
      </c>
      <c r="H196" s="67">
        <f t="shared" si="1531"/>
        <v>68.255142302604668</v>
      </c>
      <c r="I196" s="67">
        <f t="shared" si="1531"/>
        <v>63.761200951676145</v>
      </c>
      <c r="J196" s="67">
        <f t="shared" si="1531"/>
        <v>79.451055501972689</v>
      </c>
      <c r="K196" s="67">
        <f t="shared" si="1531"/>
        <v>76.786573124772403</v>
      </c>
      <c r="L196" s="67">
        <f t="shared" si="1531"/>
        <v>74.407693565317444</v>
      </c>
      <c r="M196" s="67">
        <f t="shared" si="1531"/>
        <v>81.602208976657593</v>
      </c>
      <c r="N196" s="67">
        <f t="shared" si="1531"/>
        <v>89.020799951686499</v>
      </c>
      <c r="O196" s="67">
        <f t="shared" si="1531"/>
        <v>91.901084770414613</v>
      </c>
      <c r="P196" s="67">
        <f t="shared" si="1531"/>
        <v>93.872557308530432</v>
      </c>
      <c r="Q196" s="67">
        <f t="shared" si="1531"/>
        <v>86.839475201295002</v>
      </c>
      <c r="R196" s="67">
        <f t="shared" si="1531"/>
        <v>87.079312291017899</v>
      </c>
      <c r="S196" s="67">
        <f t="shared" si="1531"/>
        <v>89.166737970743029</v>
      </c>
      <c r="T196" s="67">
        <f t="shared" si="1531"/>
        <v>92.384977969054219</v>
      </c>
      <c r="U196" s="67">
        <f t="shared" si="1531"/>
        <v>87.090530524622352</v>
      </c>
      <c r="V196" s="67">
        <f t="shared" si="1531"/>
        <v>86.998225199780833</v>
      </c>
      <c r="W196" s="67">
        <f t="shared" si="1531"/>
        <v>97.048888076678296</v>
      </c>
      <c r="X196" s="67">
        <f t="shared" si="1531"/>
        <v>84.224089013630177</v>
      </c>
      <c r="Y196" s="67">
        <f t="shared" si="1531"/>
        <v>70.194568475332119</v>
      </c>
      <c r="Z196" s="67">
        <f t="shared" si="1531"/>
        <v>52.854084172949868</v>
      </c>
      <c r="AA196" s="67">
        <f t="shared" ref="AA196" si="1532">AA161/AA24*365</f>
        <v>77.767331250658145</v>
      </c>
      <c r="AB196" s="18">
        <f t="shared" si="1531"/>
        <v>77.767331250658117</v>
      </c>
      <c r="AC196" s="18">
        <f t="shared" si="1531"/>
        <v>77.767331250658131</v>
      </c>
      <c r="AD196" s="18">
        <f t="shared" si="1531"/>
        <v>77.767331250658145</v>
      </c>
      <c r="AE196" s="18">
        <f t="shared" si="1531"/>
        <v>77.767331250658131</v>
      </c>
      <c r="AI196" s="67">
        <f>AJ161/AI24*90</f>
        <v>64.414220506920998</v>
      </c>
      <c r="AJ196" s="67">
        <f>AJ161/AJ24*90</f>
        <v>89.435031644754361</v>
      </c>
      <c r="AK196" s="67">
        <f>+AJ196</f>
        <v>89.435031644754361</v>
      </c>
      <c r="AL196" s="67">
        <f>AL161/AL24*90</f>
        <v>76.738734338899633</v>
      </c>
      <c r="AM196" s="67">
        <f t="shared" si="1491"/>
        <v>76.738734338899633</v>
      </c>
      <c r="AN196" s="67">
        <f>AN161/AN24*90</f>
        <v>94.76266276734566</v>
      </c>
      <c r="AO196" s="67">
        <f t="shared" si="1492"/>
        <v>94.76266276734566</v>
      </c>
      <c r="AP196" s="67">
        <f>AP161/AP24*90</f>
        <v>82.146895358932468</v>
      </c>
      <c r="AQ196" s="67">
        <f t="shared" si="1493"/>
        <v>82.146895358932468</v>
      </c>
      <c r="AR196" s="67">
        <f>AR161/AR24*90</f>
        <v>102.69039760320926</v>
      </c>
      <c r="AS196" s="67">
        <f t="shared" si="1494"/>
        <v>102.69039760320926</v>
      </c>
      <c r="AT196" s="67">
        <f>AT161/AT24*90</f>
        <v>80.856661543521</v>
      </c>
      <c r="AU196" s="67">
        <f t="shared" si="1495"/>
        <v>80.856661543521</v>
      </c>
      <c r="AV196" s="67">
        <f>AV161/AV24*90</f>
        <v>94.663029770321401</v>
      </c>
      <c r="AW196" s="67">
        <f t="shared" si="1496"/>
        <v>94.663029770321401</v>
      </c>
      <c r="AX196" s="67">
        <f>AX161/AX24*90</f>
        <v>66.036514683153001</v>
      </c>
      <c r="AY196" s="67">
        <f t="shared" si="1497"/>
        <v>66.036514683153001</v>
      </c>
      <c r="AZ196" s="67">
        <f>AZ161/AZ24*90</f>
        <v>69.792961506327316</v>
      </c>
      <c r="BA196" s="67">
        <f t="shared" si="1498"/>
        <v>69.792961506327316</v>
      </c>
      <c r="BB196" s="67">
        <f>BB161/BB24*90</f>
        <v>63.582783516173841</v>
      </c>
      <c r="BC196" s="67">
        <f t="shared" si="1499"/>
        <v>63.582783516173841</v>
      </c>
      <c r="BD196" s="67">
        <f>BD161/BD24*90</f>
        <v>110.5208785484851</v>
      </c>
      <c r="BE196" s="67">
        <f t="shared" si="1500"/>
        <v>110.5208785484851</v>
      </c>
      <c r="BF196" s="67">
        <f>BF161/BF24*90</f>
        <v>68.993643757505936</v>
      </c>
      <c r="BG196" s="67">
        <f t="shared" si="1501"/>
        <v>68.993643757505936</v>
      </c>
      <c r="BH196" s="67">
        <f>BH161/BH24*90</f>
        <v>93.531969381437492</v>
      </c>
      <c r="BI196" s="67">
        <f t="shared" si="1502"/>
        <v>93.531969381437492</v>
      </c>
      <c r="BJ196" s="67">
        <f>BJ161/BJ24*90</f>
        <v>78.670813053848093</v>
      </c>
      <c r="BK196" s="67">
        <f t="shared" si="1503"/>
        <v>78.670813053848093</v>
      </c>
      <c r="BL196" s="67">
        <f>BL161/BL24*90</f>
        <v>102.77712139752732</v>
      </c>
      <c r="BM196" s="67">
        <f t="shared" si="1504"/>
        <v>102.77712139752732</v>
      </c>
      <c r="BN196" s="67">
        <f>BN161/BN24*90</f>
        <v>78.69933911745143</v>
      </c>
      <c r="BO196" s="67">
        <f t="shared" si="1505"/>
        <v>78.69933911745143</v>
      </c>
      <c r="BP196" s="67">
        <f>BP161/BP24*90</f>
        <v>89.278343482952351</v>
      </c>
      <c r="BQ196" s="67">
        <f t="shared" si="1506"/>
        <v>89.278343482952351</v>
      </c>
      <c r="BR196" s="67">
        <f>BR161/BR24*90</f>
        <v>61.125370522616024</v>
      </c>
      <c r="BS196" s="67">
        <f t="shared" si="1507"/>
        <v>61.125370522616024</v>
      </c>
      <c r="BT196" s="67">
        <f>BT161/BT24*90</f>
        <v>95.537215525611558</v>
      </c>
      <c r="BU196" s="67">
        <f t="shared" si="1508"/>
        <v>95.537215525611558</v>
      </c>
      <c r="BV196" s="67">
        <f>BV161/BV24*90</f>
        <v>71.203676619490139</v>
      </c>
      <c r="BW196" s="67">
        <f t="shared" si="1509"/>
        <v>71.203676619490139</v>
      </c>
      <c r="BX196" s="67">
        <f>BX161/BX24*90</f>
        <v>91.583331448347622</v>
      </c>
      <c r="BY196" s="67">
        <f t="shared" si="1510"/>
        <v>91.583331448347622</v>
      </c>
      <c r="BZ196" s="67">
        <f>BZ161/BZ24*90</f>
        <v>66.716213474025963</v>
      </c>
      <c r="CA196" s="67">
        <f t="shared" si="1511"/>
        <v>66.716213474025963</v>
      </c>
      <c r="CB196" s="67">
        <f>CB161/CB24*90</f>
        <v>59.374288518155048</v>
      </c>
      <c r="CC196" s="67">
        <f t="shared" si="1512"/>
        <v>59.374288518155048</v>
      </c>
      <c r="CD196" s="67">
        <f>CD161/CD24*90</f>
        <v>51.399968592964818</v>
      </c>
      <c r="CE196" s="114">
        <f t="shared" ref="CE196" si="1533">+CD196</f>
        <v>51.399968592964818</v>
      </c>
      <c r="CF196" s="67">
        <f>CF161/CF24*90</f>
        <v>65.554634971421578</v>
      </c>
      <c r="CG196" s="67">
        <f t="shared" si="1513"/>
        <v>65.554634971421578</v>
      </c>
      <c r="CH196" s="67">
        <f>CH161/CH24*90</f>
        <v>42.132117896785772</v>
      </c>
      <c r="CI196" s="67">
        <f t="shared" si="1513"/>
        <v>42.132117896785772</v>
      </c>
      <c r="CJ196" s="67">
        <f>CJ161/CJ24*90</f>
        <v>68.807065078472476</v>
      </c>
      <c r="CK196" s="30">
        <f t="shared" si="1514"/>
        <v>68.807065078472476</v>
      </c>
      <c r="CL196" s="67">
        <f>CL161/CL24*90</f>
        <v>55.882774155402288</v>
      </c>
      <c r="CM196" s="30">
        <f t="shared" si="1515"/>
        <v>55.882774155402288</v>
      </c>
      <c r="CN196" s="30">
        <f t="shared" si="1516"/>
        <v>55.882774155402288</v>
      </c>
      <c r="CO196" s="30">
        <f t="shared" si="1517"/>
        <v>55.882774155402288</v>
      </c>
      <c r="CP196" s="30">
        <f t="shared" si="1518"/>
        <v>55.882774155402288</v>
      </c>
      <c r="CQ196" s="30">
        <f t="shared" si="1519"/>
        <v>55.882774155402288</v>
      </c>
      <c r="CR196" s="30">
        <f t="shared" si="1520"/>
        <v>55.882774155402288</v>
      </c>
      <c r="CS196" s="30">
        <f t="shared" si="1521"/>
        <v>55.882774155402288</v>
      </c>
      <c r="CT196" s="30">
        <f t="shared" si="1522"/>
        <v>55.882774155402288</v>
      </c>
      <c r="CU196" s="30">
        <f t="shared" si="1523"/>
        <v>55.882774155402288</v>
      </c>
      <c r="CV196" s="30">
        <f t="shared" si="1524"/>
        <v>55.882774155402288</v>
      </c>
      <c r="CW196" s="30">
        <f t="shared" si="1525"/>
        <v>55.882774155402288</v>
      </c>
      <c r="CX196" s="30">
        <f t="shared" si="1526"/>
        <v>55.882774155402288</v>
      </c>
      <c r="CY196" s="30">
        <f t="shared" si="1527"/>
        <v>55.882774155402288</v>
      </c>
      <c r="CZ196" s="30">
        <f t="shared" si="1528"/>
        <v>55.882774155402288</v>
      </c>
      <c r="DA196" s="30">
        <f t="shared" si="1529"/>
        <v>55.882774155402288</v>
      </c>
      <c r="DB196" s="30">
        <f t="shared" si="1530"/>
        <v>55.882774155402288</v>
      </c>
      <c r="DE196" s="139"/>
      <c r="DF196" s="62">
        <v>68.807065078472476</v>
      </c>
    </row>
    <row r="197" spans="1:110" s="62" customFormat="1" outlineLevel="1" x14ac:dyDescent="0.2">
      <c r="A197" s="68" t="s">
        <v>466</v>
      </c>
      <c r="B197" s="67">
        <f>B198-B196-B195</f>
        <v>43.06817918264683</v>
      </c>
      <c r="C197" s="67">
        <f t="shared" ref="C197:U197" si="1534">C198-C196-C195</f>
        <v>36.763483284878248</v>
      </c>
      <c r="D197" s="67">
        <f t="shared" si="1534"/>
        <v>32.026054723226508</v>
      </c>
      <c r="E197" s="67">
        <f t="shared" si="1534"/>
        <v>28.623004080776326</v>
      </c>
      <c r="F197" s="67">
        <f t="shared" si="1534"/>
        <v>26.995971209215639</v>
      </c>
      <c r="G197" s="67">
        <f t="shared" si="1534"/>
        <v>22.93738906275636</v>
      </c>
      <c r="H197" s="67">
        <f t="shared" si="1534"/>
        <v>24.591182468851727</v>
      </c>
      <c r="I197" s="67">
        <f t="shared" si="1534"/>
        <v>17.080373232616537</v>
      </c>
      <c r="J197" s="67">
        <f t="shared" si="1534"/>
        <v>18.387001340265499</v>
      </c>
      <c r="K197" s="67">
        <f t="shared" si="1534"/>
        <v>52.829869864227028</v>
      </c>
      <c r="L197" s="67">
        <f t="shared" si="1534"/>
        <v>81.833352972441162</v>
      </c>
      <c r="M197" s="67">
        <f t="shared" si="1534"/>
        <v>87.81222460626546</v>
      </c>
      <c r="N197" s="67">
        <f t="shared" si="1534"/>
        <v>74.847016822075489</v>
      </c>
      <c r="O197" s="67">
        <f t="shared" si="1534"/>
        <v>81.187480468067875</v>
      </c>
      <c r="P197" s="67">
        <f t="shared" si="1534"/>
        <v>72.026387409137413</v>
      </c>
      <c r="Q197" s="67">
        <f t="shared" si="1534"/>
        <v>83.133932971660698</v>
      </c>
      <c r="R197" s="67">
        <f t="shared" si="1534"/>
        <v>71.154106139110297</v>
      </c>
      <c r="S197" s="67">
        <f t="shared" si="1534"/>
        <v>89.152541977358027</v>
      </c>
      <c r="T197" s="67">
        <f t="shared" si="1534"/>
        <v>74.628035659391315</v>
      </c>
      <c r="U197" s="67">
        <f t="shared" si="1534"/>
        <v>82.390096473267434</v>
      </c>
      <c r="V197" s="67">
        <f>V198-V196-V195</f>
        <v>78.121259486115292</v>
      </c>
      <c r="W197" s="67">
        <f t="shared" ref="W197" si="1535">W198-W196-W195</f>
        <v>59.859549181102608</v>
      </c>
      <c r="X197" s="67">
        <f t="shared" ref="X197:Y197" si="1536">X198-X196-X195</f>
        <v>77.60866406913739</v>
      </c>
      <c r="Y197" s="67">
        <f t="shared" si="1536"/>
        <v>63.836931675694913</v>
      </c>
      <c r="Z197" s="67">
        <f t="shared" ref="Z197:AA197" si="1537">Z198-Z196-Z195</f>
        <v>75.395207486769124</v>
      </c>
      <c r="AA197" s="67">
        <f t="shared" si="1537"/>
        <v>85.74226543578223</v>
      </c>
      <c r="AB197" s="18">
        <f t="shared" ref="AA197:AD197" si="1538">AB198-AB196-AB195</f>
        <v>86.551725227280713</v>
      </c>
      <c r="AC197" s="18">
        <f t="shared" si="1538"/>
        <v>86.551725227280713</v>
      </c>
      <c r="AD197" s="18">
        <f t="shared" si="1538"/>
        <v>86.551725227280755</v>
      </c>
      <c r="AE197" s="18">
        <f t="shared" ref="AE197" si="1539">AE198-AE196-AE195</f>
        <v>86.551725227280713</v>
      </c>
      <c r="AI197" s="67">
        <f t="shared" ref="AI197:AK197" si="1540">AI198-AI196-AI195</f>
        <v>-111.90744795339</v>
      </c>
      <c r="AJ197" s="67">
        <f t="shared" ref="AJ197:AM197" si="1541">AJ198-AJ196-AJ195</f>
        <v>103.37993456362877</v>
      </c>
      <c r="AK197" s="67">
        <f t="shared" si="1540"/>
        <v>104.45181945962828</v>
      </c>
      <c r="AL197" s="67">
        <f t="shared" si="1541"/>
        <v>64.521103743636942</v>
      </c>
      <c r="AM197" s="67">
        <f t="shared" si="1541"/>
        <v>64.272001496912608</v>
      </c>
      <c r="AN197" s="67">
        <f t="shared" ref="AN197:AY197" si="1542">AN198-AN196-AN195</f>
        <v>91.892404653272024</v>
      </c>
      <c r="AO197" s="67">
        <f t="shared" si="1542"/>
        <v>88.701536537430769</v>
      </c>
      <c r="AP197" s="67">
        <f t="shared" si="1542"/>
        <v>72.5710789507865</v>
      </c>
      <c r="AQ197" s="67">
        <f t="shared" si="1542"/>
        <v>60.408173717095131</v>
      </c>
      <c r="AR197" s="67">
        <f t="shared" si="1542"/>
        <v>113.06372822830448</v>
      </c>
      <c r="AS197" s="67">
        <f t="shared" si="1542"/>
        <v>117.04835301168086</v>
      </c>
      <c r="AT197" s="67">
        <f t="shared" si="1542"/>
        <v>62.040242420988335</v>
      </c>
      <c r="AU197" s="67">
        <f t="shared" si="1542"/>
        <v>58.598599335474688</v>
      </c>
      <c r="AV197" s="67">
        <f t="shared" si="1542"/>
        <v>105.90744066954559</v>
      </c>
      <c r="AW197" s="67">
        <f t="shared" si="1542"/>
        <v>86.234052310582769</v>
      </c>
      <c r="AX197" s="67">
        <f t="shared" si="1542"/>
        <v>63.21966769706335</v>
      </c>
      <c r="AY197" s="67">
        <f t="shared" si="1542"/>
        <v>63.21848143257278</v>
      </c>
      <c r="AZ197" s="67">
        <f t="shared" ref="AZ197:BC197" si="1543">AZ198-AZ196-AZ195</f>
        <v>146.02052044912685</v>
      </c>
      <c r="BA197" s="67">
        <f t="shared" si="1543"/>
        <v>117.19829064003304</v>
      </c>
      <c r="BB197" s="67">
        <f t="shared" si="1543"/>
        <v>51.954660732852012</v>
      </c>
      <c r="BC197" s="67">
        <f t="shared" si="1543"/>
        <v>53.102216315642785</v>
      </c>
      <c r="BD197" s="67">
        <f t="shared" ref="BD197:CE197" si="1544">BD198-BD196-BD195</f>
        <v>117.83574963104437</v>
      </c>
      <c r="BE197" s="67">
        <f t="shared" si="1544"/>
        <v>88.866055125957502</v>
      </c>
      <c r="BF197" s="67">
        <f t="shared" si="1544"/>
        <v>68.982659467481611</v>
      </c>
      <c r="BG197" s="67">
        <f t="shared" si="1544"/>
        <v>65.780623716883397</v>
      </c>
      <c r="BH197" s="67">
        <f t="shared" si="1544"/>
        <v>116.51636460854397</v>
      </c>
      <c r="BI197" s="67">
        <f t="shared" si="1544"/>
        <v>111.01616860394969</v>
      </c>
      <c r="BJ197" s="67">
        <f t="shared" si="1544"/>
        <v>63.549814818405679</v>
      </c>
      <c r="BK197" s="67">
        <f t="shared" si="1544"/>
        <v>49.394536548605885</v>
      </c>
      <c r="BL197" s="67">
        <f t="shared" si="1544"/>
        <v>104.39934174437738</v>
      </c>
      <c r="BM197" s="67">
        <f t="shared" si="1544"/>
        <v>99.463052173854777</v>
      </c>
      <c r="BN197" s="67">
        <f t="shared" si="1544"/>
        <v>75.01299273077052</v>
      </c>
      <c r="BO197" s="67">
        <f t="shared" si="1544"/>
        <v>120.86094961987448</v>
      </c>
      <c r="BP197" s="67">
        <f t="shared" si="1544"/>
        <v>93.233222121621793</v>
      </c>
      <c r="BQ197" s="67">
        <f t="shared" si="1544"/>
        <v>75.373150042112854</v>
      </c>
      <c r="BR197" s="67">
        <f t="shared" si="1544"/>
        <v>55.33944774216905</v>
      </c>
      <c r="BS197" s="67">
        <f t="shared" si="1544"/>
        <v>82.198857270894052</v>
      </c>
      <c r="BT197" s="67">
        <f t="shared" si="1544"/>
        <v>72.889620385061662</v>
      </c>
      <c r="BU197" s="67">
        <f t="shared" si="1544"/>
        <v>68.642443367770724</v>
      </c>
      <c r="BV197" s="67">
        <f t="shared" si="1544"/>
        <v>44.607812253898274</v>
      </c>
      <c r="BW197" s="67">
        <f t="shared" si="1544"/>
        <v>42.973374277456642</v>
      </c>
      <c r="BX197" s="67">
        <f t="shared" si="1544"/>
        <v>86.402259720871328</v>
      </c>
      <c r="BY197" s="67">
        <f t="shared" si="1544"/>
        <v>76.18146100188973</v>
      </c>
      <c r="BZ197" s="67">
        <f t="shared" si="1544"/>
        <v>62.562297077922082</v>
      </c>
      <c r="CA197" s="67">
        <f t="shared" si="1544"/>
        <v>55.057115475049542</v>
      </c>
      <c r="CB197" s="67">
        <f t="shared" si="1544"/>
        <v>92.563689892051016</v>
      </c>
      <c r="CC197" s="67">
        <f t="shared" si="1544"/>
        <v>80.825602120561214</v>
      </c>
      <c r="CD197" s="67">
        <f t="shared" si="1544"/>
        <v>47.488722019186838</v>
      </c>
      <c r="CE197" s="114">
        <f t="shared" si="1544"/>
        <v>40.558542741139036</v>
      </c>
      <c r="CF197" s="67">
        <f t="shared" ref="CF197:CG197" si="1545">CF198-CF196-CF195</f>
        <v>85.608775500074444</v>
      </c>
      <c r="CG197" s="67">
        <f t="shared" si="1545"/>
        <v>72.209615762404553</v>
      </c>
      <c r="CH197" s="67">
        <f t="shared" ref="CH197" si="1546">CH198-CH196-CH195</f>
        <v>60.100554581379164</v>
      </c>
      <c r="CI197" s="67">
        <f>CH197</f>
        <v>60.100554581379164</v>
      </c>
      <c r="CJ197" s="67">
        <f t="shared" ref="CJ197:CL197" si="1547">CJ198-CJ196-CJ195</f>
        <v>132.51546444455806</v>
      </c>
      <c r="CK197" s="30">
        <f t="shared" ref="CK197:DB197" si="1548">CJ197</f>
        <v>132.51546444455806</v>
      </c>
      <c r="CL197" s="67">
        <f t="shared" si="1547"/>
        <v>62.19514590319222</v>
      </c>
      <c r="CM197" s="30">
        <f t="shared" si="1548"/>
        <v>62.19514590319222</v>
      </c>
      <c r="CN197" s="30">
        <f t="shared" si="1548"/>
        <v>62.19514590319222</v>
      </c>
      <c r="CO197" s="30">
        <f t="shared" si="1548"/>
        <v>62.19514590319222</v>
      </c>
      <c r="CP197" s="30">
        <f t="shared" si="1548"/>
        <v>62.19514590319222</v>
      </c>
      <c r="CQ197" s="30">
        <f t="shared" si="1548"/>
        <v>62.19514590319222</v>
      </c>
      <c r="CR197" s="30">
        <f t="shared" si="1548"/>
        <v>62.19514590319222</v>
      </c>
      <c r="CS197" s="30">
        <f t="shared" si="1548"/>
        <v>62.19514590319222</v>
      </c>
      <c r="CT197" s="30">
        <f t="shared" si="1548"/>
        <v>62.19514590319222</v>
      </c>
      <c r="CU197" s="30">
        <f t="shared" si="1548"/>
        <v>62.19514590319222</v>
      </c>
      <c r="CV197" s="30">
        <f t="shared" si="1548"/>
        <v>62.19514590319222</v>
      </c>
      <c r="CW197" s="30">
        <f t="shared" si="1548"/>
        <v>62.19514590319222</v>
      </c>
      <c r="CX197" s="30">
        <f t="shared" si="1548"/>
        <v>62.19514590319222</v>
      </c>
      <c r="CY197" s="30">
        <f t="shared" si="1548"/>
        <v>62.19514590319222</v>
      </c>
      <c r="CZ197" s="30">
        <f t="shared" si="1548"/>
        <v>62.19514590319222</v>
      </c>
      <c r="DA197" s="30">
        <f t="shared" si="1548"/>
        <v>62.19514590319222</v>
      </c>
      <c r="DB197" s="30">
        <f t="shared" si="1548"/>
        <v>62.19514590319222</v>
      </c>
      <c r="DE197" s="139"/>
      <c r="DF197" s="62">
        <v>132.51546444455806</v>
      </c>
    </row>
    <row r="198" spans="1:110" s="7" customFormat="1" outlineLevel="1" x14ac:dyDescent="0.2">
      <c r="A198" s="69" t="s">
        <v>467</v>
      </c>
      <c r="B198" s="70">
        <f t="shared" ref="B198:AE198" si="1549">B164/B24*365</f>
        <v>182.77495248423193</v>
      </c>
      <c r="C198" s="70">
        <f t="shared" si="1549"/>
        <v>179.50579893189783</v>
      </c>
      <c r="D198" s="70">
        <f t="shared" si="1549"/>
        <v>170.36082831793786</v>
      </c>
      <c r="E198" s="70">
        <f t="shared" si="1549"/>
        <v>172.20978815886187</v>
      </c>
      <c r="F198" s="70">
        <f t="shared" si="1549"/>
        <v>183.59445543778099</v>
      </c>
      <c r="G198" s="70">
        <f t="shared" si="1549"/>
        <v>160.02058674879018</v>
      </c>
      <c r="H198" s="70">
        <f t="shared" si="1549"/>
        <v>164.81133671580002</v>
      </c>
      <c r="I198" s="70">
        <f t="shared" si="1549"/>
        <v>152.3844915117009</v>
      </c>
      <c r="J198" s="70">
        <f t="shared" si="1549"/>
        <v>191.25026766672394</v>
      </c>
      <c r="K198" s="70">
        <f t="shared" si="1549"/>
        <v>179.83620994887539</v>
      </c>
      <c r="L198" s="70">
        <f t="shared" si="1549"/>
        <v>213.61479698915832</v>
      </c>
      <c r="M198" s="70">
        <f t="shared" si="1549"/>
        <v>227.69959863421471</v>
      </c>
      <c r="N198" s="70">
        <f t="shared" si="1549"/>
        <v>227.82683558268013</v>
      </c>
      <c r="O198" s="70">
        <f t="shared" si="1549"/>
        <v>235.10405923239685</v>
      </c>
      <c r="P198" s="70">
        <f t="shared" si="1549"/>
        <v>226.70408557936565</v>
      </c>
      <c r="Q198" s="70">
        <f t="shared" si="1549"/>
        <v>216.00174181391739</v>
      </c>
      <c r="R198" s="70">
        <f t="shared" si="1549"/>
        <v>212.55086939829565</v>
      </c>
      <c r="S198" s="70">
        <f t="shared" si="1549"/>
        <v>224.48408259656779</v>
      </c>
      <c r="T198" s="70">
        <f t="shared" si="1549"/>
        <v>222.89271441746084</v>
      </c>
      <c r="U198" s="70">
        <f t="shared" si="1549"/>
        <v>239.49335864864298</v>
      </c>
      <c r="V198" s="70">
        <f t="shared" si="1549"/>
        <v>226.93361903072883</v>
      </c>
      <c r="W198" s="70">
        <f t="shared" si="1549"/>
        <v>233.33558091613153</v>
      </c>
      <c r="X198" s="70">
        <f t="shared" si="1549"/>
        <v>223.00583654515268</v>
      </c>
      <c r="Y198" s="70">
        <f t="shared" si="1549"/>
        <v>196.47846643073871</v>
      </c>
      <c r="Z198" s="70">
        <f t="shared" si="1549"/>
        <v>192.54041935301785</v>
      </c>
      <c r="AA198" s="70">
        <f t="shared" ref="AA198" si="1550">AA164/AA24*365</f>
        <v>251.4726877040261</v>
      </c>
      <c r="AB198" s="71">
        <f t="shared" si="1549"/>
        <v>252.28214749552455</v>
      </c>
      <c r="AC198" s="71">
        <f t="shared" si="1549"/>
        <v>252.28214749552455</v>
      </c>
      <c r="AD198" s="71">
        <f t="shared" si="1549"/>
        <v>252.28214749552464</v>
      </c>
      <c r="AE198" s="71">
        <f t="shared" si="1549"/>
        <v>252.28214749552458</v>
      </c>
      <c r="AI198" s="70">
        <f t="shared" ref="AI198:CD198" si="1551">AI164/AI24*90</f>
        <v>0</v>
      </c>
      <c r="AJ198" s="70">
        <f t="shared" si="1551"/>
        <v>258.75627957303203</v>
      </c>
      <c r="AK198" s="70">
        <f t="shared" si="1551"/>
        <v>259.82816446903155</v>
      </c>
      <c r="AL198" s="70">
        <f t="shared" si="1551"/>
        <v>196.39442493002986</v>
      </c>
      <c r="AM198" s="70">
        <f t="shared" si="1551"/>
        <v>196.14532268330552</v>
      </c>
      <c r="AN198" s="70">
        <f t="shared" si="1551"/>
        <v>257.5019666274884</v>
      </c>
      <c r="AO198" s="70">
        <f t="shared" si="1551"/>
        <v>254.31109851164715</v>
      </c>
      <c r="AP198" s="70">
        <f t="shared" si="1551"/>
        <v>210.15114744908772</v>
      </c>
      <c r="AQ198" s="70">
        <f t="shared" si="1551"/>
        <v>197.98824221539635</v>
      </c>
      <c r="AR198" s="70">
        <f t="shared" si="1551"/>
        <v>293.18712232773066</v>
      </c>
      <c r="AS198" s="70">
        <f t="shared" si="1551"/>
        <v>297.17174711110704</v>
      </c>
      <c r="AT198" s="70">
        <f t="shared" si="1551"/>
        <v>195.27071014852646</v>
      </c>
      <c r="AU198" s="70">
        <f t="shared" si="1551"/>
        <v>191.82906706301281</v>
      </c>
      <c r="AV198" s="70">
        <f t="shared" si="1551"/>
        <v>281.84889364466693</v>
      </c>
      <c r="AW198" s="70">
        <f t="shared" si="1551"/>
        <v>262.17550528570411</v>
      </c>
      <c r="AX198" s="70">
        <f t="shared" si="1551"/>
        <v>164.25811437403397</v>
      </c>
      <c r="AY198" s="70">
        <f t="shared" si="1551"/>
        <v>164.2569281095434</v>
      </c>
      <c r="AZ198" s="70">
        <f t="shared" si="1551"/>
        <v>281.52395410918433</v>
      </c>
      <c r="BA198" s="70">
        <f t="shared" si="1551"/>
        <v>252.70172430009052</v>
      </c>
      <c r="BB198" s="70">
        <f t="shared" si="1551"/>
        <v>155.19846860940791</v>
      </c>
      <c r="BC198" s="70">
        <f t="shared" si="1551"/>
        <v>156.34602419219868</v>
      </c>
      <c r="BD198" s="70">
        <f t="shared" si="1551"/>
        <v>289.37494574181784</v>
      </c>
      <c r="BE198" s="70">
        <f t="shared" si="1551"/>
        <v>260.40525123673098</v>
      </c>
      <c r="BF198" s="70">
        <f t="shared" si="1551"/>
        <v>173.69677501244885</v>
      </c>
      <c r="BG198" s="70">
        <f t="shared" si="1551"/>
        <v>170.49473926185064</v>
      </c>
      <c r="BH198" s="70">
        <f t="shared" si="1551"/>
        <v>278.21065739854788</v>
      </c>
      <c r="BI198" s="70">
        <f t="shared" si="1551"/>
        <v>272.71046139395361</v>
      </c>
      <c r="BJ198" s="70">
        <f t="shared" si="1551"/>
        <v>189.80521998797772</v>
      </c>
      <c r="BK198" s="70">
        <f t="shared" si="1551"/>
        <v>175.64994171817793</v>
      </c>
      <c r="BL198" s="70">
        <f t="shared" si="1551"/>
        <v>258.80395797291021</v>
      </c>
      <c r="BM198" s="70">
        <f t="shared" si="1551"/>
        <v>253.86766840238764</v>
      </c>
      <c r="BN198" s="70">
        <f t="shared" si="1551"/>
        <v>216.97932169809968</v>
      </c>
      <c r="BO198" s="70">
        <f t="shared" si="1551"/>
        <v>262.82727858720364</v>
      </c>
      <c r="BP198" s="70">
        <f t="shared" si="1551"/>
        <v>253.81323874136456</v>
      </c>
      <c r="BQ198" s="70">
        <f t="shared" si="1551"/>
        <v>235.95316666185562</v>
      </c>
      <c r="BR198" s="70">
        <f t="shared" si="1551"/>
        <v>159.89572569635624</v>
      </c>
      <c r="BS198" s="70">
        <f t="shared" si="1551"/>
        <v>186.75513522508123</v>
      </c>
      <c r="BT198" s="70">
        <f t="shared" si="1551"/>
        <v>233.1369147701707</v>
      </c>
      <c r="BU198" s="70">
        <f t="shared" si="1551"/>
        <v>228.88973775287977</v>
      </c>
      <c r="BV198" s="70">
        <f t="shared" si="1551"/>
        <v>171.88522376977255</v>
      </c>
      <c r="BW198" s="70">
        <f t="shared" si="1551"/>
        <v>170.25078579333092</v>
      </c>
      <c r="BX198" s="70">
        <f t="shared" si="1551"/>
        <v>257.43411974937231</v>
      </c>
      <c r="BY198" s="70">
        <f t="shared" si="1551"/>
        <v>247.21332103039072</v>
      </c>
      <c r="BZ198" s="70">
        <f t="shared" si="1551"/>
        <v>177.7353896103896</v>
      </c>
      <c r="CA198" s="70">
        <f t="shared" si="1551"/>
        <v>170.23020800751706</v>
      </c>
      <c r="CB198" s="70">
        <f t="shared" si="1551"/>
        <v>214.75171736997055</v>
      </c>
      <c r="CC198" s="70">
        <f t="shared" si="1551"/>
        <v>203.01362959848075</v>
      </c>
      <c r="CD198" s="70">
        <f t="shared" si="1551"/>
        <v>144.61547795797168</v>
      </c>
      <c r="CE198" s="115">
        <f>CE164/CE26*90</f>
        <v>137.68529867992387</v>
      </c>
      <c r="CF198" s="70">
        <f>CF164/CF24*90</f>
        <v>223.4452543039429</v>
      </c>
      <c r="CG198" s="70">
        <f>CG164/CG26*90</f>
        <v>210.04609456627304</v>
      </c>
      <c r="CH198" s="70">
        <f>CH164/CH24*90</f>
        <v>153.4817181115707</v>
      </c>
      <c r="CI198" s="70">
        <f>CI195+CI196+CI197</f>
        <v>153.4817181115707</v>
      </c>
      <c r="CJ198" s="70">
        <f>CJ164/CJ24*90</f>
        <v>320.58330351209042</v>
      </c>
      <c r="CK198" s="50">
        <f t="shared" ref="CK198:DB198" si="1552">CK195+CK196+CK197</f>
        <v>320.58330351209042</v>
      </c>
      <c r="CL198" s="70">
        <f>CL164/CL24*90</f>
        <v>181.28725835391165</v>
      </c>
      <c r="CM198" s="50">
        <f t="shared" si="1552"/>
        <v>181.28725835391165</v>
      </c>
      <c r="CN198" s="50">
        <f t="shared" si="1552"/>
        <v>181.28725835391165</v>
      </c>
      <c r="CO198" s="50">
        <f t="shared" si="1552"/>
        <v>181.28725835391165</v>
      </c>
      <c r="CP198" s="50">
        <f t="shared" si="1552"/>
        <v>181.28725835391165</v>
      </c>
      <c r="CQ198" s="50">
        <f t="shared" si="1552"/>
        <v>181.28725835391165</v>
      </c>
      <c r="CR198" s="50">
        <f t="shared" si="1552"/>
        <v>181.28725835391165</v>
      </c>
      <c r="CS198" s="50">
        <f t="shared" si="1552"/>
        <v>181.28725835391165</v>
      </c>
      <c r="CT198" s="50">
        <f t="shared" si="1552"/>
        <v>181.28725835391165</v>
      </c>
      <c r="CU198" s="50">
        <f t="shared" si="1552"/>
        <v>181.28725835391165</v>
      </c>
      <c r="CV198" s="50">
        <f t="shared" si="1552"/>
        <v>181.28725835391165</v>
      </c>
      <c r="CW198" s="50">
        <f t="shared" si="1552"/>
        <v>181.28725835391165</v>
      </c>
      <c r="CX198" s="50">
        <f t="shared" si="1552"/>
        <v>181.28725835391165</v>
      </c>
      <c r="CY198" s="50">
        <f t="shared" si="1552"/>
        <v>181.28725835391165</v>
      </c>
      <c r="CZ198" s="50">
        <f t="shared" si="1552"/>
        <v>181.28725835391165</v>
      </c>
      <c r="DA198" s="50">
        <f t="shared" si="1552"/>
        <v>181.28725835391165</v>
      </c>
      <c r="DB198" s="50">
        <f t="shared" si="1552"/>
        <v>181.28725835391165</v>
      </c>
      <c r="DE198" s="138"/>
      <c r="DF198" s="7">
        <v>320.58330351209042</v>
      </c>
    </row>
    <row r="199" spans="1:110" s="62" customFormat="1" outlineLevel="1" x14ac:dyDescent="0.2">
      <c r="A199" s="68" t="s">
        <v>468</v>
      </c>
      <c r="B199" s="67">
        <f t="shared" ref="B199:AE199" si="1553">B169/B24*365</f>
        <v>97.317360351198502</v>
      </c>
      <c r="C199" s="67">
        <f t="shared" si="1553"/>
        <v>100.62188062574366</v>
      </c>
      <c r="D199" s="67">
        <f t="shared" si="1553"/>
        <v>105.62218732711554</v>
      </c>
      <c r="E199" s="67">
        <f t="shared" si="1553"/>
        <v>110.33696664938226</v>
      </c>
      <c r="F199" s="67">
        <f t="shared" si="1553"/>
        <v>112.99448332038186</v>
      </c>
      <c r="G199" s="67">
        <f t="shared" si="1553"/>
        <v>101.92111430369441</v>
      </c>
      <c r="H199" s="67">
        <f t="shared" si="1553"/>
        <v>88.27763854149309</v>
      </c>
      <c r="I199" s="67">
        <f t="shared" si="1553"/>
        <v>82.006584205467249</v>
      </c>
      <c r="J199" s="67">
        <f t="shared" si="1553"/>
        <v>104.54103598945147</v>
      </c>
      <c r="K199" s="67">
        <f t="shared" si="1553"/>
        <v>90.736674622548691</v>
      </c>
      <c r="L199" s="67">
        <f t="shared" si="1553"/>
        <v>101.26674264239546</v>
      </c>
      <c r="M199" s="67">
        <f t="shared" si="1553"/>
        <v>103.01609335526778</v>
      </c>
      <c r="N199" s="67">
        <f t="shared" si="1553"/>
        <v>112.37864527762552</v>
      </c>
      <c r="O199" s="67">
        <f t="shared" si="1553"/>
        <v>111.97010240597196</v>
      </c>
      <c r="P199" s="67">
        <f t="shared" si="1553"/>
        <v>108.09816923300771</v>
      </c>
      <c r="Q199" s="67">
        <f t="shared" si="1553"/>
        <v>111.07436669787381</v>
      </c>
      <c r="R199" s="67">
        <f t="shared" si="1553"/>
        <v>119.44473521005673</v>
      </c>
      <c r="S199" s="67">
        <f t="shared" si="1553"/>
        <v>123.58520785267903</v>
      </c>
      <c r="T199" s="67">
        <f t="shared" si="1553"/>
        <v>121.65641971513475</v>
      </c>
      <c r="U199" s="67">
        <f t="shared" si="1553"/>
        <v>128.15808270480329</v>
      </c>
      <c r="V199" s="67">
        <f t="shared" si="1553"/>
        <v>119.05500821887352</v>
      </c>
      <c r="W199" s="67">
        <f t="shared" si="1553"/>
        <v>135.3399731550391</v>
      </c>
      <c r="X199" s="67">
        <f t="shared" si="1553"/>
        <v>115.76340410389977</v>
      </c>
      <c r="Y199" s="67">
        <f t="shared" si="1553"/>
        <v>110.40910696959671</v>
      </c>
      <c r="Z199" s="67">
        <f t="shared" si="1553"/>
        <v>92.188088593953452</v>
      </c>
      <c r="AA199" s="67">
        <f t="shared" ref="AA199" si="1554">AA169/AA24*365</f>
        <v>133.95624276036364</v>
      </c>
      <c r="AB199" s="18">
        <f t="shared" si="1553"/>
        <v>133.95624276036364</v>
      </c>
      <c r="AC199" s="18">
        <f t="shared" si="1553"/>
        <v>133.95624276036364</v>
      </c>
      <c r="AD199" s="18">
        <f t="shared" si="1553"/>
        <v>133.95624276036364</v>
      </c>
      <c r="AE199" s="18">
        <f t="shared" si="1553"/>
        <v>133.95624276036364</v>
      </c>
      <c r="AI199" s="67">
        <f>AJ169/AI24*90</f>
        <v>0</v>
      </c>
      <c r="AJ199" s="67">
        <f>AJ169/AJ24*90</f>
        <v>0</v>
      </c>
      <c r="AK199" s="67">
        <f t="shared" ref="AK199:CE199" si="1555">+AJ199</f>
        <v>0</v>
      </c>
      <c r="AL199" s="67">
        <f>AL169/AL24*90</f>
        <v>96.874354302458798</v>
      </c>
      <c r="AM199" s="67">
        <f t="shared" ref="AM199" si="1556">+AL199</f>
        <v>96.874354302458798</v>
      </c>
      <c r="AN199" s="67">
        <f>AN169/AN24*90</f>
        <v>118.26779450825057</v>
      </c>
      <c r="AO199" s="67">
        <f t="shared" ref="AO199" si="1557">+AN199</f>
        <v>118.26779450825057</v>
      </c>
      <c r="AP199" s="67">
        <f>AP169/AP24*90</f>
        <v>100.08586214204171</v>
      </c>
      <c r="AQ199" s="67">
        <f t="shared" ref="AQ199" si="1558">+AP199</f>
        <v>100.08586214204171</v>
      </c>
      <c r="AR199" s="67">
        <f>AR169/AR24*90</f>
        <v>123.45259736962373</v>
      </c>
      <c r="AS199" s="67">
        <f t="shared" ref="AS199" si="1559">+AR199</f>
        <v>123.45259736962373</v>
      </c>
      <c r="AT199" s="67">
        <f>AT169/AT24*90</f>
        <v>93.109592810593497</v>
      </c>
      <c r="AU199" s="67">
        <f t="shared" ref="AU199" si="1560">+AT199</f>
        <v>93.109592810593497</v>
      </c>
      <c r="AV199" s="67">
        <f>AV169/AV24*90</f>
        <v>117.54566820804828</v>
      </c>
      <c r="AW199" s="67">
        <f t="shared" ref="AW199" si="1561">+AV199</f>
        <v>117.54566820804828</v>
      </c>
      <c r="AX199" s="67">
        <f>AX169/AX24*90</f>
        <v>84.465803709428116</v>
      </c>
      <c r="AY199" s="67">
        <f t="shared" ref="AY199" si="1562">+AX199</f>
        <v>84.465803709428116</v>
      </c>
      <c r="AZ199" s="67">
        <f>AZ169/AZ24*90</f>
        <v>120.18492857579525</v>
      </c>
      <c r="BA199" s="67">
        <f t="shared" ref="BA199" si="1563">+AZ199</f>
        <v>120.18492857579525</v>
      </c>
      <c r="BB199" s="67">
        <f>BB169/BB24*90</f>
        <v>87.215074869064154</v>
      </c>
      <c r="BC199" s="67">
        <f t="shared" ref="BC199" si="1564">+BB199</f>
        <v>87.215074869064154</v>
      </c>
      <c r="BD199" s="67">
        <f>BD169/BD24*90</f>
        <v>128.44344127094365</v>
      </c>
      <c r="BE199" s="67">
        <f t="shared" ref="BE199" si="1565">+BD199</f>
        <v>128.44344127094365</v>
      </c>
      <c r="BF199" s="67">
        <f>BF169/BF24*90</f>
        <v>95.625274607250603</v>
      </c>
      <c r="BG199" s="67">
        <f t="shared" ref="BG199" si="1566">+BF199</f>
        <v>95.625274607250603</v>
      </c>
      <c r="BH199" s="67">
        <f>BH169/BH24*90</f>
        <v>116.02500422130916</v>
      </c>
      <c r="BI199" s="67">
        <f t="shared" ref="BI199" si="1567">+BH199</f>
        <v>116.02500422130916</v>
      </c>
      <c r="BJ199" s="67">
        <f>BJ169/BJ24*90</f>
        <v>103.59703127726823</v>
      </c>
      <c r="BK199" s="67">
        <f t="shared" ref="BK199" si="1568">+BJ199</f>
        <v>103.59703127726823</v>
      </c>
      <c r="BL199" s="67">
        <f>BL169/BL24*90</f>
        <v>122.29440060762057</v>
      </c>
      <c r="BM199" s="67">
        <f t="shared" ref="BM199" si="1569">+BL199</f>
        <v>122.29440060762057</v>
      </c>
      <c r="BN199" s="67">
        <f>BN169/BN24*90</f>
        <v>115.8100237841149</v>
      </c>
      <c r="BO199" s="67">
        <f t="shared" ref="BO199" si="1570">+BN199</f>
        <v>115.8100237841149</v>
      </c>
      <c r="BP199" s="67">
        <f>BP169/BP24*90</f>
        <v>103.90291093554268</v>
      </c>
      <c r="BQ199" s="67">
        <f t="shared" ref="BQ199" si="1571">+BP199</f>
        <v>103.90291093554268</v>
      </c>
      <c r="BR199" s="67">
        <f>BR169/BR24*90</f>
        <v>83.648620109667149</v>
      </c>
      <c r="BS199" s="67">
        <f t="shared" ref="BS199" si="1572">+BR199</f>
        <v>83.648620109667149</v>
      </c>
      <c r="BT199" s="67">
        <f>BT169/BT24*90</f>
        <v>96.086567835744887</v>
      </c>
      <c r="BU199" s="67">
        <f t="shared" ref="BU199" si="1573">+BT199</f>
        <v>96.086567835744887</v>
      </c>
      <c r="BV199" s="67">
        <f>BV169/BV24*90</f>
        <v>99.297414665976646</v>
      </c>
      <c r="BW199" s="67">
        <f t="shared" ref="BW199" si="1574">+BV199</f>
        <v>99.297414665976646</v>
      </c>
      <c r="BX199" s="67">
        <f>BX169/BX24*90</f>
        <v>115.67124341197494</v>
      </c>
      <c r="BY199" s="67">
        <f t="shared" ref="BY199" si="1575">+BX199</f>
        <v>115.67124341197494</v>
      </c>
      <c r="BZ199" s="67">
        <f>BZ169/BZ24*90</f>
        <v>91.699370941558442</v>
      </c>
      <c r="CA199" s="67">
        <f t="shared" ref="CA199" si="1576">+BZ199</f>
        <v>91.699370941558442</v>
      </c>
      <c r="CB199" s="67">
        <f>CB169/CB24*90</f>
        <v>99.005691854759561</v>
      </c>
      <c r="CC199" s="67">
        <f t="shared" ref="CC199" si="1577">+CB199</f>
        <v>99.005691854759561</v>
      </c>
      <c r="CD199" s="67">
        <f>CD169/CD24*90</f>
        <v>80.847062014618544</v>
      </c>
      <c r="CE199" s="114">
        <f t="shared" si="1555"/>
        <v>80.847062014618544</v>
      </c>
      <c r="CF199" s="67">
        <f>CF169/CF24*90</f>
        <v>108.15078404496184</v>
      </c>
      <c r="CG199" s="67">
        <f t="shared" ref="CG199:CI199" si="1578">+CF199</f>
        <v>108.15078404496184</v>
      </c>
      <c r="CH199" s="67">
        <f>CH169/CH24*90</f>
        <v>73.486836033526572</v>
      </c>
      <c r="CI199" s="67">
        <f t="shared" si="1578"/>
        <v>73.486836033526572</v>
      </c>
      <c r="CJ199" s="67">
        <f>CJ169/CJ24*90</f>
        <v>121.40330248964779</v>
      </c>
      <c r="CK199" s="30">
        <f t="shared" ref="CK199" si="1579">+CJ199</f>
        <v>121.40330248964779</v>
      </c>
      <c r="CL199" s="67">
        <f>CL169/CL24*90</f>
        <v>96.25952621101797</v>
      </c>
      <c r="CM199" s="30">
        <f t="shared" ref="CM199" si="1580">+CL199</f>
        <v>96.25952621101797</v>
      </c>
      <c r="CN199" s="30">
        <f t="shared" ref="CN199" si="1581">+CM199</f>
        <v>96.25952621101797</v>
      </c>
      <c r="CO199" s="30">
        <f t="shared" ref="CO199" si="1582">+CN199</f>
        <v>96.25952621101797</v>
      </c>
      <c r="CP199" s="30">
        <f t="shared" ref="CP199" si="1583">+CO199</f>
        <v>96.25952621101797</v>
      </c>
      <c r="CQ199" s="30">
        <f t="shared" ref="CQ199" si="1584">+CP199</f>
        <v>96.25952621101797</v>
      </c>
      <c r="CR199" s="30">
        <f t="shared" ref="CR199" si="1585">+CQ199</f>
        <v>96.25952621101797</v>
      </c>
      <c r="CS199" s="30">
        <f t="shared" ref="CS199" si="1586">+CR199</f>
        <v>96.25952621101797</v>
      </c>
      <c r="CT199" s="30">
        <f t="shared" ref="CT199" si="1587">+CS199</f>
        <v>96.25952621101797</v>
      </c>
      <c r="CU199" s="30">
        <f t="shared" ref="CU199" si="1588">+CT199</f>
        <v>96.25952621101797</v>
      </c>
      <c r="CV199" s="30">
        <f t="shared" ref="CV199" si="1589">+CU199</f>
        <v>96.25952621101797</v>
      </c>
      <c r="CW199" s="30">
        <f t="shared" ref="CW199" si="1590">+CV199</f>
        <v>96.25952621101797</v>
      </c>
      <c r="CX199" s="30">
        <f t="shared" ref="CX199" si="1591">+CW199</f>
        <v>96.25952621101797</v>
      </c>
      <c r="CY199" s="30">
        <f t="shared" ref="CY199" si="1592">+CX199</f>
        <v>96.25952621101797</v>
      </c>
      <c r="CZ199" s="30">
        <f t="shared" ref="CZ199" si="1593">+CY199</f>
        <v>96.25952621101797</v>
      </c>
      <c r="DA199" s="30">
        <f t="shared" ref="DA199" si="1594">+CZ199</f>
        <v>96.25952621101797</v>
      </c>
      <c r="DB199" s="30">
        <f t="shared" ref="DB199" si="1595">+DA199</f>
        <v>96.25952621101797</v>
      </c>
      <c r="DE199" s="139"/>
      <c r="DF199" s="62">
        <v>121.40330248964779</v>
      </c>
    </row>
    <row r="200" spans="1:110" s="62" customFormat="1" outlineLevel="1" x14ac:dyDescent="0.2">
      <c r="A200" s="68" t="s">
        <v>466</v>
      </c>
      <c r="B200" s="67">
        <f>B201-B199</f>
        <v>68.391426967684581</v>
      </c>
      <c r="C200" s="67">
        <f t="shared" ref="C200:V200" si="1596">C201-C199</f>
        <v>80.724478721153744</v>
      </c>
      <c r="D200" s="67">
        <f t="shared" si="1596"/>
        <v>63.617030550603801</v>
      </c>
      <c r="E200" s="67">
        <f t="shared" si="1596"/>
        <v>56.406634451012408</v>
      </c>
      <c r="F200" s="67">
        <f t="shared" si="1596"/>
        <v>65.551574138539493</v>
      </c>
      <c r="G200" s="67">
        <f t="shared" si="1596"/>
        <v>58.698624156941221</v>
      </c>
      <c r="H200" s="67">
        <f t="shared" si="1596"/>
        <v>68.764706437014027</v>
      </c>
      <c r="I200" s="67">
        <f t="shared" si="1596"/>
        <v>83.345038080340828</v>
      </c>
      <c r="J200" s="67">
        <f t="shared" si="1596"/>
        <v>82.04859250171026</v>
      </c>
      <c r="K200" s="67">
        <f t="shared" si="1596"/>
        <v>80.815937182528643</v>
      </c>
      <c r="L200" s="67">
        <f t="shared" si="1596"/>
        <v>81.951674897615163</v>
      </c>
      <c r="M200" s="67">
        <f t="shared" si="1596"/>
        <v>67.394637529464674</v>
      </c>
      <c r="N200" s="67">
        <f t="shared" si="1596"/>
        <v>61.799435400408342</v>
      </c>
      <c r="O200" s="67">
        <f t="shared" si="1596"/>
        <v>70.182762971371588</v>
      </c>
      <c r="P200" s="67">
        <f t="shared" si="1596"/>
        <v>77.472049484660928</v>
      </c>
      <c r="Q200" s="67">
        <f t="shared" si="1596"/>
        <v>64.28776914645394</v>
      </c>
      <c r="R200" s="67">
        <f t="shared" si="1596"/>
        <v>57.980014831780665</v>
      </c>
      <c r="S200" s="67">
        <f t="shared" si="1596"/>
        <v>59.098488301723606</v>
      </c>
      <c r="T200" s="67">
        <f t="shared" si="1596"/>
        <v>34.916999692591475</v>
      </c>
      <c r="U200" s="67">
        <f t="shared" si="1596"/>
        <v>44.382926268725328</v>
      </c>
      <c r="V200" s="67">
        <f t="shared" si="1596"/>
        <v>43.519643240009657</v>
      </c>
      <c r="W200" s="67">
        <f t="shared" ref="W200" si="1597">W201-W199</f>
        <v>41.100882858925331</v>
      </c>
      <c r="X200" s="67">
        <f t="shared" ref="X200:Y200" si="1598">X201-X199</f>
        <v>44.244112658796865</v>
      </c>
      <c r="Y200" s="67">
        <f t="shared" si="1598"/>
        <v>47.780828140861331</v>
      </c>
      <c r="Z200" s="67">
        <f t="shared" ref="Z200:AA200" si="1599">Z201-Z199</f>
        <v>42.562757943240641</v>
      </c>
      <c r="AA200" s="67">
        <f t="shared" si="1599"/>
        <v>48.758485731334872</v>
      </c>
      <c r="AB200" s="18">
        <f t="shared" ref="AA200:AD200" si="1600">AB201-AB199</f>
        <v>48.758485731334929</v>
      </c>
      <c r="AC200" s="18">
        <f t="shared" si="1600"/>
        <v>48.758485731334929</v>
      </c>
      <c r="AD200" s="18">
        <f t="shared" si="1600"/>
        <v>48.758485731334929</v>
      </c>
      <c r="AE200" s="18">
        <f t="shared" ref="AE200" si="1601">AE201-AE199</f>
        <v>48.758485731334929</v>
      </c>
      <c r="AI200" s="67">
        <f t="shared" ref="AI200:AK200" si="1602">AI201-AI199</f>
        <v>0</v>
      </c>
      <c r="AJ200" s="67">
        <f t="shared" ref="AJ200:AM200" si="1603">AJ201-AJ199</f>
        <v>177.72466916847719</v>
      </c>
      <c r="AK200" s="67">
        <f t="shared" si="1602"/>
        <v>179.56739028580353</v>
      </c>
      <c r="AL200" s="67">
        <f t="shared" si="1603"/>
        <v>53.341473035670688</v>
      </c>
      <c r="AM200" s="67">
        <f t="shared" si="1603"/>
        <v>53.135532963263287</v>
      </c>
      <c r="AN200" s="67">
        <f t="shared" ref="AN200:AY200" si="1604">AN201-AN199</f>
        <v>73.972032243436104</v>
      </c>
      <c r="AO200" s="67">
        <f t="shared" si="1604"/>
        <v>71.403430409147745</v>
      </c>
      <c r="AP200" s="67">
        <f t="shared" si="1604"/>
        <v>62.806379502464424</v>
      </c>
      <c r="AQ200" s="67">
        <f t="shared" si="1604"/>
        <v>52.280036873911698</v>
      </c>
      <c r="AR200" s="67">
        <f t="shared" si="1604"/>
        <v>84.400649977149214</v>
      </c>
      <c r="AS200" s="67">
        <f t="shared" si="1604"/>
        <v>87.375122223039966</v>
      </c>
      <c r="AT200" s="67">
        <f t="shared" si="1604"/>
        <v>66.753558796485848</v>
      </c>
      <c r="AU200" s="67">
        <f t="shared" si="1604"/>
        <v>63.237058350393781</v>
      </c>
      <c r="AV200" s="67">
        <f t="shared" si="1604"/>
        <v>93.817785760690953</v>
      </c>
      <c r="AW200" s="67">
        <f t="shared" si="1604"/>
        <v>76.583786971684106</v>
      </c>
      <c r="AX200" s="67">
        <f t="shared" si="1604"/>
        <v>48.887654559505421</v>
      </c>
      <c r="AY200" s="67">
        <f t="shared" si="1604"/>
        <v>48.869191005149673</v>
      </c>
      <c r="AZ200" s="67">
        <f t="shared" ref="AZ200:BC200" si="1605">AZ201-AZ199</f>
        <v>93.57538768773054</v>
      </c>
      <c r="BA200" s="67">
        <f t="shared" si="1605"/>
        <v>74.559267408901889</v>
      </c>
      <c r="BB200" s="67">
        <f t="shared" si="1605"/>
        <v>42.335322068154653</v>
      </c>
      <c r="BC200" s="67">
        <f t="shared" si="1605"/>
        <v>43.233568190459721</v>
      </c>
      <c r="BD200" s="67">
        <f t="shared" ref="BD200:CE200" si="1606">BD201-BD199</f>
        <v>96.61515756576091</v>
      </c>
      <c r="BE200" s="67">
        <f t="shared" si="1606"/>
        <v>72.862505183062126</v>
      </c>
      <c r="BF200" s="67">
        <f t="shared" si="1606"/>
        <v>45.728038742811364</v>
      </c>
      <c r="BG200" s="67">
        <f t="shared" si="1606"/>
        <v>43.605435526444424</v>
      </c>
      <c r="BH200" s="67">
        <f t="shared" si="1606"/>
        <v>69.14314459391008</v>
      </c>
      <c r="BI200" s="67">
        <f t="shared" si="1606"/>
        <v>65.879218115271669</v>
      </c>
      <c r="BJ200" s="67">
        <f t="shared" si="1606"/>
        <v>29.733716623683819</v>
      </c>
      <c r="BK200" s="67">
        <f t="shared" si="1606"/>
        <v>23.110738507912572</v>
      </c>
      <c r="BL200" s="67">
        <f t="shared" si="1606"/>
        <v>48.61534241951135</v>
      </c>
      <c r="BM200" s="67">
        <f t="shared" si="1606"/>
        <v>46.316674595145102</v>
      </c>
      <c r="BN200" s="67">
        <f t="shared" si="1606"/>
        <v>40.106621746433589</v>
      </c>
      <c r="BO200" s="67">
        <f t="shared" si="1606"/>
        <v>64.619797369192113</v>
      </c>
      <c r="BP200" s="67">
        <f t="shared" si="1606"/>
        <v>42.524712565269709</v>
      </c>
      <c r="BQ200" s="67">
        <f t="shared" si="1606"/>
        <v>34.378534472385979</v>
      </c>
      <c r="BR200" s="67">
        <f t="shared" si="1606"/>
        <v>30.889706825158584</v>
      </c>
      <c r="BS200" s="67">
        <f t="shared" si="1606"/>
        <v>45.882254089177678</v>
      </c>
      <c r="BT200" s="67">
        <f t="shared" si="1606"/>
        <v>44.684029175645918</v>
      </c>
      <c r="BU200" s="67">
        <f t="shared" si="1606"/>
        <v>42.080352811958136</v>
      </c>
      <c r="BV200" s="67">
        <f t="shared" si="1606"/>
        <v>30.750624395292846</v>
      </c>
      <c r="BW200" s="67">
        <f t="shared" si="1606"/>
        <v>29.623916184971108</v>
      </c>
      <c r="BX200" s="67">
        <f t="shared" si="1606"/>
        <v>50.108292429143418</v>
      </c>
      <c r="BY200" s="67">
        <f t="shared" si="1606"/>
        <v>44.180822792068241</v>
      </c>
      <c r="BZ200" s="67">
        <f t="shared" si="1606"/>
        <v>35.046976461038966</v>
      </c>
      <c r="CA200" s="67">
        <f t="shared" si="1606"/>
        <v>30.842624395064078</v>
      </c>
      <c r="CB200" s="67">
        <f t="shared" si="1606"/>
        <v>45.836310107948975</v>
      </c>
      <c r="CC200" s="67">
        <f t="shared" si="1606"/>
        <v>40.023764910196064</v>
      </c>
      <c r="CD200" s="67">
        <f t="shared" si="1606"/>
        <v>34.987508565555046</v>
      </c>
      <c r="CE200" s="114">
        <f t="shared" si="1606"/>
        <v>29.881670873111659</v>
      </c>
      <c r="CF200" s="67">
        <f t="shared" ref="CF200:CG200" si="1607">CF201-CF199</f>
        <v>49.691383714315165</v>
      </c>
      <c r="CG200" s="67">
        <f t="shared" si="1607"/>
        <v>41.913877447175807</v>
      </c>
      <c r="CH200" s="67">
        <f t="shared" ref="CH200" si="1608">CH201-CH199</f>
        <v>33.928487528211491</v>
      </c>
      <c r="CI200" s="67">
        <f>CH200</f>
        <v>33.928487528211491</v>
      </c>
      <c r="CJ200" s="67">
        <f t="shared" ref="CJ200:CL200" si="1609">CJ201-CJ199</f>
        <v>58.363964010019941</v>
      </c>
      <c r="CK200" s="30">
        <f t="shared" ref="CK200:DB200" si="1610">CJ200</f>
        <v>58.363964010019941</v>
      </c>
      <c r="CL200" s="67">
        <f t="shared" si="1609"/>
        <v>35.03732740295797</v>
      </c>
      <c r="CM200" s="30">
        <f t="shared" si="1610"/>
        <v>35.03732740295797</v>
      </c>
      <c r="CN200" s="30">
        <f t="shared" si="1610"/>
        <v>35.03732740295797</v>
      </c>
      <c r="CO200" s="30">
        <f t="shared" si="1610"/>
        <v>35.03732740295797</v>
      </c>
      <c r="CP200" s="30">
        <f t="shared" si="1610"/>
        <v>35.03732740295797</v>
      </c>
      <c r="CQ200" s="30">
        <f t="shared" si="1610"/>
        <v>35.03732740295797</v>
      </c>
      <c r="CR200" s="30">
        <f t="shared" si="1610"/>
        <v>35.03732740295797</v>
      </c>
      <c r="CS200" s="30">
        <f t="shared" si="1610"/>
        <v>35.03732740295797</v>
      </c>
      <c r="CT200" s="30">
        <f t="shared" si="1610"/>
        <v>35.03732740295797</v>
      </c>
      <c r="CU200" s="30">
        <f t="shared" si="1610"/>
        <v>35.03732740295797</v>
      </c>
      <c r="CV200" s="30">
        <f t="shared" si="1610"/>
        <v>35.03732740295797</v>
      </c>
      <c r="CW200" s="30">
        <f t="shared" si="1610"/>
        <v>35.03732740295797</v>
      </c>
      <c r="CX200" s="30">
        <f t="shared" si="1610"/>
        <v>35.03732740295797</v>
      </c>
      <c r="CY200" s="30">
        <f t="shared" si="1610"/>
        <v>35.03732740295797</v>
      </c>
      <c r="CZ200" s="30">
        <f t="shared" si="1610"/>
        <v>35.03732740295797</v>
      </c>
      <c r="DA200" s="30">
        <f t="shared" si="1610"/>
        <v>35.03732740295797</v>
      </c>
      <c r="DB200" s="30">
        <f t="shared" si="1610"/>
        <v>35.03732740295797</v>
      </c>
      <c r="DE200" s="139"/>
      <c r="DF200" s="62">
        <v>58.363964010019941</v>
      </c>
    </row>
    <row r="201" spans="1:110" s="7" customFormat="1" outlineLevel="1" x14ac:dyDescent="0.2">
      <c r="A201" s="69" t="s">
        <v>469</v>
      </c>
      <c r="B201" s="70">
        <f t="shared" ref="B201:AE201" si="1611">B172/B24*365</f>
        <v>165.70878731888308</v>
      </c>
      <c r="C201" s="70">
        <f t="shared" si="1611"/>
        <v>181.3463593468974</v>
      </c>
      <c r="D201" s="70">
        <f t="shared" si="1611"/>
        <v>169.23921787771934</v>
      </c>
      <c r="E201" s="70">
        <f t="shared" si="1611"/>
        <v>166.74360110039467</v>
      </c>
      <c r="F201" s="70">
        <f t="shared" si="1611"/>
        <v>178.54605745892135</v>
      </c>
      <c r="G201" s="70">
        <f t="shared" si="1611"/>
        <v>160.61973846063563</v>
      </c>
      <c r="H201" s="70">
        <f t="shared" si="1611"/>
        <v>157.04234497850712</v>
      </c>
      <c r="I201" s="70">
        <f t="shared" si="1611"/>
        <v>165.35162228580808</v>
      </c>
      <c r="J201" s="70">
        <f t="shared" si="1611"/>
        <v>186.58962849116173</v>
      </c>
      <c r="K201" s="70">
        <f t="shared" si="1611"/>
        <v>171.55261180507733</v>
      </c>
      <c r="L201" s="70">
        <f t="shared" si="1611"/>
        <v>183.21841754001062</v>
      </c>
      <c r="M201" s="70">
        <f t="shared" si="1611"/>
        <v>170.41073088473246</v>
      </c>
      <c r="N201" s="70">
        <f t="shared" si="1611"/>
        <v>174.17808067803387</v>
      </c>
      <c r="O201" s="70">
        <f t="shared" si="1611"/>
        <v>182.15286537734355</v>
      </c>
      <c r="P201" s="70">
        <f t="shared" si="1611"/>
        <v>185.57021871766864</v>
      </c>
      <c r="Q201" s="70">
        <f t="shared" si="1611"/>
        <v>175.36213584432775</v>
      </c>
      <c r="R201" s="70">
        <f t="shared" si="1611"/>
        <v>177.4247500418374</v>
      </c>
      <c r="S201" s="70">
        <f t="shared" si="1611"/>
        <v>182.68369615440264</v>
      </c>
      <c r="T201" s="70">
        <f t="shared" si="1611"/>
        <v>156.57341940772622</v>
      </c>
      <c r="U201" s="70">
        <f t="shared" si="1611"/>
        <v>172.54100897352862</v>
      </c>
      <c r="V201" s="70">
        <f t="shared" si="1611"/>
        <v>162.57465145888318</v>
      </c>
      <c r="W201" s="70">
        <f t="shared" si="1611"/>
        <v>176.44085601396444</v>
      </c>
      <c r="X201" s="70">
        <f t="shared" si="1611"/>
        <v>160.00751676269664</v>
      </c>
      <c r="Y201" s="70">
        <f t="shared" si="1611"/>
        <v>158.18993511045804</v>
      </c>
      <c r="Z201" s="70">
        <f t="shared" si="1611"/>
        <v>134.75084653719409</v>
      </c>
      <c r="AA201" s="70">
        <f t="shared" ref="AA201" si="1612">AA172/AA24*365</f>
        <v>182.71472849169851</v>
      </c>
      <c r="AB201" s="71">
        <f t="shared" si="1611"/>
        <v>182.71472849169857</v>
      </c>
      <c r="AC201" s="71">
        <f t="shared" si="1611"/>
        <v>182.71472849169857</v>
      </c>
      <c r="AD201" s="71">
        <f t="shared" si="1611"/>
        <v>182.71472849169857</v>
      </c>
      <c r="AE201" s="71">
        <f t="shared" si="1611"/>
        <v>182.71472849169857</v>
      </c>
      <c r="AI201" s="70">
        <f t="shared" ref="AI201:CD201" si="1613">AI172/AI24*90</f>
        <v>0</v>
      </c>
      <c r="AJ201" s="70">
        <f t="shared" si="1613"/>
        <v>177.72466916847719</v>
      </c>
      <c r="AK201" s="70">
        <f>AK172/AK24*90</f>
        <v>179.56739028580353</v>
      </c>
      <c r="AL201" s="70">
        <f t="shared" si="1613"/>
        <v>150.21582733812949</v>
      </c>
      <c r="AM201" s="70">
        <f t="shared" si="1613"/>
        <v>150.00988726572209</v>
      </c>
      <c r="AN201" s="70">
        <f t="shared" si="1613"/>
        <v>192.23982675168668</v>
      </c>
      <c r="AO201" s="70">
        <f t="shared" si="1613"/>
        <v>189.67122491739832</v>
      </c>
      <c r="AP201" s="70">
        <f t="shared" si="1613"/>
        <v>162.89224164450613</v>
      </c>
      <c r="AQ201" s="70">
        <f t="shared" si="1613"/>
        <v>152.3658990159534</v>
      </c>
      <c r="AR201" s="70">
        <f t="shared" si="1613"/>
        <v>207.85324734677295</v>
      </c>
      <c r="AS201" s="70">
        <f t="shared" si="1613"/>
        <v>210.8277195926637</v>
      </c>
      <c r="AT201" s="70">
        <f t="shared" si="1613"/>
        <v>159.86315160707935</v>
      </c>
      <c r="AU201" s="70">
        <f t="shared" si="1613"/>
        <v>156.34665116098728</v>
      </c>
      <c r="AV201" s="70">
        <f t="shared" si="1613"/>
        <v>211.36345396873924</v>
      </c>
      <c r="AW201" s="70">
        <f t="shared" si="1613"/>
        <v>194.12945517973239</v>
      </c>
      <c r="AX201" s="70">
        <f t="shared" si="1613"/>
        <v>133.35345826893354</v>
      </c>
      <c r="AY201" s="70">
        <f t="shared" si="1613"/>
        <v>133.33499471457779</v>
      </c>
      <c r="AZ201" s="70">
        <f t="shared" si="1613"/>
        <v>213.76031626352579</v>
      </c>
      <c r="BA201" s="70">
        <f t="shared" si="1613"/>
        <v>194.74419598469714</v>
      </c>
      <c r="BB201" s="70">
        <f t="shared" si="1613"/>
        <v>129.55039693721881</v>
      </c>
      <c r="BC201" s="70">
        <f t="shared" si="1613"/>
        <v>130.44864305952387</v>
      </c>
      <c r="BD201" s="70">
        <f t="shared" si="1613"/>
        <v>225.05859883670456</v>
      </c>
      <c r="BE201" s="70">
        <f t="shared" si="1613"/>
        <v>201.30594645400578</v>
      </c>
      <c r="BF201" s="70">
        <f t="shared" si="1613"/>
        <v>141.35331335006197</v>
      </c>
      <c r="BG201" s="70">
        <f t="shared" si="1613"/>
        <v>139.23071013369503</v>
      </c>
      <c r="BH201" s="70">
        <f t="shared" si="1613"/>
        <v>185.16814881521924</v>
      </c>
      <c r="BI201" s="70">
        <f t="shared" si="1613"/>
        <v>181.90422233658083</v>
      </c>
      <c r="BJ201" s="70">
        <f t="shared" si="1613"/>
        <v>133.33074790095205</v>
      </c>
      <c r="BK201" s="70">
        <f t="shared" si="1613"/>
        <v>126.7077697851808</v>
      </c>
      <c r="BL201" s="70">
        <f t="shared" si="1613"/>
        <v>170.90974302713192</v>
      </c>
      <c r="BM201" s="70">
        <f t="shared" si="1613"/>
        <v>168.61107520276568</v>
      </c>
      <c r="BN201" s="70">
        <f t="shared" si="1613"/>
        <v>155.91664553054849</v>
      </c>
      <c r="BO201" s="70">
        <f t="shared" si="1613"/>
        <v>180.42982115330702</v>
      </c>
      <c r="BP201" s="70">
        <f t="shared" si="1613"/>
        <v>146.42762350081239</v>
      </c>
      <c r="BQ201" s="70">
        <f t="shared" si="1613"/>
        <v>138.28144540792866</v>
      </c>
      <c r="BR201" s="70">
        <f t="shared" si="1613"/>
        <v>114.53832693482573</v>
      </c>
      <c r="BS201" s="70">
        <f t="shared" si="1613"/>
        <v>129.53087419884483</v>
      </c>
      <c r="BT201" s="70">
        <f t="shared" si="1613"/>
        <v>140.77059701139081</v>
      </c>
      <c r="BU201" s="70">
        <f t="shared" si="1613"/>
        <v>138.16692064770302</v>
      </c>
      <c r="BV201" s="70">
        <f t="shared" si="1613"/>
        <v>130.04803906126949</v>
      </c>
      <c r="BW201" s="70">
        <f t="shared" si="1613"/>
        <v>128.92133085094775</v>
      </c>
      <c r="BX201" s="70">
        <f t="shared" si="1613"/>
        <v>165.77953584111836</v>
      </c>
      <c r="BY201" s="70">
        <f t="shared" si="1613"/>
        <v>159.85206620404318</v>
      </c>
      <c r="BZ201" s="70">
        <f t="shared" si="1613"/>
        <v>126.74634740259741</v>
      </c>
      <c r="CA201" s="70">
        <f t="shared" si="1613"/>
        <v>122.54199533662252</v>
      </c>
      <c r="CB201" s="70">
        <f t="shared" si="1613"/>
        <v>144.84200196270854</v>
      </c>
      <c r="CC201" s="70">
        <f t="shared" si="1613"/>
        <v>139.02945676495563</v>
      </c>
      <c r="CD201" s="70">
        <f t="shared" si="1613"/>
        <v>115.83457058017359</v>
      </c>
      <c r="CE201" s="115">
        <f>CE172/CE26*90</f>
        <v>110.7287328877302</v>
      </c>
      <c r="CF201" s="70">
        <f>CF172/CF24*90</f>
        <v>157.842167759277</v>
      </c>
      <c r="CG201" s="70">
        <f>CG172/CG26*90</f>
        <v>150.06466149213765</v>
      </c>
      <c r="CH201" s="70">
        <f>CH172/CH24*90</f>
        <v>107.41532356173806</v>
      </c>
      <c r="CI201" s="70">
        <f>CI199+CI200</f>
        <v>107.41532356173806</v>
      </c>
      <c r="CJ201" s="70">
        <f>CJ172/CJ24*90</f>
        <v>179.76726649966773</v>
      </c>
      <c r="CK201" s="50">
        <f t="shared" ref="CK201:DB201" si="1614">CK199+CK200</f>
        <v>179.76726649966773</v>
      </c>
      <c r="CL201" s="70">
        <f>CL172/CL24*90</f>
        <v>131.29685361397594</v>
      </c>
      <c r="CM201" s="50">
        <f t="shared" si="1614"/>
        <v>131.29685361397594</v>
      </c>
      <c r="CN201" s="50">
        <f t="shared" si="1614"/>
        <v>131.29685361397594</v>
      </c>
      <c r="CO201" s="50">
        <f t="shared" si="1614"/>
        <v>131.29685361397594</v>
      </c>
      <c r="CP201" s="50">
        <f t="shared" si="1614"/>
        <v>131.29685361397594</v>
      </c>
      <c r="CQ201" s="50">
        <f t="shared" si="1614"/>
        <v>131.29685361397594</v>
      </c>
      <c r="CR201" s="50">
        <f t="shared" si="1614"/>
        <v>131.29685361397594</v>
      </c>
      <c r="CS201" s="50">
        <f t="shared" si="1614"/>
        <v>131.29685361397594</v>
      </c>
      <c r="CT201" s="50">
        <f t="shared" si="1614"/>
        <v>131.29685361397594</v>
      </c>
      <c r="CU201" s="50">
        <f t="shared" si="1614"/>
        <v>131.29685361397594</v>
      </c>
      <c r="CV201" s="50">
        <f t="shared" si="1614"/>
        <v>131.29685361397594</v>
      </c>
      <c r="CW201" s="50">
        <f t="shared" si="1614"/>
        <v>131.29685361397594</v>
      </c>
      <c r="CX201" s="50">
        <f t="shared" si="1614"/>
        <v>131.29685361397594</v>
      </c>
      <c r="CY201" s="50">
        <f t="shared" si="1614"/>
        <v>131.29685361397594</v>
      </c>
      <c r="CZ201" s="50">
        <f t="shared" si="1614"/>
        <v>131.29685361397594</v>
      </c>
      <c r="DA201" s="50">
        <f t="shared" si="1614"/>
        <v>131.29685361397594</v>
      </c>
      <c r="DB201" s="50">
        <f t="shared" si="1614"/>
        <v>131.29685361397594</v>
      </c>
      <c r="DE201" s="138"/>
      <c r="DF201" s="7">
        <v>179.76726649966773</v>
      </c>
    </row>
    <row r="202" spans="1:110" s="7" customFormat="1" x14ac:dyDescent="0.2">
      <c r="A202" s="69" t="s">
        <v>470</v>
      </c>
      <c r="B202" s="70">
        <f>B198-B201</f>
        <v>17.066165165348849</v>
      </c>
      <c r="C202" s="70">
        <f t="shared" ref="C202:V202" si="1615">C198-C201</f>
        <v>-1.8405604149995725</v>
      </c>
      <c r="D202" s="70">
        <f t="shared" si="1615"/>
        <v>1.1216104402185181</v>
      </c>
      <c r="E202" s="70">
        <f t="shared" si="1615"/>
        <v>5.4661870584671988</v>
      </c>
      <c r="F202" s="70">
        <f t="shared" si="1615"/>
        <v>5.04839797885964</v>
      </c>
      <c r="G202" s="70">
        <f t="shared" si="1615"/>
        <v>-0.59915171184545102</v>
      </c>
      <c r="H202" s="70">
        <f t="shared" si="1615"/>
        <v>7.7689917372929074</v>
      </c>
      <c r="I202" s="70">
        <f t="shared" si="1615"/>
        <v>-12.967130774107176</v>
      </c>
      <c r="J202" s="70">
        <f t="shared" si="1615"/>
        <v>4.6606391755622099</v>
      </c>
      <c r="K202" s="70">
        <f t="shared" si="1615"/>
        <v>8.2835981437980593</v>
      </c>
      <c r="L202" s="70">
        <f t="shared" si="1615"/>
        <v>30.396379449147702</v>
      </c>
      <c r="M202" s="70">
        <f t="shared" si="1615"/>
        <v>57.28886774948225</v>
      </c>
      <c r="N202" s="70">
        <f t="shared" si="1615"/>
        <v>53.648754904646268</v>
      </c>
      <c r="O202" s="70">
        <f t="shared" si="1615"/>
        <v>52.951193855053305</v>
      </c>
      <c r="P202" s="70">
        <f t="shared" si="1615"/>
        <v>41.133866861697015</v>
      </c>
      <c r="Q202" s="70">
        <f t="shared" si="1615"/>
        <v>40.639605969589638</v>
      </c>
      <c r="R202" s="70">
        <f t="shared" si="1615"/>
        <v>35.126119356458247</v>
      </c>
      <c r="S202" s="70">
        <f t="shared" si="1615"/>
        <v>41.800386442165149</v>
      </c>
      <c r="T202" s="70">
        <f t="shared" si="1615"/>
        <v>66.319295009734617</v>
      </c>
      <c r="U202" s="70">
        <f t="shared" si="1615"/>
        <v>66.952349675114363</v>
      </c>
      <c r="V202" s="70">
        <f t="shared" si="1615"/>
        <v>64.358967571845653</v>
      </c>
      <c r="W202" s="70">
        <f t="shared" ref="W202" si="1616">W198-W201</f>
        <v>56.894724902167098</v>
      </c>
      <c r="X202" s="70">
        <f t="shared" ref="X202:Y202" si="1617">X198-X201</f>
        <v>62.998319782456036</v>
      </c>
      <c r="Y202" s="70">
        <f t="shared" si="1617"/>
        <v>38.288531320280669</v>
      </c>
      <c r="Z202" s="70">
        <f t="shared" ref="Z202:AA202" si="1618">Z198-Z201</f>
        <v>57.78957281582376</v>
      </c>
      <c r="AA202" s="70">
        <f t="shared" si="1618"/>
        <v>68.757959212327592</v>
      </c>
      <c r="AB202" s="71">
        <f t="shared" ref="AA202:AD202" si="1619">AB198-AB201</f>
        <v>69.567419003825989</v>
      </c>
      <c r="AC202" s="71">
        <f t="shared" si="1619"/>
        <v>69.567419003825989</v>
      </c>
      <c r="AD202" s="71">
        <f t="shared" si="1619"/>
        <v>69.567419003826075</v>
      </c>
      <c r="AE202" s="71">
        <f t="shared" ref="AE202" si="1620">AE198-AE201</f>
        <v>69.567419003826018</v>
      </c>
      <c r="AI202" s="70">
        <f t="shared" ref="AI202:AK202" si="1621">AI198-AI201</f>
        <v>0</v>
      </c>
      <c r="AJ202" s="70">
        <f t="shared" ref="AJ202:AM202" si="1622">AJ198-AJ201</f>
        <v>81.03161040455484</v>
      </c>
      <c r="AK202" s="70">
        <f t="shared" si="1621"/>
        <v>80.260774183228023</v>
      </c>
      <c r="AL202" s="70">
        <f t="shared" si="1622"/>
        <v>46.17859759190037</v>
      </c>
      <c r="AM202" s="70">
        <f t="shared" si="1622"/>
        <v>46.135435417583437</v>
      </c>
      <c r="AN202" s="70">
        <f t="shared" ref="AN202:AY202" si="1623">AN198-AN201</f>
        <v>65.262139875801722</v>
      </c>
      <c r="AO202" s="70">
        <f t="shared" si="1623"/>
        <v>64.639873594248826</v>
      </c>
      <c r="AP202" s="70">
        <f t="shared" si="1623"/>
        <v>47.258905804581588</v>
      </c>
      <c r="AQ202" s="70">
        <f t="shared" si="1623"/>
        <v>45.622343199442952</v>
      </c>
      <c r="AR202" s="70">
        <f t="shared" si="1623"/>
        <v>85.333874980957717</v>
      </c>
      <c r="AS202" s="70">
        <f t="shared" si="1623"/>
        <v>86.34402751844334</v>
      </c>
      <c r="AT202" s="70">
        <f t="shared" si="1623"/>
        <v>35.407558541447116</v>
      </c>
      <c r="AU202" s="70">
        <f t="shared" si="1623"/>
        <v>35.482415902025537</v>
      </c>
      <c r="AV202" s="70">
        <f t="shared" si="1623"/>
        <v>70.485439675927694</v>
      </c>
      <c r="AW202" s="70">
        <f t="shared" si="1623"/>
        <v>68.046050105971716</v>
      </c>
      <c r="AX202" s="70">
        <f t="shared" si="1623"/>
        <v>30.904656105100429</v>
      </c>
      <c r="AY202" s="70">
        <f t="shared" si="1623"/>
        <v>30.921933394965606</v>
      </c>
      <c r="AZ202" s="70">
        <f t="shared" ref="AZ202:BC202" si="1624">AZ198-AZ201</f>
        <v>67.763637845658536</v>
      </c>
      <c r="BA202" s="70">
        <f t="shared" si="1624"/>
        <v>57.957528315393375</v>
      </c>
      <c r="BB202" s="70">
        <f t="shared" si="1624"/>
        <v>25.648071672189104</v>
      </c>
      <c r="BC202" s="70">
        <f t="shared" si="1624"/>
        <v>25.897381132674809</v>
      </c>
      <c r="BD202" s="70">
        <f t="shared" ref="BD202:CE202" si="1625">BD198-BD201</f>
        <v>64.316346905113278</v>
      </c>
      <c r="BE202" s="70">
        <f t="shared" si="1625"/>
        <v>59.099304782725198</v>
      </c>
      <c r="BF202" s="70">
        <f t="shared" si="1625"/>
        <v>32.343461662386886</v>
      </c>
      <c r="BG202" s="70">
        <f t="shared" si="1625"/>
        <v>31.264029128155613</v>
      </c>
      <c r="BH202" s="70">
        <f t="shared" si="1625"/>
        <v>93.04250858332864</v>
      </c>
      <c r="BI202" s="70">
        <f t="shared" si="1625"/>
        <v>90.806239057372778</v>
      </c>
      <c r="BJ202" s="70">
        <f t="shared" si="1625"/>
        <v>56.474472087025674</v>
      </c>
      <c r="BK202" s="70">
        <f t="shared" si="1625"/>
        <v>48.942171932997127</v>
      </c>
      <c r="BL202" s="70">
        <f t="shared" si="1625"/>
        <v>87.894214945778288</v>
      </c>
      <c r="BM202" s="70">
        <f t="shared" si="1625"/>
        <v>85.25659319962196</v>
      </c>
      <c r="BN202" s="70">
        <f t="shared" si="1625"/>
        <v>61.062676167551189</v>
      </c>
      <c r="BO202" s="70">
        <f t="shared" si="1625"/>
        <v>82.397457433896619</v>
      </c>
      <c r="BP202" s="70">
        <f t="shared" si="1625"/>
        <v>107.38561524055217</v>
      </c>
      <c r="BQ202" s="70">
        <f t="shared" si="1625"/>
        <v>97.671721253926961</v>
      </c>
      <c r="BR202" s="70">
        <f t="shared" si="1625"/>
        <v>45.357398761530504</v>
      </c>
      <c r="BS202" s="70">
        <f t="shared" si="1625"/>
        <v>57.224261026236405</v>
      </c>
      <c r="BT202" s="70">
        <f t="shared" si="1625"/>
        <v>92.3663177587799</v>
      </c>
      <c r="BU202" s="70">
        <f t="shared" si="1625"/>
        <v>90.722817105176745</v>
      </c>
      <c r="BV202" s="70">
        <f t="shared" si="1625"/>
        <v>41.837184708503059</v>
      </c>
      <c r="BW202" s="70">
        <f t="shared" si="1625"/>
        <v>41.329454942383165</v>
      </c>
      <c r="BX202" s="70">
        <f t="shared" si="1625"/>
        <v>91.654583908253954</v>
      </c>
      <c r="BY202" s="70">
        <f t="shared" si="1625"/>
        <v>87.361254826347533</v>
      </c>
      <c r="BZ202" s="70">
        <f t="shared" si="1625"/>
        <v>50.989042207792195</v>
      </c>
      <c r="CA202" s="70">
        <f t="shared" si="1625"/>
        <v>47.688212670894544</v>
      </c>
      <c r="CB202" s="70">
        <f t="shared" si="1625"/>
        <v>69.909715407262013</v>
      </c>
      <c r="CC202" s="70">
        <f t="shared" si="1625"/>
        <v>63.984172833525122</v>
      </c>
      <c r="CD202" s="70">
        <f t="shared" si="1625"/>
        <v>28.780907377798087</v>
      </c>
      <c r="CE202" s="115">
        <f t="shared" si="1625"/>
        <v>26.956565792193672</v>
      </c>
      <c r="CF202" s="70">
        <f t="shared" ref="CF202:CG202" si="1626">CF198-CF201</f>
        <v>65.603086544665899</v>
      </c>
      <c r="CG202" s="70">
        <f t="shared" si="1626"/>
        <v>59.981433074135396</v>
      </c>
      <c r="CH202" s="70">
        <f t="shared" ref="CH202:CI202" si="1627">CH198-CH201</f>
        <v>46.066394549832637</v>
      </c>
      <c r="CI202" s="70">
        <f t="shared" si="1627"/>
        <v>46.066394549832637</v>
      </c>
      <c r="CJ202" s="70">
        <f t="shared" ref="CJ202:DB202" si="1628">CJ198-CJ201</f>
        <v>140.8160370124227</v>
      </c>
      <c r="CK202" s="50">
        <f t="shared" si="1628"/>
        <v>140.8160370124227</v>
      </c>
      <c r="CL202" s="70">
        <f t="shared" ref="CL202" si="1629">CL198-CL201</f>
        <v>49.990404739935713</v>
      </c>
      <c r="CM202" s="50">
        <f t="shared" si="1628"/>
        <v>49.990404739935713</v>
      </c>
      <c r="CN202" s="50">
        <f t="shared" si="1628"/>
        <v>49.990404739935713</v>
      </c>
      <c r="CO202" s="50">
        <f t="shared" si="1628"/>
        <v>49.990404739935713</v>
      </c>
      <c r="CP202" s="50">
        <f t="shared" si="1628"/>
        <v>49.990404739935713</v>
      </c>
      <c r="CQ202" s="50">
        <f t="shared" si="1628"/>
        <v>49.990404739935713</v>
      </c>
      <c r="CR202" s="50">
        <f t="shared" si="1628"/>
        <v>49.990404739935713</v>
      </c>
      <c r="CS202" s="50">
        <f t="shared" si="1628"/>
        <v>49.990404739935713</v>
      </c>
      <c r="CT202" s="50">
        <f t="shared" si="1628"/>
        <v>49.990404739935713</v>
      </c>
      <c r="CU202" s="50">
        <f t="shared" si="1628"/>
        <v>49.990404739935713</v>
      </c>
      <c r="CV202" s="50">
        <f t="shared" si="1628"/>
        <v>49.990404739935713</v>
      </c>
      <c r="CW202" s="50">
        <f t="shared" si="1628"/>
        <v>49.990404739935713</v>
      </c>
      <c r="CX202" s="50">
        <f t="shared" si="1628"/>
        <v>49.990404739935713</v>
      </c>
      <c r="CY202" s="50">
        <f t="shared" si="1628"/>
        <v>49.990404739935713</v>
      </c>
      <c r="CZ202" s="50">
        <f t="shared" si="1628"/>
        <v>49.990404739935713</v>
      </c>
      <c r="DA202" s="50">
        <f t="shared" si="1628"/>
        <v>49.990404739935713</v>
      </c>
      <c r="DB202" s="50">
        <f t="shared" si="1628"/>
        <v>49.990404739935713</v>
      </c>
      <c r="DE202" s="138"/>
      <c r="DF202" s="7">
        <v>140.8160370124227</v>
      </c>
    </row>
    <row r="203" spans="1:110" s="7" customFormat="1" x14ac:dyDescent="0.2">
      <c r="A203" s="69" t="s">
        <v>86</v>
      </c>
      <c r="AB203" s="77"/>
      <c r="AC203" s="77"/>
      <c r="AD203" s="77"/>
      <c r="AE203" s="77"/>
      <c r="CE203" s="115"/>
      <c r="CG203" s="115"/>
      <c r="CK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E203" s="138"/>
    </row>
    <row r="204" spans="1:110" s="86" customFormat="1" x14ac:dyDescent="0.2">
      <c r="A204" s="86" t="s">
        <v>440</v>
      </c>
      <c r="C204" s="86">
        <f t="shared" ref="C204:Y204" si="1630">C26/B26-1</f>
        <v>0.15251709168625327</v>
      </c>
      <c r="D204" s="86">
        <f t="shared" si="1630"/>
        <v>0.42487395030462105</v>
      </c>
      <c r="E204" s="86">
        <f t="shared" si="1630"/>
        <v>8.3160147904192794E-2</v>
      </c>
      <c r="F204" s="86">
        <f t="shared" si="1630"/>
        <v>8.6116173375326843E-2</v>
      </c>
      <c r="G204" s="86">
        <f t="shared" si="1630"/>
        <v>0.3231873747687648</v>
      </c>
      <c r="H204" s="86">
        <f t="shared" si="1630"/>
        <v>0.29282076702183124</v>
      </c>
      <c r="I204" s="86">
        <f t="shared" si="1630"/>
        <v>0.26761380389015543</v>
      </c>
      <c r="J204" s="86">
        <f t="shared" si="1630"/>
        <v>0.35060780504280653</v>
      </c>
      <c r="K204" s="86">
        <f t="shared" si="1630"/>
        <v>9.9764192302462806E-2</v>
      </c>
      <c r="L204" s="86">
        <f t="shared" si="1630"/>
        <v>9.1206193210988662E-2</v>
      </c>
      <c r="M204" s="86">
        <f t="shared" si="1630"/>
        <v>-1.0867442131935467E-3</v>
      </c>
      <c r="N204" s="86">
        <f t="shared" si="1630"/>
        <v>6.6571800035416295E-2</v>
      </c>
      <c r="O204" s="86">
        <f t="shared" si="1630"/>
        <v>-4.7896783779004193E-2</v>
      </c>
      <c r="P204" s="86">
        <f t="shared" si="1630"/>
        <v>-1.5753435752133504E-2</v>
      </c>
      <c r="Q204" s="86">
        <f t="shared" si="1630"/>
        <v>0.10355190669590608</v>
      </c>
      <c r="R204" s="86">
        <f t="shared" si="1630"/>
        <v>5.4721252652472296E-2</v>
      </c>
      <c r="S204" s="86">
        <f t="shared" si="1630"/>
        <v>6.1593290014587021E-2</v>
      </c>
      <c r="T204" s="86">
        <f t="shared" si="1630"/>
        <v>0.11237465609473518</v>
      </c>
      <c r="U204" s="86">
        <f t="shared" si="1630"/>
        <v>7.4958555993975384E-2</v>
      </c>
      <c r="V204" s="86">
        <f t="shared" si="1630"/>
        <v>-1.3358439713348491E-2</v>
      </c>
      <c r="W204" s="86">
        <f t="shared" si="1630"/>
        <v>5.0116599477486146E-2</v>
      </c>
      <c r="X204" s="86">
        <f t="shared" si="1630"/>
        <v>0.19715544240621607</v>
      </c>
      <c r="Y204" s="86">
        <f t="shared" si="1630"/>
        <v>0.3139817049996998</v>
      </c>
      <c r="Z204" s="86">
        <f>Z26/Y26-1</f>
        <v>0.23487947082053751</v>
      </c>
      <c r="AA204" s="86">
        <f>AA26/Z26-1</f>
        <v>-7.5800033608451223E-2</v>
      </c>
      <c r="AB204" s="87">
        <f t="shared" ref="AA204:AE204" si="1631">AB26/AA26-1</f>
        <v>0.20000000000000018</v>
      </c>
      <c r="AC204" s="87">
        <f t="shared" si="1631"/>
        <v>0.14999999999999991</v>
      </c>
      <c r="AD204" s="87">
        <f t="shared" si="1631"/>
        <v>0.14999999999999991</v>
      </c>
      <c r="AE204" s="87">
        <f t="shared" si="1631"/>
        <v>0.15000000000000013</v>
      </c>
      <c r="AN204" s="86">
        <f t="shared" ref="AN204:CI204" si="1632">+(AN26+AM26)/(AJ26+AI26)-1</f>
        <v>-3.5048232667340251E-2</v>
      </c>
      <c r="AO204" s="86">
        <f t="shared" si="1632"/>
        <v>-5.0538836355161321E-2</v>
      </c>
      <c r="AP204" s="86">
        <f t="shared" si="1632"/>
        <v>-6.0895023002927706E-2</v>
      </c>
      <c r="AQ204" s="86">
        <f t="shared" si="1632"/>
        <v>6.1679597301596001E-3</v>
      </c>
      <c r="AR204" s="86">
        <f t="shared" si="1632"/>
        <v>2.1670523095725036E-2</v>
      </c>
      <c r="AS204" s="86">
        <f t="shared" si="1632"/>
        <v>-0.12007200229098214</v>
      </c>
      <c r="AT204" s="86">
        <f t="shared" si="1632"/>
        <v>-5.4646988432389354E-2</v>
      </c>
      <c r="AU204" s="86">
        <f t="shared" si="1632"/>
        <v>-5.3326708383149679E-2</v>
      </c>
      <c r="AV204" s="86">
        <f t="shared" si="1632"/>
        <v>-5.2319665644294688E-2</v>
      </c>
      <c r="AW204" s="86">
        <f t="shared" si="1632"/>
        <v>0.19124590604304204</v>
      </c>
      <c r="AX204" s="86">
        <f t="shared" si="1632"/>
        <v>0.2786366801851623</v>
      </c>
      <c r="AY204" s="86">
        <f t="shared" si="1632"/>
        <v>0.21551093513710318</v>
      </c>
      <c r="AZ204" s="86">
        <f t="shared" si="1632"/>
        <v>8.4174514052175464E-2</v>
      </c>
      <c r="BA204" s="86">
        <f t="shared" si="1632"/>
        <v>-6.8642968963438689E-2</v>
      </c>
      <c r="BB204" s="86">
        <f t="shared" si="1632"/>
        <v>3.0199149067049458E-2</v>
      </c>
      <c r="BC204" s="86">
        <f t="shared" si="1632"/>
        <v>7.4021698062287644E-2</v>
      </c>
      <c r="BD204" s="86">
        <f t="shared" si="1632"/>
        <v>5.8237436374349638E-2</v>
      </c>
      <c r="BE204" s="86">
        <f t="shared" si="1632"/>
        <v>0.12277319923639252</v>
      </c>
      <c r="BF204" s="86">
        <f t="shared" si="1632"/>
        <v>6.4533484267028207E-2</v>
      </c>
      <c r="BG204" s="86">
        <f t="shared" si="1632"/>
        <v>5.4474229083745218E-2</v>
      </c>
      <c r="BH204" s="86">
        <f t="shared" si="1632"/>
        <v>0.19726766241912164</v>
      </c>
      <c r="BI204" s="86">
        <f t="shared" si="1632"/>
        <v>0.20808002056913466</v>
      </c>
      <c r="BJ204" s="86">
        <f t="shared" si="1632"/>
        <v>3.8436482084690526E-2</v>
      </c>
      <c r="BK204" s="86">
        <f t="shared" si="1632"/>
        <v>0.12400183964141309</v>
      </c>
      <c r="BL204" s="86">
        <f t="shared" si="1632"/>
        <v>0.14189581027889453</v>
      </c>
      <c r="BM204" s="86">
        <f t="shared" si="1632"/>
        <v>4.4968659247390796E-4</v>
      </c>
      <c r="BN204" s="86">
        <f t="shared" si="1632"/>
        <v>7.742037123517953E-3</v>
      </c>
      <c r="BO204" s="86">
        <f t="shared" si="1632"/>
        <v>-0.28202567820829205</v>
      </c>
      <c r="BP204" s="86">
        <f t="shared" si="1632"/>
        <v>-0.28618183780919249</v>
      </c>
      <c r="BQ204" s="86">
        <f t="shared" si="1632"/>
        <v>0.2376880715057732</v>
      </c>
      <c r="BR204" s="86">
        <f t="shared" si="1632"/>
        <v>0.29707381621042206</v>
      </c>
      <c r="BS204" s="86">
        <f t="shared" si="1632"/>
        <v>0.31013385224578283</v>
      </c>
      <c r="BT204" s="86">
        <f t="shared" si="1632"/>
        <v>0.194124035910197</v>
      </c>
      <c r="BU204" s="86">
        <f t="shared" si="1632"/>
        <v>-3.4517268337038942E-2</v>
      </c>
      <c r="BV204" s="86">
        <f t="shared" si="1632"/>
        <v>-4.005983255493617E-2</v>
      </c>
      <c r="BW204" s="86">
        <f t="shared" si="1632"/>
        <v>0.22487074192108825</v>
      </c>
      <c r="BX204" s="86">
        <f t="shared" si="1632"/>
        <v>0.30569787121360403</v>
      </c>
      <c r="BY204" s="86">
        <f t="shared" si="1632"/>
        <v>8.364272239402526E-2</v>
      </c>
      <c r="BZ204" s="86">
        <f t="shared" si="1632"/>
        <v>0.11260557333016452</v>
      </c>
      <c r="CA204" s="86">
        <f t="shared" si="1632"/>
        <v>0.16230877087097806</v>
      </c>
      <c r="CB204" s="86">
        <f t="shared" si="1632"/>
        <v>0.2460673315168993</v>
      </c>
      <c r="CC204" s="86">
        <f t="shared" si="1632"/>
        <v>0.30326155215860218</v>
      </c>
      <c r="CD204" s="86">
        <f t="shared" si="1632"/>
        <v>0.3760652586142621</v>
      </c>
      <c r="CE204" s="86">
        <f t="shared" si="1632"/>
        <v>0.44441841099568435</v>
      </c>
      <c r="CF204" s="86">
        <f t="shared" si="1632"/>
        <v>0.33392008293513942</v>
      </c>
      <c r="CG204" s="86">
        <f t="shared" si="1632"/>
        <v>0.16382126962246413</v>
      </c>
      <c r="CH204" s="86">
        <f t="shared" si="1632"/>
        <v>0.15289664059982999</v>
      </c>
      <c r="CI204" s="86">
        <f t="shared" si="1632"/>
        <v>-4.5787437389712804E-2</v>
      </c>
      <c r="CJ204" s="86">
        <f>+(CJ26+CI26)/(CF26+CE26)-1</f>
        <v>-0.16634063338430505</v>
      </c>
      <c r="CK204" s="87"/>
      <c r="CL204" s="86">
        <f>+(CL26+CK26)/(CH26+CG26)-1</f>
        <v>1.0914975478458988E-2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-7.5800033608451223E-2</v>
      </c>
    </row>
    <row r="205" spans="1:110" s="86" customFormat="1" x14ac:dyDescent="0.2">
      <c r="A205" s="86" t="s">
        <v>441</v>
      </c>
      <c r="C205" s="86">
        <f t="shared" ref="C205" si="1633">C202/B202-1</f>
        <v>-1.1078485059277785</v>
      </c>
      <c r="D205" s="86">
        <f t="shared" ref="D205" si="1634">D202/C202-1</f>
        <v>-1.6093852888924478</v>
      </c>
      <c r="E205" s="86">
        <f>E202/D202-1</f>
        <v>3.8735165637386961</v>
      </c>
      <c r="F205" s="86">
        <f t="shared" ref="F205" si="1635">F202/E202-1</f>
        <v>-7.6431537219422085E-2</v>
      </c>
      <c r="G205" s="86">
        <f t="shared" ref="G205" si="1636">G202/F202-1</f>
        <v>-1.1186815529113239</v>
      </c>
      <c r="H205" s="86">
        <f t="shared" ref="H205" si="1637">H202/G202-1</f>
        <v>-13.966651990968341</v>
      </c>
      <c r="I205" s="86">
        <f t="shared" ref="I205" si="1638">I202/H202-1</f>
        <v>-2.6690879862649401</v>
      </c>
      <c r="J205" s="86">
        <f t="shared" ref="J205" si="1639">J202/I202-1</f>
        <v>-1.3594194626978386</v>
      </c>
      <c r="K205" s="86">
        <f>K202/J202-1</f>
        <v>0.77735238274454366</v>
      </c>
      <c r="L205" s="86">
        <f t="shared" ref="L205" si="1640">L202/K202-1</f>
        <v>2.6694657226830238</v>
      </c>
      <c r="M205" s="86">
        <f t="shared" ref="M205" si="1641">M202/L202-1</f>
        <v>0.88472669402370552</v>
      </c>
      <c r="N205" s="86">
        <f t="shared" ref="N205" si="1642">N202/M202-1</f>
        <v>-6.3539619263445424E-2</v>
      </c>
      <c r="O205" s="86">
        <f t="shared" ref="O205" si="1643">O202/N202-1</f>
        <v>-1.3002371645582267E-2</v>
      </c>
      <c r="P205" s="86">
        <f t="shared" ref="P205" si="1644">P202/O202-1</f>
        <v>-0.22317394817772407</v>
      </c>
      <c r="Q205" s="86">
        <f t="shared" ref="Q205" si="1645">Q202/P202-1</f>
        <v>-1.2015911214212194E-2</v>
      </c>
      <c r="R205" s="86">
        <f t="shared" ref="R205" si="1646">R202/Q202-1</f>
        <v>-0.1356678166923444</v>
      </c>
      <c r="S205" s="86">
        <f t="shared" ref="S205" si="1647">S202/R202-1</f>
        <v>0.1900086661431839</v>
      </c>
      <c r="T205" s="86">
        <f t="shared" ref="T205" si="1648">T202/S202-1</f>
        <v>0.58657133712133813</v>
      </c>
      <c r="U205" s="86">
        <f t="shared" ref="U205" si="1649">U202/T202-1</f>
        <v>9.5455578242624739E-3</v>
      </c>
      <c r="V205" s="86">
        <f t="shared" ref="V205" si="1650">V202/U202-1</f>
        <v>-3.8734743677452221E-2</v>
      </c>
      <c r="W205" s="86">
        <f t="shared" ref="W205:AA205" si="1651">W202/V202-1</f>
        <v>-0.11597828478752426</v>
      </c>
      <c r="X205" s="86">
        <f t="shared" si="1651"/>
        <v>0.10727874843905694</v>
      </c>
      <c r="Y205" s="86">
        <f t="shared" si="1651"/>
        <v>-0.39222932528204701</v>
      </c>
      <c r="Z205" s="86">
        <f t="shared" si="1651"/>
        <v>0.50931808620232411</v>
      </c>
      <c r="AA205" s="86">
        <f t="shared" si="1651"/>
        <v>0.18979871042584517</v>
      </c>
      <c r="AB205" s="87">
        <f t="shared" ref="AB205" si="1652">AB202/AA202-1</f>
        <v>1.1772597685727471E-2</v>
      </c>
      <c r="AC205" s="87">
        <f t="shared" ref="AC205" si="1653">AC202/AB202-1</f>
        <v>0</v>
      </c>
      <c r="AD205" s="87">
        <f t="shared" ref="AD205" si="1654">AD202/AC202-1</f>
        <v>0</v>
      </c>
      <c r="AE205" s="87">
        <f t="shared" ref="AE205" si="1655">AE202/AD202-1</f>
        <v>0</v>
      </c>
      <c r="AN205" s="86">
        <f t="shared" ref="AN205:CI205" si="1656">+AN202/AJ202-1</f>
        <v>-0.19460887485788758</v>
      </c>
      <c r="AO205" s="86">
        <f t="shared" si="1656"/>
        <v>-0.19462683668261294</v>
      </c>
      <c r="AP205" s="86">
        <f t="shared" si="1656"/>
        <v>2.3394132109172183E-2</v>
      </c>
      <c r="AQ205" s="86">
        <f t="shared" si="1656"/>
        <v>-1.1121434391945351E-2</v>
      </c>
      <c r="AR205" s="86">
        <f t="shared" si="1656"/>
        <v>0.30755557729724869</v>
      </c>
      <c r="AS205" s="86">
        <f t="shared" si="1656"/>
        <v>0.33577036459622023</v>
      </c>
      <c r="AT205" s="86">
        <f t="shared" si="1656"/>
        <v>-0.25077489758524041</v>
      </c>
      <c r="AU205" s="86">
        <f t="shared" si="1656"/>
        <v>-0.22225792421686097</v>
      </c>
      <c r="AV205" s="86">
        <f t="shared" si="1656"/>
        <v>-0.17400399675209233</v>
      </c>
      <c r="AW205" s="86">
        <f t="shared" si="1656"/>
        <v>-0.21191943366972454</v>
      </c>
      <c r="AX205" s="86">
        <f t="shared" si="1656"/>
        <v>-0.12717347995275396</v>
      </c>
      <c r="AY205" s="86">
        <f t="shared" si="1656"/>
        <v>-0.12852795930390948</v>
      </c>
      <c r="AZ205" s="86">
        <f t="shared" si="1656"/>
        <v>-3.8615093312650672E-2</v>
      </c>
      <c r="BA205" s="86">
        <f t="shared" si="1656"/>
        <v>-0.14826021164883119</v>
      </c>
      <c r="BB205" s="86">
        <f t="shared" si="1656"/>
        <v>-0.17009037133546334</v>
      </c>
      <c r="BC205" s="86">
        <f t="shared" si="1656"/>
        <v>-0.16249152981840531</v>
      </c>
      <c r="BD205" s="86">
        <f t="shared" si="1656"/>
        <v>-5.0872282689382153E-2</v>
      </c>
      <c r="BE205" s="86">
        <f t="shared" si="1656"/>
        <v>1.9700227054516573E-2</v>
      </c>
      <c r="BF205" s="86">
        <f t="shared" si="1656"/>
        <v>0.26104847474587234</v>
      </c>
      <c r="BG205" s="86">
        <f t="shared" si="1656"/>
        <v>0.20722744002518789</v>
      </c>
      <c r="BH205" s="86">
        <f t="shared" si="1656"/>
        <v>0.44663857729039602</v>
      </c>
      <c r="BI205" s="86">
        <f t="shared" si="1656"/>
        <v>0.53650266092327303</v>
      </c>
      <c r="BJ205" s="86">
        <f t="shared" si="1656"/>
        <v>0.74608620055970731</v>
      </c>
      <c r="BK205" s="86">
        <f t="shared" si="1656"/>
        <v>0.56544672256977324</v>
      </c>
      <c r="BL205" s="86">
        <f t="shared" si="1656"/>
        <v>-5.5332704544821643E-2</v>
      </c>
      <c r="BM205" s="86">
        <f t="shared" si="1656"/>
        <v>-6.1115248416405255E-2</v>
      </c>
      <c r="BN205" s="86">
        <f t="shared" si="1656"/>
        <v>8.1243859587659673E-2</v>
      </c>
      <c r="BO205" s="86">
        <f t="shared" si="1656"/>
        <v>0.68356765095550909</v>
      </c>
      <c r="BP205" s="86">
        <f t="shared" si="1656"/>
        <v>0.22175976321988977</v>
      </c>
      <c r="BQ205" s="86">
        <f t="shared" si="1656"/>
        <v>0.14562073838953316</v>
      </c>
      <c r="BR205" s="86">
        <f t="shared" si="1656"/>
        <v>-0.25719929737318814</v>
      </c>
      <c r="BS205" s="86">
        <f t="shared" si="1656"/>
        <v>-0.30550938331871969</v>
      </c>
      <c r="BT205" s="86">
        <f t="shared" si="1656"/>
        <v>-0.13986321583321815</v>
      </c>
      <c r="BU205" s="86">
        <f t="shared" si="1656"/>
        <v>-7.1145507210674142E-2</v>
      </c>
      <c r="BV205" s="86">
        <f t="shared" si="1656"/>
        <v>-7.7610580614095648E-2</v>
      </c>
      <c r="BW205" s="86">
        <f t="shared" si="1656"/>
        <v>-0.27776341360818491</v>
      </c>
      <c r="BX205" s="86">
        <f t="shared" si="1656"/>
        <v>-7.7055561788733629E-3</v>
      </c>
      <c r="BY205" s="86">
        <f t="shared" si="1656"/>
        <v>-3.7053107322847834E-2</v>
      </c>
      <c r="BZ205" s="86">
        <f t="shared" si="1656"/>
        <v>0.21874936287070712</v>
      </c>
      <c r="CA205" s="86">
        <f t="shared" si="1656"/>
        <v>0.15385534934772394</v>
      </c>
      <c r="CB205" s="86">
        <f t="shared" si="1656"/>
        <v>-0.23724801939811879</v>
      </c>
      <c r="CC205" s="86">
        <f t="shared" si="1656"/>
        <v>-0.26759095939372946</v>
      </c>
      <c r="CD205" s="86">
        <f t="shared" si="1656"/>
        <v>-0.43554720521108825</v>
      </c>
      <c r="CE205" s="86">
        <f t="shared" si="1656"/>
        <v>-0.4347331492956954</v>
      </c>
      <c r="CF205" s="86">
        <f t="shared" si="1656"/>
        <v>-6.1602723419880379E-2</v>
      </c>
      <c r="CG205" s="86">
        <f t="shared" si="1656"/>
        <v>-6.2558279370182768E-2</v>
      </c>
      <c r="CH205" s="86">
        <f t="shared" si="1656"/>
        <v>0.60058868002781485</v>
      </c>
      <c r="CI205" s="86">
        <f t="shared" si="1656"/>
        <v>0.70891184377696081</v>
      </c>
      <c r="CJ205" s="86">
        <f>+CJ202/CF202-1</f>
        <v>1.1464849358352676</v>
      </c>
      <c r="CK205" s="87"/>
      <c r="CL205" s="86">
        <f>+CL202/CH202-1</f>
        <v>8.5181621623507953E-2</v>
      </c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E205" s="141"/>
      <c r="DF205" s="86">
        <v>0.20380573197068719</v>
      </c>
    </row>
    <row r="206" spans="1:110" s="103" customFormat="1" x14ac:dyDescent="0.2">
      <c r="A206" s="147" t="s">
        <v>87</v>
      </c>
      <c r="C206" s="103">
        <f>IF(C205&gt;C204,"RF",0)</f>
        <v>0</v>
      </c>
      <c r="D206" s="103">
        <f>IF(D205&gt;D204,"RF",0)</f>
        <v>0</v>
      </c>
      <c r="E206" s="103" t="str">
        <f t="shared" ref="E206:U206" si="1657">IF(E205&gt;E204,"RF",0)</f>
        <v>RF</v>
      </c>
      <c r="F206" s="103">
        <f t="shared" si="1657"/>
        <v>0</v>
      </c>
      <c r="G206" s="103">
        <f t="shared" si="1657"/>
        <v>0</v>
      </c>
      <c r="H206" s="103">
        <f t="shared" si="1657"/>
        <v>0</v>
      </c>
      <c r="I206" s="103">
        <f t="shared" si="1657"/>
        <v>0</v>
      </c>
      <c r="J206" s="103">
        <f t="shared" si="1657"/>
        <v>0</v>
      </c>
      <c r="K206" s="103" t="str">
        <f t="shared" si="1657"/>
        <v>RF</v>
      </c>
      <c r="L206" s="103" t="str">
        <f t="shared" si="1657"/>
        <v>RF</v>
      </c>
      <c r="M206" s="103" t="str">
        <f t="shared" si="1657"/>
        <v>RF</v>
      </c>
      <c r="N206" s="103">
        <f t="shared" si="1657"/>
        <v>0</v>
      </c>
      <c r="O206" s="103" t="str">
        <f t="shared" si="1657"/>
        <v>RF</v>
      </c>
      <c r="P206" s="103">
        <f t="shared" si="1657"/>
        <v>0</v>
      </c>
      <c r="Q206" s="103">
        <f t="shared" si="1657"/>
        <v>0</v>
      </c>
      <c r="R206" s="103">
        <f t="shared" si="1657"/>
        <v>0</v>
      </c>
      <c r="S206" s="103" t="str">
        <f t="shared" si="1657"/>
        <v>RF</v>
      </c>
      <c r="T206" s="103" t="str">
        <f t="shared" si="1657"/>
        <v>RF</v>
      </c>
      <c r="U206" s="103">
        <f t="shared" si="1657"/>
        <v>0</v>
      </c>
      <c r="V206" s="103">
        <f>IF(V205&gt;V204,"RF",0)</f>
        <v>0</v>
      </c>
      <c r="W206" s="103">
        <f t="shared" ref="W206" si="1658">IF(W205&gt;W204,"RF",0)</f>
        <v>0</v>
      </c>
      <c r="X206" s="103">
        <f t="shared" ref="X206:Y206" si="1659">IF(X205&gt;X204,"RF",0)</f>
        <v>0</v>
      </c>
      <c r="Y206" s="103">
        <f t="shared" si="1659"/>
        <v>0</v>
      </c>
      <c r="Z206" s="103" t="str">
        <f t="shared" ref="Z206:AA206" si="1660">IF(Z205&gt;Z204,"RF",0)</f>
        <v>RF</v>
      </c>
      <c r="AA206" s="103" t="str">
        <f t="shared" si="1660"/>
        <v>RF</v>
      </c>
      <c r="AB206" s="73">
        <f t="shared" ref="AA206:AD206" si="1661">IF(AB205&gt;AB204,"RF",0)</f>
        <v>0</v>
      </c>
      <c r="AC206" s="73">
        <f t="shared" si="1661"/>
        <v>0</v>
      </c>
      <c r="AD206" s="73">
        <f t="shared" si="1661"/>
        <v>0</v>
      </c>
      <c r="AE206" s="73">
        <f t="shared" ref="AE206" si="1662">IF(AE205&gt;AE204,"RF",0)</f>
        <v>0</v>
      </c>
      <c r="CK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E206" s="142"/>
      <c r="DF206" s="103" t="s">
        <v>536</v>
      </c>
    </row>
    <row r="207" spans="1:110" x14ac:dyDescent="0.2">
      <c r="A207" s="153" t="s">
        <v>494</v>
      </c>
      <c r="AA207" s="2"/>
      <c r="CL207" s="2"/>
    </row>
    <row r="208" spans="1:110" x14ac:dyDescent="0.2">
      <c r="A208" s="152" t="s">
        <v>495</v>
      </c>
      <c r="AA208" s="2"/>
      <c r="CL208" s="2"/>
    </row>
    <row r="209" spans="1:110" s="23" customFormat="1" x14ac:dyDescent="0.2">
      <c r="A209" s="23" t="s">
        <v>22</v>
      </c>
      <c r="C209" s="23">
        <f t="shared" ref="C209:AE209" si="1663">C64</f>
        <v>25.810399999999891</v>
      </c>
      <c r="D209" s="23">
        <f t="shared" si="1663"/>
        <v>29.716500000000092</v>
      </c>
      <c r="E209" s="23">
        <f t="shared" si="1663"/>
        <v>40.36219999999993</v>
      </c>
      <c r="F209" s="23">
        <f t="shared" si="1663"/>
        <v>52.250900000000001</v>
      </c>
      <c r="G209" s="23">
        <f t="shared" si="1663"/>
        <v>73.652599999999865</v>
      </c>
      <c r="H209" s="23">
        <f t="shared" si="1663"/>
        <v>201.57970000000017</v>
      </c>
      <c r="I209" s="23">
        <f t="shared" si="1663"/>
        <v>207.6803000000001</v>
      </c>
      <c r="J209" s="23">
        <f t="shared" si="1663"/>
        <v>251.40329999999975</v>
      </c>
      <c r="K209" s="23">
        <f t="shared" si="1663"/>
        <v>380.99100000000095</v>
      </c>
      <c r="L209" s="23">
        <f t="shared" si="1663"/>
        <v>357.24409999999943</v>
      </c>
      <c r="M209" s="23">
        <f t="shared" si="1663"/>
        <v>162.0557</v>
      </c>
      <c r="N209" s="23">
        <f t="shared" si="1663"/>
        <v>215.69769999999974</v>
      </c>
      <c r="O209" s="23">
        <f t="shared" si="1663"/>
        <v>245.35709999999946</v>
      </c>
      <c r="P209" s="23">
        <f t="shared" si="1663"/>
        <v>384.33689999999962</v>
      </c>
      <c r="Q209" s="23">
        <f t="shared" si="1663"/>
        <v>387.09320000000025</v>
      </c>
      <c r="R209" s="23">
        <f t="shared" si="1663"/>
        <v>517.42999999999995</v>
      </c>
      <c r="S209" s="23">
        <f t="shared" si="1663"/>
        <v>572.40000000000055</v>
      </c>
      <c r="T209" s="23">
        <f t="shared" si="1663"/>
        <v>507.91000000000008</v>
      </c>
      <c r="U209" s="23">
        <f t="shared" si="1663"/>
        <v>517.18000000000029</v>
      </c>
      <c r="V209" s="23">
        <f t="shared" si="1663"/>
        <v>525.13999999999976</v>
      </c>
      <c r="W209" s="23">
        <f t="shared" si="1663"/>
        <v>504.08999999999975</v>
      </c>
      <c r="X209" s="23">
        <f t="shared" si="1663"/>
        <v>135.01000000000096</v>
      </c>
      <c r="Y209" s="23">
        <f t="shared" si="1663"/>
        <v>251.99999999999824</v>
      </c>
      <c r="Z209" s="23">
        <f t="shared" si="1663"/>
        <v>841.37000000000182</v>
      </c>
      <c r="AA209" s="23">
        <f t="shared" ref="AA209" si="1664">AA64</f>
        <v>375.87999999999937</v>
      </c>
      <c r="AB209" s="24">
        <f t="shared" si="1663"/>
        <v>530.59624056378061</v>
      </c>
      <c r="AC209" s="24">
        <f t="shared" si="1663"/>
        <v>688.52610048376766</v>
      </c>
      <c r="AD209" s="24">
        <f t="shared" si="1663"/>
        <v>811.84489836342095</v>
      </c>
      <c r="AE209" s="24">
        <f t="shared" si="1663"/>
        <v>949.62613516416559</v>
      </c>
      <c r="AI209" s="23">
        <f t="shared" ref="AI209:BN209" si="1665">AI64</f>
        <v>79.120000000000076</v>
      </c>
      <c r="AJ209" s="23">
        <f t="shared" si="1665"/>
        <v>42.929999999999964</v>
      </c>
      <c r="AK209" s="23">
        <f t="shared" si="1665"/>
        <v>76.809999999999945</v>
      </c>
      <c r="AL209" s="23">
        <f t="shared" si="1665"/>
        <v>8.9200000000001225</v>
      </c>
      <c r="AM209" s="23">
        <f t="shared" si="1665"/>
        <v>40.749999999999972</v>
      </c>
      <c r="AN209" s="23">
        <f t="shared" si="1665"/>
        <v>42.280000000000094</v>
      </c>
      <c r="AO209" s="23">
        <f t="shared" si="1665"/>
        <v>61.919999999999938</v>
      </c>
      <c r="AP209" s="23">
        <f t="shared" si="1665"/>
        <v>100.40999999999985</v>
      </c>
      <c r="AQ209" s="23">
        <f t="shared" si="1665"/>
        <v>108.98999999999994</v>
      </c>
      <c r="AR209" s="23">
        <f t="shared" si="1665"/>
        <v>49.929999999999943</v>
      </c>
      <c r="AS209" s="23">
        <f t="shared" si="1665"/>
        <v>107.36999999999993</v>
      </c>
      <c r="AT209" s="23">
        <f t="shared" si="1665"/>
        <v>118.04000000000002</v>
      </c>
      <c r="AU209" s="23">
        <f t="shared" si="1665"/>
        <v>102.53999999999989</v>
      </c>
      <c r="AV209" s="23">
        <f t="shared" si="1665"/>
        <v>67.260000000000161</v>
      </c>
      <c r="AW209" s="23">
        <f t="shared" si="1665"/>
        <v>56.829999999999721</v>
      </c>
      <c r="AX209" s="23">
        <f t="shared" si="1665"/>
        <v>159.4800000000001</v>
      </c>
      <c r="AY209" s="23">
        <f t="shared" si="1665"/>
        <v>157.61999999999975</v>
      </c>
      <c r="AZ209" s="23">
        <f t="shared" si="1665"/>
        <v>80.549999999999898</v>
      </c>
      <c r="BA209" s="23">
        <f t="shared" si="1665"/>
        <v>80.189999999999912</v>
      </c>
      <c r="BB209" s="23">
        <f t="shared" si="1665"/>
        <v>199.07000000000028</v>
      </c>
      <c r="BC209" s="23">
        <f t="shared" si="1665"/>
        <v>185.63999999999976</v>
      </c>
      <c r="BD209" s="23">
        <f t="shared" si="1665"/>
        <v>94.63000000000001</v>
      </c>
      <c r="BE209" s="23">
        <f t="shared" si="1665"/>
        <v>99.480000000000075</v>
      </c>
      <c r="BF209" s="23">
        <f t="shared" si="1665"/>
        <v>192.65000000000032</v>
      </c>
      <c r="BG209" s="23">
        <f t="shared" si="1665"/>
        <v>183.91999999999967</v>
      </c>
      <c r="BH209" s="23">
        <f t="shared" si="1665"/>
        <v>103.46000000000009</v>
      </c>
      <c r="BI209" s="23">
        <f t="shared" si="1665"/>
        <v>80.92000000000003</v>
      </c>
      <c r="BJ209" s="23">
        <f t="shared" si="1665"/>
        <v>139.60999999999996</v>
      </c>
      <c r="BK209" s="23">
        <f t="shared" si="1665"/>
        <v>165.17999999999978</v>
      </c>
      <c r="BL209" s="23">
        <f t="shared" si="1665"/>
        <v>106.43000000000025</v>
      </c>
      <c r="BM209" s="23">
        <f t="shared" si="1665"/>
        <v>86.909999999999968</v>
      </c>
      <c r="BN209" s="23">
        <f t="shared" si="1665"/>
        <v>158.6599999999994</v>
      </c>
      <c r="BO209" s="23">
        <f t="shared" ref="BO209:CT209" si="1666">BO64</f>
        <v>81.150000000000006</v>
      </c>
      <c r="BP209" s="23">
        <f t="shared" si="1666"/>
        <v>78.350000000000009</v>
      </c>
      <c r="BQ209" s="23">
        <f t="shared" si="1666"/>
        <v>127.90999999999988</v>
      </c>
      <c r="BR209" s="23">
        <f t="shared" si="1666"/>
        <v>237.73000000000036</v>
      </c>
      <c r="BS209" s="23">
        <f t="shared" si="1666"/>
        <v>121.79999999999984</v>
      </c>
      <c r="BT209" s="23">
        <f t="shared" si="1666"/>
        <v>103.61000000000017</v>
      </c>
      <c r="BU209" s="23">
        <f t="shared" si="1666"/>
        <v>95.979999999999663</v>
      </c>
      <c r="BV209" s="23">
        <f t="shared" si="1666"/>
        <v>182.69999999999996</v>
      </c>
      <c r="BW209" s="23">
        <f t="shared" si="1666"/>
        <v>108.88000000000015</v>
      </c>
      <c r="BX209" s="23">
        <f t="shared" si="1666"/>
        <v>-7.410000000000025</v>
      </c>
      <c r="BY209" s="23">
        <f t="shared" si="1666"/>
        <v>-110.38000000000019</v>
      </c>
      <c r="BZ209" s="23">
        <f t="shared" si="1666"/>
        <v>143.92000000000024</v>
      </c>
      <c r="CA209" s="23">
        <f t="shared" si="1666"/>
        <v>129.29000000000005</v>
      </c>
      <c r="CB209" s="23">
        <f t="shared" si="1666"/>
        <v>36.679999999999879</v>
      </c>
      <c r="CC209" s="23">
        <f t="shared" si="1666"/>
        <v>-30.410000000000053</v>
      </c>
      <c r="CD209" s="23">
        <f t="shared" si="1666"/>
        <v>116.44000000000031</v>
      </c>
      <c r="CE209" s="23">
        <f t="shared" si="1666"/>
        <v>334.22999999999905</v>
      </c>
      <c r="CF209" s="23">
        <f t="shared" si="1666"/>
        <v>133.99000000000004</v>
      </c>
      <c r="CG209" s="23">
        <f t="shared" si="1666"/>
        <v>132.13000000000022</v>
      </c>
      <c r="CH209" s="23">
        <f t="shared" si="1666"/>
        <v>241.01999999999995</v>
      </c>
      <c r="CI209" s="23">
        <f t="shared" si="1666"/>
        <v>140.45999999999972</v>
      </c>
      <c r="CJ209" s="23">
        <f t="shared" si="1666"/>
        <v>34.289999999999388</v>
      </c>
      <c r="CK209" s="24">
        <f t="shared" si="1666"/>
        <v>84.950000000000088</v>
      </c>
      <c r="CL209" s="23">
        <f t="shared" ref="CL209" si="1667">CL64</f>
        <v>116.17999999999986</v>
      </c>
      <c r="CM209" s="24">
        <f t="shared" si="1666"/>
        <v>141.26550763135398</v>
      </c>
      <c r="CN209" s="24">
        <f t="shared" si="1666"/>
        <v>65.861317715045715</v>
      </c>
      <c r="CO209" s="24">
        <f t="shared" si="1666"/>
        <v>105.47117263891451</v>
      </c>
      <c r="CP209" s="24">
        <f t="shared" si="1666"/>
        <v>217.99824257846484</v>
      </c>
      <c r="CQ209" s="24">
        <f t="shared" si="1666"/>
        <v>208.10804310043443</v>
      </c>
      <c r="CR209" s="24">
        <f t="shared" si="1666"/>
        <v>95.870406482184137</v>
      </c>
      <c r="CS209" s="24">
        <f t="shared" si="1666"/>
        <v>125.10081662709678</v>
      </c>
      <c r="CT209" s="24">
        <f t="shared" si="1666"/>
        <v>259.44683427405079</v>
      </c>
      <c r="CU209" s="24">
        <f t="shared" ref="CU209:DB209" si="1668">CU64</f>
        <v>249.70213845780046</v>
      </c>
      <c r="CV209" s="24">
        <f t="shared" si="1668"/>
        <v>117.45991016036339</v>
      </c>
      <c r="CW209" s="24">
        <f t="shared" si="1668"/>
        <v>146.81482470801257</v>
      </c>
      <c r="CX209" s="24">
        <f t="shared" si="1668"/>
        <v>297.86802503724738</v>
      </c>
      <c r="CY209" s="24">
        <f t="shared" si="1668"/>
        <v>292.9605729494134</v>
      </c>
      <c r="CZ209" s="24">
        <f t="shared" si="1668"/>
        <v>139.19531850461374</v>
      </c>
      <c r="DA209" s="24">
        <f t="shared" si="1668"/>
        <v>171.94104114286168</v>
      </c>
      <c r="DB209" s="24">
        <f t="shared" si="1668"/>
        <v>345.52920256727555</v>
      </c>
      <c r="DE209" s="123"/>
      <c r="DF209" s="23">
        <v>272.01777650372264</v>
      </c>
    </row>
    <row r="210" spans="1:110" s="23" customFormat="1" x14ac:dyDescent="0.2">
      <c r="A210" s="23" t="s">
        <v>88</v>
      </c>
      <c r="C210" s="23">
        <f t="shared" ref="C210:AE210" si="1669">C48</f>
        <v>15.225099999999999</v>
      </c>
      <c r="D210" s="23">
        <f t="shared" si="1669"/>
        <v>17.6584</v>
      </c>
      <c r="E210" s="23">
        <f t="shared" si="1669"/>
        <v>15.952400000000001</v>
      </c>
      <c r="F210" s="23">
        <f t="shared" si="1669"/>
        <v>13.269</v>
      </c>
      <c r="G210" s="23">
        <f t="shared" si="1669"/>
        <v>14.0906</v>
      </c>
      <c r="H210" s="23">
        <f t="shared" si="1669"/>
        <v>15.566800000000001</v>
      </c>
      <c r="I210" s="23">
        <f t="shared" si="1669"/>
        <v>16.692599999999999</v>
      </c>
      <c r="J210" s="23">
        <f t="shared" si="1669"/>
        <v>20.9636</v>
      </c>
      <c r="K210" s="23">
        <f t="shared" si="1669"/>
        <v>21.409600000000001</v>
      </c>
      <c r="L210" s="23">
        <f t="shared" si="1669"/>
        <v>21.017099999999999</v>
      </c>
      <c r="M210" s="23">
        <f t="shared" si="1669"/>
        <v>33.958199999999998</v>
      </c>
      <c r="N210" s="23">
        <f t="shared" si="1669"/>
        <v>27.840299999999999</v>
      </c>
      <c r="O210" s="23">
        <f t="shared" si="1669"/>
        <v>24.843299999999999</v>
      </c>
      <c r="P210" s="23">
        <f t="shared" si="1669"/>
        <v>28.0412</v>
      </c>
      <c r="Q210" s="23">
        <f t="shared" si="1669"/>
        <v>26.346900000000002</v>
      </c>
      <c r="R210" s="23">
        <f t="shared" si="1669"/>
        <v>24.45</v>
      </c>
      <c r="S210" s="23">
        <f t="shared" si="1669"/>
        <v>24.35</v>
      </c>
      <c r="T210" s="23">
        <f t="shared" si="1669"/>
        <v>23.98</v>
      </c>
      <c r="U210" s="23">
        <f t="shared" si="1669"/>
        <v>31.96</v>
      </c>
      <c r="V210" s="23">
        <f t="shared" si="1669"/>
        <v>33.89</v>
      </c>
      <c r="W210" s="23">
        <f t="shared" si="1669"/>
        <v>37.26</v>
      </c>
      <c r="X210" s="23">
        <f t="shared" si="1669"/>
        <v>39.619999999999997</v>
      </c>
      <c r="Y210" s="23">
        <f t="shared" si="1669"/>
        <v>47.59</v>
      </c>
      <c r="Z210" s="23">
        <f t="shared" si="1669"/>
        <v>61.78</v>
      </c>
      <c r="AA210" s="23">
        <f t="shared" ref="AA210" si="1670">AA48</f>
        <v>84.1</v>
      </c>
      <c r="AB210" s="24">
        <f t="shared" si="1669"/>
        <v>90.927357571519323</v>
      </c>
      <c r="AC210" s="24">
        <f t="shared" si="1669"/>
        <v>82.122006535852961</v>
      </c>
      <c r="AD210" s="24">
        <f t="shared" si="1669"/>
        <v>74.169360438855094</v>
      </c>
      <c r="AE210" s="24">
        <f t="shared" si="1669"/>
        <v>66.98684384321669</v>
      </c>
      <c r="AI210" s="23">
        <f t="shared" ref="AI210:BN210" si="1671">AI48</f>
        <v>7.3</v>
      </c>
      <c r="AJ210" s="23">
        <f t="shared" si="1671"/>
        <v>7.59</v>
      </c>
      <c r="AK210" s="23">
        <f t="shared" si="1671"/>
        <v>6.95</v>
      </c>
      <c r="AL210" s="23">
        <f t="shared" si="1671"/>
        <v>6</v>
      </c>
      <c r="AM210" s="23">
        <f t="shared" si="1671"/>
        <v>6.05</v>
      </c>
      <c r="AN210" s="23">
        <f t="shared" si="1671"/>
        <v>5.95</v>
      </c>
      <c r="AO210" s="23">
        <f t="shared" si="1671"/>
        <v>5.96</v>
      </c>
      <c r="AP210" s="23">
        <f t="shared" si="1671"/>
        <v>6.88</v>
      </c>
      <c r="AQ210" s="23">
        <f t="shared" si="1671"/>
        <v>6.06</v>
      </c>
      <c r="AR210" s="23">
        <f t="shared" si="1671"/>
        <v>6.9</v>
      </c>
      <c r="AS210" s="23">
        <f t="shared" si="1671"/>
        <v>6.97</v>
      </c>
      <c r="AT210" s="23">
        <f t="shared" si="1671"/>
        <v>8.11</v>
      </c>
      <c r="AU210" s="23">
        <f t="shared" si="1671"/>
        <v>5.9</v>
      </c>
      <c r="AV210" s="23">
        <f t="shared" si="1671"/>
        <v>6.41</v>
      </c>
      <c r="AW210" s="23">
        <f t="shared" si="1671"/>
        <v>6.52</v>
      </c>
      <c r="AX210" s="23">
        <f t="shared" si="1671"/>
        <v>7.52</v>
      </c>
      <c r="AY210" s="23">
        <f t="shared" si="1671"/>
        <v>6.55</v>
      </c>
      <c r="AZ210" s="23">
        <f t="shared" si="1671"/>
        <v>6.32</v>
      </c>
      <c r="BA210" s="23">
        <f t="shared" si="1671"/>
        <v>5.96</v>
      </c>
      <c r="BB210" s="23">
        <f t="shared" si="1671"/>
        <v>5.62</v>
      </c>
      <c r="BC210" s="23">
        <f t="shared" si="1671"/>
        <v>6.12</v>
      </c>
      <c r="BD210" s="23">
        <f t="shared" si="1671"/>
        <v>6.09</v>
      </c>
      <c r="BE210" s="23">
        <f t="shared" si="1671"/>
        <v>6.07</v>
      </c>
      <c r="BF210" s="23">
        <f t="shared" si="1671"/>
        <v>6.07</v>
      </c>
      <c r="BG210" s="23">
        <f t="shared" si="1671"/>
        <v>5.94</v>
      </c>
      <c r="BH210" s="23">
        <f t="shared" si="1671"/>
        <v>5.95</v>
      </c>
      <c r="BI210" s="23">
        <f t="shared" si="1671"/>
        <v>6.16</v>
      </c>
      <c r="BJ210" s="23">
        <f t="shared" si="1671"/>
        <v>5.93</v>
      </c>
      <c r="BK210" s="23">
        <f t="shared" si="1671"/>
        <v>7.72</v>
      </c>
      <c r="BL210" s="23">
        <f t="shared" si="1671"/>
        <v>8.02</v>
      </c>
      <c r="BM210" s="23">
        <f t="shared" si="1671"/>
        <v>8.02</v>
      </c>
      <c r="BN210" s="23">
        <f t="shared" si="1671"/>
        <v>8.1999999999999993</v>
      </c>
      <c r="BO210" s="23">
        <f t="shared" ref="BO210:CT210" si="1672">BO48</f>
        <v>8.2200000000000006</v>
      </c>
      <c r="BP210" s="23">
        <f t="shared" si="1672"/>
        <v>8.39</v>
      </c>
      <c r="BQ210" s="23">
        <f t="shared" si="1672"/>
        <v>8.41</v>
      </c>
      <c r="BR210" s="23">
        <f t="shared" si="1672"/>
        <v>8.8699999999999992</v>
      </c>
      <c r="BS210" s="23">
        <f t="shared" si="1672"/>
        <v>8.61</v>
      </c>
      <c r="BT210" s="23">
        <f t="shared" si="1672"/>
        <v>9.5</v>
      </c>
      <c r="BU210" s="23">
        <f t="shared" si="1672"/>
        <v>9.6999999999999993</v>
      </c>
      <c r="BV210" s="23">
        <f t="shared" si="1672"/>
        <v>9.4499999999999993</v>
      </c>
      <c r="BW210" s="23">
        <f t="shared" si="1672"/>
        <v>8.49</v>
      </c>
      <c r="BX210" s="23">
        <f t="shared" si="1672"/>
        <v>9.6999999999999993</v>
      </c>
      <c r="BY210" s="23">
        <f t="shared" si="1672"/>
        <v>11.05</v>
      </c>
      <c r="BZ210" s="23">
        <f t="shared" si="1672"/>
        <v>10.38</v>
      </c>
      <c r="CA210" s="23">
        <f t="shared" si="1672"/>
        <v>11.26</v>
      </c>
      <c r="CB210" s="23">
        <f t="shared" si="1672"/>
        <v>11.68</v>
      </c>
      <c r="CC210" s="23">
        <f t="shared" si="1672"/>
        <v>12.84</v>
      </c>
      <c r="CD210" s="23">
        <f t="shared" si="1672"/>
        <v>11.81</v>
      </c>
      <c r="CE210" s="23">
        <f t="shared" si="1672"/>
        <v>13.43</v>
      </c>
      <c r="CF210" s="23">
        <f t="shared" si="1672"/>
        <v>16.43</v>
      </c>
      <c r="CG210" s="23">
        <f t="shared" si="1672"/>
        <v>17.87</v>
      </c>
      <c r="CH210" s="23">
        <f t="shared" si="1672"/>
        <v>14.05</v>
      </c>
      <c r="CI210" s="23">
        <f t="shared" si="1672"/>
        <v>18.47</v>
      </c>
      <c r="CJ210" s="23">
        <f t="shared" si="1672"/>
        <v>24.42</v>
      </c>
      <c r="CK210" s="24">
        <f t="shared" si="1672"/>
        <v>20.62</v>
      </c>
      <c r="CL210" s="23">
        <f t="shared" ref="CL210" si="1673">CL48</f>
        <v>20.59</v>
      </c>
      <c r="CM210" s="24">
        <f t="shared" si="1672"/>
        <v>23.607322270251789</v>
      </c>
      <c r="CN210" s="24">
        <f t="shared" si="1672"/>
        <v>23.013780905140198</v>
      </c>
      <c r="CO210" s="24">
        <f t="shared" si="1672"/>
        <v>22.435162509608372</v>
      </c>
      <c r="CP210" s="24">
        <f t="shared" si="1672"/>
        <v>21.871091886518965</v>
      </c>
      <c r="CQ210" s="24">
        <f t="shared" si="1672"/>
        <v>21.321203272037533</v>
      </c>
      <c r="CR210" s="24">
        <f t="shared" si="1672"/>
        <v>20.785140098457962</v>
      </c>
      <c r="CS210" s="24">
        <f t="shared" si="1672"/>
        <v>20.26255476299108</v>
      </c>
      <c r="CT210" s="24">
        <f t="shared" si="1672"/>
        <v>19.753108402366387</v>
      </c>
      <c r="CU210" s="24">
        <f t="shared" ref="CU210:DB210" si="1674">CU48</f>
        <v>19.256470673100843</v>
      </c>
      <c r="CV210" s="24">
        <f t="shared" si="1674"/>
        <v>18.772319537292184</v>
      </c>
      <c r="CW210" s="24">
        <f t="shared" si="1674"/>
        <v>18.300341053797851</v>
      </c>
      <c r="CX210" s="24">
        <f t="shared" si="1674"/>
        <v>17.840229174664216</v>
      </c>
      <c r="CY210" s="24">
        <f t="shared" si="1674"/>
        <v>17.391685546673969</v>
      </c>
      <c r="CZ210" s="24">
        <f t="shared" si="1674"/>
        <v>16.954419317883069</v>
      </c>
      <c r="DA210" s="24">
        <f t="shared" si="1674"/>
        <v>16.528146949021846</v>
      </c>
      <c r="DB210" s="24">
        <f t="shared" si="1674"/>
        <v>16.112592029637813</v>
      </c>
      <c r="DE210" s="123"/>
      <c r="DF210" s="23">
        <v>20.113562818619279</v>
      </c>
    </row>
    <row r="211" spans="1:110" s="22" customFormat="1" x14ac:dyDescent="0.2">
      <c r="A211" s="22" t="s">
        <v>89</v>
      </c>
      <c r="C211" s="22">
        <f t="shared" ref="C211:W211" si="1675">C209+C210</f>
        <v>41.035499999999892</v>
      </c>
      <c r="D211" s="22">
        <f t="shared" si="1675"/>
        <v>47.374900000000096</v>
      </c>
      <c r="E211" s="22">
        <f t="shared" si="1675"/>
        <v>56.314599999999928</v>
      </c>
      <c r="F211" s="22">
        <f t="shared" si="1675"/>
        <v>65.519900000000007</v>
      </c>
      <c r="G211" s="22">
        <f t="shared" si="1675"/>
        <v>87.74319999999986</v>
      </c>
      <c r="H211" s="22">
        <f t="shared" si="1675"/>
        <v>217.14650000000017</v>
      </c>
      <c r="I211" s="22">
        <f t="shared" si="1675"/>
        <v>224.3729000000001</v>
      </c>
      <c r="J211" s="22">
        <f t="shared" si="1675"/>
        <v>272.36689999999976</v>
      </c>
      <c r="K211" s="22">
        <f t="shared" si="1675"/>
        <v>402.40060000000096</v>
      </c>
      <c r="L211" s="22">
        <f t="shared" si="1675"/>
        <v>378.26119999999946</v>
      </c>
      <c r="M211" s="22">
        <f t="shared" si="1675"/>
        <v>196.01390000000001</v>
      </c>
      <c r="N211" s="22">
        <f t="shared" si="1675"/>
        <v>243.53799999999973</v>
      </c>
      <c r="O211" s="22">
        <f t="shared" si="1675"/>
        <v>270.20039999999949</v>
      </c>
      <c r="P211" s="22">
        <f t="shared" si="1675"/>
        <v>412.37809999999962</v>
      </c>
      <c r="Q211" s="22">
        <f t="shared" si="1675"/>
        <v>413.44010000000026</v>
      </c>
      <c r="R211" s="22">
        <f t="shared" si="1675"/>
        <v>541.88</v>
      </c>
      <c r="S211" s="22">
        <f t="shared" si="1675"/>
        <v>596.75000000000057</v>
      </c>
      <c r="T211" s="22">
        <f t="shared" si="1675"/>
        <v>531.8900000000001</v>
      </c>
      <c r="U211" s="22">
        <f t="shared" si="1675"/>
        <v>549.14000000000033</v>
      </c>
      <c r="V211" s="22">
        <f t="shared" si="1675"/>
        <v>559.02999999999975</v>
      </c>
      <c r="W211" s="22">
        <f t="shared" si="1675"/>
        <v>541.3499999999998</v>
      </c>
      <c r="X211" s="22">
        <f t="shared" ref="X211:Y211" si="1676">X209+X210</f>
        <v>174.63000000000096</v>
      </c>
      <c r="Y211" s="22">
        <f t="shared" si="1676"/>
        <v>299.58999999999821</v>
      </c>
      <c r="Z211" s="22">
        <f t="shared" ref="Z211:AA211" si="1677">Z209+Z210</f>
        <v>903.1500000000018</v>
      </c>
      <c r="AA211" s="22">
        <f t="shared" si="1677"/>
        <v>459.97999999999934</v>
      </c>
      <c r="AB211" s="21">
        <f t="shared" ref="AA211:AD211" si="1678">AB209+AB210</f>
        <v>621.52359813529995</v>
      </c>
      <c r="AC211" s="21">
        <f t="shared" si="1678"/>
        <v>770.64810701962062</v>
      </c>
      <c r="AD211" s="21">
        <f t="shared" si="1678"/>
        <v>886.014258802276</v>
      </c>
      <c r="AE211" s="21">
        <f t="shared" ref="AE211" si="1679">AE209+AE210</f>
        <v>1016.6129790073823</v>
      </c>
      <c r="AI211" s="22">
        <f t="shared" ref="AI211" si="1680">AI209+AI210</f>
        <v>86.420000000000073</v>
      </c>
      <c r="AJ211" s="22">
        <f t="shared" ref="AJ211:AL211" si="1681">AJ209+AJ210</f>
        <v>50.519999999999968</v>
      </c>
      <c r="AK211" s="22">
        <f t="shared" si="1681"/>
        <v>83.759999999999948</v>
      </c>
      <c r="AL211" s="22">
        <f t="shared" si="1681"/>
        <v>14.920000000000122</v>
      </c>
      <c r="AM211" s="22">
        <f t="shared" ref="AM211" si="1682">AM209+AM210</f>
        <v>46.799999999999969</v>
      </c>
      <c r="AN211" s="22">
        <f t="shared" ref="AN211:CD211" si="1683">AN209+AN210</f>
        <v>48.230000000000096</v>
      </c>
      <c r="AO211" s="22">
        <f t="shared" si="1683"/>
        <v>67.879999999999939</v>
      </c>
      <c r="AP211" s="22">
        <f t="shared" si="1683"/>
        <v>107.28999999999985</v>
      </c>
      <c r="AQ211" s="22">
        <f t="shared" si="1683"/>
        <v>115.04999999999994</v>
      </c>
      <c r="AR211" s="22">
        <f t="shared" si="1683"/>
        <v>56.829999999999941</v>
      </c>
      <c r="AS211" s="22">
        <f t="shared" si="1683"/>
        <v>114.33999999999993</v>
      </c>
      <c r="AT211" s="22">
        <f t="shared" si="1683"/>
        <v>126.15000000000002</v>
      </c>
      <c r="AU211" s="22">
        <f t="shared" si="1683"/>
        <v>108.4399999999999</v>
      </c>
      <c r="AV211" s="22">
        <f t="shared" si="1683"/>
        <v>73.670000000000158</v>
      </c>
      <c r="AW211" s="22">
        <f t="shared" si="1683"/>
        <v>63.349999999999724</v>
      </c>
      <c r="AX211" s="22">
        <f t="shared" si="1683"/>
        <v>167.00000000000011</v>
      </c>
      <c r="AY211" s="22">
        <f t="shared" si="1683"/>
        <v>164.16999999999976</v>
      </c>
      <c r="AZ211" s="22">
        <f t="shared" si="1683"/>
        <v>86.869999999999891</v>
      </c>
      <c r="BA211" s="22">
        <f t="shared" si="1683"/>
        <v>86.149999999999906</v>
      </c>
      <c r="BB211" s="22">
        <f t="shared" si="1683"/>
        <v>204.69000000000028</v>
      </c>
      <c r="BC211" s="22">
        <f t="shared" si="1683"/>
        <v>191.75999999999976</v>
      </c>
      <c r="BD211" s="22">
        <f t="shared" si="1683"/>
        <v>100.72000000000001</v>
      </c>
      <c r="BE211" s="22">
        <f t="shared" si="1683"/>
        <v>105.55000000000007</v>
      </c>
      <c r="BF211" s="22">
        <f t="shared" si="1683"/>
        <v>198.72000000000031</v>
      </c>
      <c r="BG211" s="22">
        <f t="shared" si="1683"/>
        <v>189.85999999999967</v>
      </c>
      <c r="BH211" s="22">
        <f t="shared" si="1683"/>
        <v>109.4100000000001</v>
      </c>
      <c r="BI211" s="22">
        <f t="shared" si="1683"/>
        <v>87.080000000000027</v>
      </c>
      <c r="BJ211" s="22">
        <f t="shared" si="1683"/>
        <v>145.53999999999996</v>
      </c>
      <c r="BK211" s="22">
        <f t="shared" si="1683"/>
        <v>172.89999999999978</v>
      </c>
      <c r="BL211" s="22">
        <f t="shared" si="1683"/>
        <v>114.45000000000024</v>
      </c>
      <c r="BM211" s="22">
        <f t="shared" si="1683"/>
        <v>94.929999999999964</v>
      </c>
      <c r="BN211" s="22">
        <f t="shared" si="1683"/>
        <v>166.85999999999939</v>
      </c>
      <c r="BO211" s="22">
        <f t="shared" si="1683"/>
        <v>89.37</v>
      </c>
      <c r="BP211" s="22">
        <f t="shared" si="1683"/>
        <v>86.740000000000009</v>
      </c>
      <c r="BQ211" s="22">
        <f t="shared" si="1683"/>
        <v>136.31999999999988</v>
      </c>
      <c r="BR211" s="22">
        <f t="shared" si="1683"/>
        <v>246.60000000000036</v>
      </c>
      <c r="BS211" s="22">
        <f t="shared" si="1683"/>
        <v>130.40999999999985</v>
      </c>
      <c r="BT211" s="22">
        <f t="shared" si="1683"/>
        <v>113.11000000000017</v>
      </c>
      <c r="BU211" s="22">
        <f t="shared" si="1683"/>
        <v>105.67999999999967</v>
      </c>
      <c r="BV211" s="22">
        <f t="shared" si="1683"/>
        <v>192.14999999999995</v>
      </c>
      <c r="BW211" s="22">
        <f t="shared" si="1683"/>
        <v>117.37000000000015</v>
      </c>
      <c r="BX211" s="22">
        <f t="shared" si="1683"/>
        <v>2.2899999999999743</v>
      </c>
      <c r="BY211" s="22">
        <f t="shared" si="1683"/>
        <v>-99.330000000000197</v>
      </c>
      <c r="BZ211" s="22">
        <f t="shared" si="1683"/>
        <v>154.30000000000024</v>
      </c>
      <c r="CA211" s="22">
        <f t="shared" si="1683"/>
        <v>140.55000000000004</v>
      </c>
      <c r="CB211" s="22">
        <f t="shared" si="1683"/>
        <v>48.359999999999879</v>
      </c>
      <c r="CC211" s="22">
        <f t="shared" si="1683"/>
        <v>-17.570000000000054</v>
      </c>
      <c r="CD211" s="22">
        <f t="shared" si="1683"/>
        <v>128.25000000000031</v>
      </c>
      <c r="CE211" s="22">
        <f t="shared" ref="CE211:CF211" si="1684">CE209+CE210</f>
        <v>347.65999999999906</v>
      </c>
      <c r="CF211" s="22">
        <f t="shared" si="1684"/>
        <v>150.42000000000004</v>
      </c>
      <c r="CG211" s="22">
        <f t="shared" ref="CG211:CH211" si="1685">CG209+CG210</f>
        <v>150.00000000000023</v>
      </c>
      <c r="CH211" s="22">
        <f t="shared" si="1685"/>
        <v>255.06999999999996</v>
      </c>
      <c r="CI211" s="22">
        <f t="shared" ref="CI211:CJ211" si="1686">CI209+CI210</f>
        <v>158.92999999999972</v>
      </c>
      <c r="CJ211" s="22">
        <f t="shared" si="1686"/>
        <v>58.70999999999939</v>
      </c>
      <c r="CK211" s="21">
        <f t="shared" ref="CK211:DB211" si="1687">CK209+CK210</f>
        <v>105.57000000000009</v>
      </c>
      <c r="CL211" s="22">
        <f t="shared" si="1687"/>
        <v>136.76999999999987</v>
      </c>
      <c r="CM211" s="21">
        <f t="shared" si="1687"/>
        <v>164.87282990160577</v>
      </c>
      <c r="CN211" s="21">
        <f t="shared" si="1687"/>
        <v>88.875098620185909</v>
      </c>
      <c r="CO211" s="21">
        <f t="shared" si="1687"/>
        <v>127.90633514852288</v>
      </c>
      <c r="CP211" s="21">
        <f t="shared" si="1687"/>
        <v>239.86933446498381</v>
      </c>
      <c r="CQ211" s="21">
        <f t="shared" si="1687"/>
        <v>229.42924637247197</v>
      </c>
      <c r="CR211" s="21">
        <f t="shared" si="1687"/>
        <v>116.6555465806421</v>
      </c>
      <c r="CS211" s="21">
        <f t="shared" si="1687"/>
        <v>145.36337139008785</v>
      </c>
      <c r="CT211" s="21">
        <f t="shared" si="1687"/>
        <v>279.19994267641715</v>
      </c>
      <c r="CU211" s="21">
        <f t="shared" si="1687"/>
        <v>268.95860913090132</v>
      </c>
      <c r="CV211" s="21">
        <f t="shared" si="1687"/>
        <v>136.23222969765558</v>
      </c>
      <c r="CW211" s="21">
        <f t="shared" si="1687"/>
        <v>165.11516576181043</v>
      </c>
      <c r="CX211" s="21">
        <f t="shared" si="1687"/>
        <v>315.70825421191159</v>
      </c>
      <c r="CY211" s="21">
        <f t="shared" si="1687"/>
        <v>310.35225849608736</v>
      </c>
      <c r="CZ211" s="21">
        <f t="shared" si="1687"/>
        <v>156.1497378224968</v>
      </c>
      <c r="DA211" s="21">
        <f t="shared" si="1687"/>
        <v>188.46918809188352</v>
      </c>
      <c r="DB211" s="21">
        <f t="shared" si="1687"/>
        <v>361.64179459691337</v>
      </c>
      <c r="DE211" s="126"/>
      <c r="DF211" s="22">
        <v>292.13133932234194</v>
      </c>
    </row>
    <row r="212" spans="1:110" s="23" customFormat="1" x14ac:dyDescent="0.2">
      <c r="A212" s="23" t="s">
        <v>65</v>
      </c>
      <c r="C212" s="23">
        <f t="shared" ref="C212:AA212" si="1688">B164-C164+B179+B180-C179-C180</f>
        <v>-51.557299999999948</v>
      </c>
      <c r="D212" s="23">
        <f t="shared" si="1688"/>
        <v>-113.67469999999999</v>
      </c>
      <c r="E212" s="23">
        <f>D164-E164+D179+D180-E179-E180</f>
        <v>-39.386200000000031</v>
      </c>
      <c r="F212" s="23">
        <f t="shared" si="1688"/>
        <v>-112.75179999999997</v>
      </c>
      <c r="G212" s="23">
        <f t="shared" si="1688"/>
        <v>-111.20349999999996</v>
      </c>
      <c r="H212" s="23">
        <f t="shared" si="1688"/>
        <v>-288.71799999999996</v>
      </c>
      <c r="I212" s="23">
        <f t="shared" si="1688"/>
        <v>-180.6572000000001</v>
      </c>
      <c r="J212" s="23">
        <f>I164-J164+I179+I180-J179-J180</f>
        <v>-932.42449999999974</v>
      </c>
      <c r="K212" s="23">
        <f>J164-K164+J179+J180-K179-K180</f>
        <v>-62.04310000000028</v>
      </c>
      <c r="L212" s="23">
        <f t="shared" si="1688"/>
        <v>-697.43330000000026</v>
      </c>
      <c r="M212" s="23">
        <f t="shared" si="1688"/>
        <v>-206.35119999999975</v>
      </c>
      <c r="N212" s="23">
        <f t="shared" si="1688"/>
        <v>-227.28530000000032</v>
      </c>
      <c r="O212" s="23">
        <f t="shared" si="1688"/>
        <v>67.752300000000091</v>
      </c>
      <c r="P212" s="23">
        <f t="shared" si="1688"/>
        <v>171.98150000000055</v>
      </c>
      <c r="Q212" s="23">
        <f t="shared" si="1688"/>
        <v>-164.24199999999988</v>
      </c>
      <c r="R212" s="23">
        <f t="shared" si="1688"/>
        <v>-137.26820000000066</v>
      </c>
      <c r="S212" s="23">
        <f t="shared" si="1688"/>
        <v>-388.80000000000007</v>
      </c>
      <c r="T212" s="23">
        <f t="shared" si="1688"/>
        <v>-491.81999999999988</v>
      </c>
      <c r="U212" s="23">
        <f t="shared" si="1688"/>
        <v>-646.54999999999973</v>
      </c>
      <c r="V212" s="23">
        <f t="shared" si="1688"/>
        <v>342.79999999999899</v>
      </c>
      <c r="W212" s="23">
        <f t="shared" si="1688"/>
        <v>-350.47999999999945</v>
      </c>
      <c r="X212" s="23">
        <f t="shared" si="1688"/>
        <v>-729.84</v>
      </c>
      <c r="Y212" s="23">
        <f t="shared" si="1688"/>
        <v>-867.22000000000014</v>
      </c>
      <c r="Z212" s="23">
        <f t="shared" si="1688"/>
        <v>-1415.4100000000003</v>
      </c>
      <c r="AA212" s="23">
        <f t="shared" si="1688"/>
        <v>-1734.5699999999988</v>
      </c>
      <c r="AB212" s="24">
        <f t="shared" ref="AB212" si="1689">AA164-AB164+AA179+AA180-AB179-AB180</f>
        <v>-2000.7039999999997</v>
      </c>
      <c r="AC212" s="24">
        <f t="shared" ref="AC212" si="1690">AB164-AC164+AB179+AB180-AC179-AC180</f>
        <v>-1772.2025999999987</v>
      </c>
      <c r="AD212" s="24">
        <f t="shared" ref="AD212" si="1691">AC164-AD164+AC179+AC180-AD179-AD180</f>
        <v>-2038.0329900000033</v>
      </c>
      <c r="AE212" s="24">
        <f t="shared" ref="AE212" si="1692">AD164-AE164+AD179+AD180-AE179-AE180</f>
        <v>-2343.7379384999986</v>
      </c>
      <c r="AI212" s="23">
        <f>AH164-AI164+AH179+AH180-AI179-AJ180</f>
        <v>0</v>
      </c>
      <c r="AJ212" s="23">
        <f t="shared" ref="AJ212:AL212" si="1693">AI164-AJ164+AI179+AI180-AJ179-AK180</f>
        <v>-3377.2500000000005</v>
      </c>
      <c r="AK212" s="23">
        <f t="shared" si="1693"/>
        <v>20.630525809582654</v>
      </c>
      <c r="AL212" s="23">
        <f t="shared" si="1693"/>
        <v>-150.71052580958252</v>
      </c>
      <c r="AM212" s="23">
        <f t="shared" ref="AM212" si="1694">AL164-AM164+AL179+AL180-AM179-AM180</f>
        <v>-9.0699539793749864</v>
      </c>
      <c r="AN212" s="23">
        <f t="shared" ref="AN212" si="1695">AM164-AN164+AM179+AM180-AN179-AN180</f>
        <v>396.63995397937515</v>
      </c>
      <c r="AO212" s="23">
        <f t="shared" ref="AO212" si="1696">AN164-AO164+AN179+AN180-AO179-AO180</f>
        <v>-71.524929710420565</v>
      </c>
      <c r="AP212" s="23">
        <f t="shared" ref="AP212" si="1697">AO164-AP164+AO179+AO180-AP179-AP180</f>
        <v>-248.28507028957932</v>
      </c>
      <c r="AQ212" s="23">
        <f t="shared" ref="AQ212" si="1698">AP164-AQ164+AP179+AP180-AQ179-AQ180</f>
        <v>-450.23841749782923</v>
      </c>
      <c r="AR212" s="23">
        <f t="shared" ref="AR212" si="1699">AQ164-AR164+AQ179+AQ180-AR179-AR180</f>
        <v>644.90841749782942</v>
      </c>
      <c r="AS212" s="23">
        <f t="shared" ref="AS212" si="1700">AR164-AS164+AR179+AR180-AS179-AS180</f>
        <v>67.085957446808152</v>
      </c>
      <c r="AT212" s="23">
        <f t="shared" ref="AT212" si="1701">AS164-AT164+AS179+AS180-AT179-AT180</f>
        <v>-89.795957446808501</v>
      </c>
      <c r="AU212" s="23">
        <f t="shared" ref="AU212" si="1702">AT164-AU164+AT179+AT180-AU179-AU180</f>
        <v>-101.38838594065646</v>
      </c>
      <c r="AV212" s="23">
        <f t="shared" ref="AV212" si="1703">AU164-AV164+AU179+AU180-AV179-AV180</f>
        <v>47.17838594065632</v>
      </c>
      <c r="AW212" s="23">
        <f t="shared" ref="AW212" si="1704">AV164-AW164+AV179+AV180-AW179-AW180</f>
        <v>-428.59337944739491</v>
      </c>
      <c r="AX212" s="23">
        <f t="shared" ref="AX212" si="1705">AW164-AX164+AW179+AW180-AX179-AX180</f>
        <v>318.56337944739533</v>
      </c>
      <c r="AY212" s="23">
        <f t="shared" ref="AY212" si="1706">AX164-AY164+AX179+AX180-AY179-AY180</f>
        <v>14.953690108191946</v>
      </c>
      <c r="AZ212" s="23">
        <f t="shared" ref="AZ212" si="1707">AY164-AZ164+AY179+AY180-AZ179-AZ180</f>
        <v>329.13630989180763</v>
      </c>
      <c r="BA212" s="23">
        <f t="shared" ref="BA212" si="1708">AZ164-BA164+AZ179+AZ180-BA179-BA180</f>
        <v>-299.64325963360716</v>
      </c>
      <c r="BB212" s="23">
        <f t="shared" ref="BB212" si="1709">BA164-BB164+BA179+BA180-BB179-BB180</f>
        <v>-181.69674036639236</v>
      </c>
      <c r="BC212" s="23">
        <f t="shared" ref="BC212" si="1710">BB164-BC164+BB179+BB180-BC179-BC180</f>
        <v>130.36251474546498</v>
      </c>
      <c r="BD212" s="23">
        <f t="shared" ref="BD212" si="1711">BC164-BD164+BC179+BC180-BD179-BD180</f>
        <v>92.01748525453479</v>
      </c>
      <c r="BE212" s="23">
        <f t="shared" ref="BE212" si="1712">BD164-BE164+BD179+BD180-BE179-BE180</f>
        <v>-644.14874130663293</v>
      </c>
      <c r="BF212" s="23">
        <f t="shared" ref="BF212" si="1713">BE164-BF164+BE179+BE180-BF179-BF180</f>
        <v>32.968741306632687</v>
      </c>
      <c r="BG212" s="23">
        <f t="shared" ref="BG212" si="1714">BF164-BG164+BF179+BF180-BG179-BG180</f>
        <v>-116.01160512209617</v>
      </c>
      <c r="BH212" s="23">
        <f t="shared" ref="BH212" si="1715">BG164-BH164+BG179+BG180-BH179-BH180</f>
        <v>-374.46839487790453</v>
      </c>
      <c r="BI212" s="23">
        <f t="shared" ref="BI212" si="1716">BH164-BI164+BH179+BH180-BI179-BI180</f>
        <v>-126.51680109191147</v>
      </c>
      <c r="BJ212" s="23">
        <f t="shared" ref="BJ212" si="1717">BI164-BJ164+BI179+BI180-BJ179-BJ180</f>
        <v>125.17680109191231</v>
      </c>
      <c r="BK212" s="23">
        <f t="shared" ref="BK212" si="1718">BJ164-BK164+BJ179+BJ180-BK179-BK180</f>
        <v>-829.30161466715799</v>
      </c>
      <c r="BL212" s="23">
        <f t="shared" ref="BL212" si="1719">BK164-BL164+BK179+BK180-BL179-BL180</f>
        <v>1133.1716146671581</v>
      </c>
      <c r="BM212" s="23">
        <f t="shared" ref="BM212" si="1720">BL164-BM164+BL179+BL180-BM179-BM180</f>
        <v>-121.07037519163941</v>
      </c>
      <c r="BN212" s="23">
        <f t="shared" ref="BN212" si="1721">BM164-BN164+BM179+BM180-BN179-BN180</f>
        <v>-842.37962480836029</v>
      </c>
      <c r="BO212" s="23">
        <f t="shared" ref="BO212" si="1722">BN164-BO164+BN179+BN180-BO179-BO180</f>
        <v>1250.3921034345781</v>
      </c>
      <c r="BP212" s="23">
        <f t="shared" ref="BP212" si="1723">BO164-BP164+BO179+BO180-BP179-BP180</f>
        <v>-752.36210343457799</v>
      </c>
      <c r="BQ212" s="23">
        <f t="shared" ref="BQ212" si="1724">BP164-BQ164+BP179+BP180-BQ179-BQ180</f>
        <v>-681.75138167115256</v>
      </c>
      <c r="BR212" s="23">
        <f t="shared" ref="BR212" si="1725">BQ164-BR164+BQ179+BQ180-BR179-BR180</f>
        <v>526.2613816711513</v>
      </c>
      <c r="BS212" s="23">
        <f t="shared" ref="BS212" si="1726">BR164-BS164+BR179+BR180-BS179-BS180</f>
        <v>1006.5981399576121</v>
      </c>
      <c r="BT212" s="23">
        <f t="shared" ref="BT212" si="1727">BS164-BT164+BS179+BS180-BT179-BT180</f>
        <v>-670.53813995761129</v>
      </c>
      <c r="BU212" s="23">
        <f t="shared" ref="BU212" si="1728">BT164-BU164+BT179+BT180-BU179-BU180</f>
        <v>-186.08271929097373</v>
      </c>
      <c r="BV212" s="23">
        <f t="shared" ref="BV212" si="1729">BU164-BV164+BU179+BU180-BV179-BV180</f>
        <v>-507.59728070902685</v>
      </c>
      <c r="BW212" s="23">
        <f t="shared" ref="BW212" si="1730">BV164-BW164+BV179+BV180-BW179-BW180</f>
        <v>-143.42750084377712</v>
      </c>
      <c r="BX212" s="23">
        <f t="shared" ref="BX212" si="1731">BW164-BX164+BW179+BW180-BX179-BX180</f>
        <v>175.12750084377731</v>
      </c>
      <c r="BY212" s="23">
        <f t="shared" ref="BY212" si="1732">BX164-BY164+BX179+BX180-BY179-BY180</f>
        <v>-450.85898657513189</v>
      </c>
      <c r="BZ212" s="23">
        <f t="shared" ref="BZ212" si="1733">BY164-BZ164+BY179+BY180-BZ179-BZ180</f>
        <v>-325.94101342486761</v>
      </c>
      <c r="CA212" s="23">
        <f t="shared" ref="CA212" si="1734">BZ164-CA164+BZ179+BZ180-CA179-CA180</f>
        <v>-515.79629640151506</v>
      </c>
      <c r="CB212" s="23">
        <f t="shared" ref="CB212" si="1735">CA164-CB164+CA179+CA180-CB179-CB180</f>
        <v>918.90629640151553</v>
      </c>
      <c r="CC212" s="23">
        <f t="shared" ref="CC212" si="1736">CB164-CC164+CB179+CB180-CC179-CC180</f>
        <v>-452.05497232581001</v>
      </c>
      <c r="CD212" s="23">
        <f t="shared" ref="CD212" si="1737">CC164-CD164+CC179+CC180-CD179-CD180</f>
        <v>-817.335027674191</v>
      </c>
      <c r="CE212" s="23">
        <f t="shared" ref="CE212" si="1738">CD164-CE164+CD179+CD180-CE179-CE180</f>
        <v>-775.0067612208768</v>
      </c>
      <c r="CF212" s="23">
        <f t="shared" ref="CF212" si="1739">CE164-CF164+CE179+CE180-CF179-CF180</f>
        <v>1071.6867612208773</v>
      </c>
      <c r="CG212" s="23">
        <f t="shared" ref="CG212" si="1740">CF164-CG164+CF179+CF180-CG179-CG180</f>
        <v>-744.31698554089053</v>
      </c>
      <c r="CH212" s="23">
        <f t="shared" ref="CH212:CL212" si="1741">CG164-CH164+CG179+CG180-CH179-CH180</f>
        <v>-933.02301445911053</v>
      </c>
      <c r="CI212" s="23">
        <f t="shared" si="1741"/>
        <v>1413.7030520014432</v>
      </c>
      <c r="CJ212" s="23">
        <f t="shared" si="1741"/>
        <v>-1642.3230520014422</v>
      </c>
      <c r="CK212" s="24">
        <f t="shared" ref="CK212" si="1742">CJ164-CK164+CJ179+CJ180-CK179-CK180</f>
        <v>-2576.9554547313546</v>
      </c>
      <c r="CL212" s="23">
        <f t="shared" si="1741"/>
        <v>1039.4154547313547</v>
      </c>
      <c r="CM212" s="24">
        <f t="shared" ref="CM212" si="1743">CL164-CM164+CL179+CL180-CM179-CM180</f>
        <v>325.37839989934037</v>
      </c>
      <c r="CN212" s="24">
        <f t="shared" ref="CN212" si="1744">CM164-CN164+CM179+CM180-CN179-CN180</f>
        <v>3846.335503043274</v>
      </c>
      <c r="CO212" s="24">
        <f t="shared" ref="CO212" si="1745">CN164-CO164+CN179+CN180-CO179-CO180</f>
        <v>-1748.6968940818315</v>
      </c>
      <c r="CP212" s="24">
        <f t="shared" ref="CP212" si="1746">CO164-CP164+CO179+CO180-CP179-CP180</f>
        <v>-4392.1310088607825</v>
      </c>
      <c r="CQ212" s="24">
        <f t="shared" ref="CQ212" si="1747">CP164-CQ164+CP179+CP180-CQ179-CQ180</f>
        <v>866.46365988424077</v>
      </c>
      <c r="CR212" s="24">
        <f t="shared" ref="CR212" si="1748">CQ164-CR164+CQ179+CQ180-CR179-CR180</f>
        <v>4423.2858284997656</v>
      </c>
      <c r="CS212" s="24">
        <f t="shared" ref="CS212" si="1749">CR164-CS164+CR179+CR180-CS179-CS180</f>
        <v>-2011.0014281941058</v>
      </c>
      <c r="CT212" s="24">
        <f t="shared" ref="CT212" si="1750">CS164-CT164+CS179+CS180-CT179-CT180</f>
        <v>-5050.9506601898993</v>
      </c>
      <c r="CU212" s="24">
        <f t="shared" ref="CU212" si="1751">CT164-CU164+CT179+CT180-CU179-CU180</f>
        <v>996.43320886687434</v>
      </c>
      <c r="CV212" s="24">
        <f t="shared" ref="CV212" si="1752">CU164-CV164+CU179+CU180-CV179-CV180</f>
        <v>5086.7787027747327</v>
      </c>
      <c r="CW212" s="24">
        <f t="shared" ref="CW212" si="1753">CV164-CW164+CV179+CV180-CW179-CW180</f>
        <v>-2312.6516424232232</v>
      </c>
      <c r="CX212" s="24">
        <f t="shared" ref="CX212" si="1754">CW164-CX164+CW179+CW180-CX179-CX180</f>
        <v>-5808.5932592183872</v>
      </c>
      <c r="CY212" s="24">
        <f t="shared" ref="CY212" si="1755">CX164-CY164+CX179+CX180-CY179-CY180</f>
        <v>1145.8981901969091</v>
      </c>
      <c r="CZ212" s="24">
        <f t="shared" ref="CZ212" si="1756">CY164-CZ164+CY179+CY180-CZ179-CZ180</f>
        <v>5849.7955081909422</v>
      </c>
      <c r="DA212" s="24">
        <f t="shared" ref="DA212" si="1757">CZ164-DA164+CZ179+CZ180-DA179-DA180</f>
        <v>-2659.5493887867033</v>
      </c>
      <c r="DB212" s="24">
        <f t="shared" ref="DB212" si="1758">DA164-DB164+DA179+DA180-DB179-DB180</f>
        <v>-6679.8822481011466</v>
      </c>
      <c r="DE212" s="123"/>
      <c r="DF212" s="23">
        <v>-7827.161752088341</v>
      </c>
    </row>
    <row r="213" spans="1:110" s="23" customFormat="1" x14ac:dyDescent="0.2">
      <c r="A213" s="23" t="s">
        <v>73</v>
      </c>
      <c r="C213" s="23">
        <f t="shared" ref="C213:AA213" si="1759">B172-C172</f>
        <v>-87.772700000000043</v>
      </c>
      <c r="D213" s="23">
        <f t="shared" si="1759"/>
        <v>-146.94120000000004</v>
      </c>
      <c r="E213" s="23">
        <f>D172-E172</f>
        <v>-34.406700000000001</v>
      </c>
      <c r="F213" s="23">
        <f t="shared" si="1759"/>
        <v>-101.88959999999997</v>
      </c>
      <c r="G213" s="23">
        <f t="shared" si="1759"/>
        <v>-131.50660000000005</v>
      </c>
      <c r="H213" s="23">
        <f t="shared" si="1759"/>
        <v>-227.82549999999992</v>
      </c>
      <c r="I213" s="23">
        <f t="shared" si="1759"/>
        <v>-360.90010000000007</v>
      </c>
      <c r="J213" s="23">
        <f>I172-J172</f>
        <v>-757.13509999999997</v>
      </c>
      <c r="K213" s="23">
        <f>J172-K172</f>
        <v>-11.531800000000203</v>
      </c>
      <c r="L213" s="23">
        <f t="shared" si="1759"/>
        <v>-375.77590000000009</v>
      </c>
      <c r="M213" s="23">
        <f t="shared" si="1759"/>
        <v>186.62740000000031</v>
      </c>
      <c r="N213" s="23">
        <f t="shared" si="1759"/>
        <v>-227.82049999999981</v>
      </c>
      <c r="O213" s="23">
        <f t="shared" si="1759"/>
        <v>18.078699999999571</v>
      </c>
      <c r="P213" s="23">
        <f t="shared" si="1759"/>
        <v>0.20530000000053406</v>
      </c>
      <c r="Q213" s="23">
        <f t="shared" si="1759"/>
        <v>-114.76730000000043</v>
      </c>
      <c r="R213" s="23">
        <f t="shared" si="1759"/>
        <v>-201.81389999999965</v>
      </c>
      <c r="S213" s="23">
        <f t="shared" si="1759"/>
        <v>-254.41000000000031</v>
      </c>
      <c r="T213" s="23">
        <f t="shared" si="1759"/>
        <v>161.17000000000007</v>
      </c>
      <c r="U213" s="23">
        <f t="shared" si="1759"/>
        <v>-564.08999999999969</v>
      </c>
      <c r="V213" s="23">
        <f t="shared" si="1759"/>
        <v>254.66999999999916</v>
      </c>
      <c r="W213" s="23">
        <f t="shared" si="1759"/>
        <v>-470.08999999999969</v>
      </c>
      <c r="X213" s="23">
        <f t="shared" si="1759"/>
        <v>-328.52999999999975</v>
      </c>
      <c r="Y213" s="23">
        <f t="shared" si="1759"/>
        <v>-1245.2799999999997</v>
      </c>
      <c r="Z213" s="23">
        <f t="shared" si="1759"/>
        <v>-280.77999999999975</v>
      </c>
      <c r="AA213" s="23">
        <f t="shared" si="1759"/>
        <v>-1440.5299999999997</v>
      </c>
      <c r="AB213" s="24">
        <f t="shared" ref="AB213" si="1760">AA172-AB172</f>
        <v>-1426.126000000002</v>
      </c>
      <c r="AC213" s="24">
        <f t="shared" ref="AC213" si="1761">AB172-AC172</f>
        <v>-1283.5133999999998</v>
      </c>
      <c r="AD213" s="24">
        <f t="shared" ref="AD213" si="1762">AC172-AD172</f>
        <v>-1476.0404099999996</v>
      </c>
      <c r="AE213" s="24">
        <f t="shared" ref="AE213" si="1763">AD172-AE172</f>
        <v>-1697.4464714999995</v>
      </c>
      <c r="AI213" s="23">
        <f t="shared" ref="AI213" si="1764">AH172-AI172</f>
        <v>0</v>
      </c>
      <c r="AJ213" s="23">
        <f t="shared" ref="AJ213" si="1765">AI172-AJ172</f>
        <v>-2299.54</v>
      </c>
      <c r="AK213" s="23">
        <f t="shared" ref="AK213" si="1766">AJ172-AK172</f>
        <v>0</v>
      </c>
      <c r="AL213" s="23">
        <f t="shared" ref="AL213" si="1767">AK172-AL172</f>
        <v>-366.13999999999987</v>
      </c>
      <c r="AM213" s="23">
        <f t="shared" ref="AM213" si="1768">AL172-AM172</f>
        <v>-6.6628028125801393</v>
      </c>
      <c r="AN213" s="23">
        <f t="shared" ref="AN213" si="1769">AM172-AN172</f>
        <v>364.33280281258021</v>
      </c>
      <c r="AO213" s="23">
        <f t="shared" ref="AO213" si="1770">AN172-AO172</f>
        <v>-51.078546361507961</v>
      </c>
      <c r="AP213" s="23">
        <f t="shared" ref="AP213" si="1771">AO172-AP172</f>
        <v>-288.47145363849222</v>
      </c>
      <c r="AQ213" s="23">
        <f t="shared" ref="AQ213" si="1772">AP172-AQ172</f>
        <v>-327.53654418550605</v>
      </c>
      <c r="AR213" s="23">
        <f t="shared" ref="AR213" si="1773">AQ172-AR172</f>
        <v>701.06654418550625</v>
      </c>
      <c r="AS213" s="23">
        <f t="shared" ref="AS213" si="1774">AR172-AS172</f>
        <v>45.979234042552889</v>
      </c>
      <c r="AT213" s="23">
        <f t="shared" ref="AT213" si="1775">AS172-AT172</f>
        <v>-418.51923404255331</v>
      </c>
      <c r="AU213" s="23">
        <f t="shared" ref="AU213" si="1776">AT172-AU172</f>
        <v>-70.856400128861424</v>
      </c>
      <c r="AV213" s="23">
        <f t="shared" ref="AV213" si="1777">AU172-AV172</f>
        <v>259.31640012886191</v>
      </c>
      <c r="AW213" s="23">
        <f t="shared" ref="AW213" si="1778">AV172-AW172</f>
        <v>-286.34124775480541</v>
      </c>
      <c r="AX213" s="23">
        <f t="shared" ref="AX213" si="1779">AW172-AX172</f>
        <v>-16.498752245194737</v>
      </c>
      <c r="AY213" s="23">
        <f t="shared" ref="AY213" si="1780">AX172-AY172</f>
        <v>12.500938948995554</v>
      </c>
      <c r="AZ213" s="23">
        <f t="shared" ref="AZ213" si="1781">AY172-AZ172</f>
        <v>417.36906105100434</v>
      </c>
      <c r="BA213" s="23">
        <f t="shared" ref="BA213" si="1782">AZ172-BA172</f>
        <v>-265.76893872394203</v>
      </c>
      <c r="BB213" s="23">
        <f t="shared" ref="BB213" si="1783">BA172-BB172</f>
        <v>-365.91106127605781</v>
      </c>
      <c r="BC213" s="23">
        <f t="shared" ref="BC213" si="1784">BB172-BC172</f>
        <v>110.12356786800501</v>
      </c>
      <c r="BD213" s="23">
        <f t="shared" ref="BD213" si="1785">BC172-BD172</f>
        <v>260.18643213199493</v>
      </c>
      <c r="BE213" s="23">
        <f t="shared" ref="BE213" si="1786">BD172-BE172</f>
        <v>-482.31939346586842</v>
      </c>
      <c r="BF213" s="23">
        <f t="shared" ref="BF213" si="1787">BE172-BF172</f>
        <v>-142.40060653413138</v>
      </c>
      <c r="BG213" s="23">
        <f t="shared" ref="BG213" si="1788">BF172-BG172</f>
        <v>-105.94217923432143</v>
      </c>
      <c r="BH213" s="23">
        <f t="shared" ref="BH213" si="1789">BG172-BH172</f>
        <v>398.7721792343209</v>
      </c>
      <c r="BI213" s="23">
        <f t="shared" ref="BI213" si="1790">BH172-BI172</f>
        <v>-90.783119969606105</v>
      </c>
      <c r="BJ213" s="23">
        <f t="shared" ref="BJ213" si="1791">BI172-BJ172</f>
        <v>-40.876880030393295</v>
      </c>
      <c r="BK213" s="23">
        <f t="shared" ref="BK213" si="1792">BJ172-BK172</f>
        <v>-680.47134455411015</v>
      </c>
      <c r="BL213" s="23">
        <f t="shared" ref="BL213" si="1793">BK172-BL172</f>
        <v>1036.2113445541099</v>
      </c>
      <c r="BM213" s="23">
        <f t="shared" ref="BM213" si="1794">BL172-BM172</f>
        <v>-95.892398343109107</v>
      </c>
      <c r="BN213" s="23">
        <f t="shared" ref="BN213" si="1795">BM172-BN172</f>
        <v>-823.93760165689082</v>
      </c>
      <c r="BO213" s="23">
        <f t="shared" ref="BO213" si="1796">BN172-BO172</f>
        <v>1020.0160861492222</v>
      </c>
      <c r="BP213" s="23">
        <f t="shared" ref="BP213" si="1797">BO172-BP172</f>
        <v>-23.486086149222501</v>
      </c>
      <c r="BQ213" s="23">
        <f t="shared" ref="BQ213" si="1798">BP172-BQ172</f>
        <v>-441.12558076078676</v>
      </c>
      <c r="BR213" s="23">
        <f t="shared" ref="BR213" si="1799">BQ172-BR172</f>
        <v>-309.94441923921386</v>
      </c>
      <c r="BS213" s="23">
        <f t="shared" ref="BS213" si="1800">BR172-BS172</f>
        <v>805.31314866913635</v>
      </c>
      <c r="BT213" s="23">
        <f t="shared" ref="BT213" si="1801">BS172-BT172</f>
        <v>-72.603148669135862</v>
      </c>
      <c r="BU213" s="23">
        <f t="shared" ref="BU213" si="1802">BT172-BU172</f>
        <v>-111.57785782792962</v>
      </c>
      <c r="BV213" s="23">
        <f t="shared" ref="BV213" si="1803">BU172-BV172</f>
        <v>-1099.6521421720704</v>
      </c>
      <c r="BW213" s="23">
        <f t="shared" ref="BW213" si="1804">BV172-BW172</f>
        <v>-111.89715328248167</v>
      </c>
      <c r="BX213" s="23">
        <f t="shared" ref="BX213" si="1805">BW172-BX172</f>
        <v>707.73715328248136</v>
      </c>
      <c r="BY213" s="23">
        <f t="shared" ref="BY213" si="1806">BX172-BY172</f>
        <v>-304.92224999434438</v>
      </c>
      <c r="BZ213" s="23">
        <f t="shared" ref="BZ213" si="1807">BY172-BZ172</f>
        <v>-601.80775000565609</v>
      </c>
      <c r="CA213" s="23">
        <f t="shared" ref="CA213" si="1808">BZ172-CA172</f>
        <v>-410.67053835227216</v>
      </c>
      <c r="CB213" s="23">
        <f t="shared" ref="CB213" si="1809">CA172-CB172</f>
        <v>884.86053835227267</v>
      </c>
      <c r="CC213" s="23">
        <f t="shared" ref="CC213" si="1810">CB172-CC172</f>
        <v>-366.2880579653247</v>
      </c>
      <c r="CD213" s="23">
        <f t="shared" ref="CD213" si="1811">CC172-CD172</f>
        <v>-1353.1819420346746</v>
      </c>
      <c r="CE213" s="23">
        <f t="shared" ref="CE213" si="1812">CD172-CE172</f>
        <v>-645.1056568353124</v>
      </c>
      <c r="CF213" s="23">
        <f t="shared" ref="CF213" si="1813">CE172-CF172</f>
        <v>1461.0256568353116</v>
      </c>
      <c r="CG213" s="23">
        <f t="shared" ref="CG213" si="1814">CF172-CG172</f>
        <v>-584.01423384279406</v>
      </c>
      <c r="CH213" s="23">
        <f t="shared" ref="CH213:CL213" si="1815">CG172-CH172</f>
        <v>-512.68576615720485</v>
      </c>
      <c r="CI213" s="23">
        <f t="shared" si="1815"/>
        <v>989.39061029121785</v>
      </c>
      <c r="CJ213" s="23">
        <f t="shared" si="1815"/>
        <v>12.139389708781891</v>
      </c>
      <c r="CK213" s="24">
        <f t="shared" ref="CK213" si="1816">CJ172-CK172</f>
        <v>-1445.0292105464969</v>
      </c>
      <c r="CL213" s="23">
        <f t="shared" si="1815"/>
        <v>-997.03078945350353</v>
      </c>
      <c r="CM213" s="24">
        <f t="shared" ref="CM213" si="1817">CL172-CM172</f>
        <v>235.6545105742216</v>
      </c>
      <c r="CN213" s="24">
        <f t="shared" ref="CN213" si="1818">CM172-CN172</f>
        <v>2785.6990837570056</v>
      </c>
      <c r="CO213" s="24">
        <f t="shared" ref="CO213" si="1819">CN172-CO172</f>
        <v>-1266.4894499604115</v>
      </c>
      <c r="CP213" s="24">
        <f t="shared" ref="CP213" si="1820">CO172-CP172</f>
        <v>-3180.9901443708168</v>
      </c>
      <c r="CQ213" s="24">
        <f t="shared" ref="CQ213" si="1821">CP172-CQ172</f>
        <v>627.53418716035594</v>
      </c>
      <c r="CR213" s="24">
        <f t="shared" ref="CR213" si="1822">CQ172-CR172</f>
        <v>3203.553946320556</v>
      </c>
      <c r="CS213" s="24">
        <f t="shared" ref="CS213" si="1823">CR172-CS172</f>
        <v>-1456.4628674544738</v>
      </c>
      <c r="CT213" s="24">
        <f t="shared" ref="CT213" si="1824">CS172-CT172</f>
        <v>-3658.1386660264379</v>
      </c>
      <c r="CU213" s="24">
        <f t="shared" ref="CU213" si="1825">CT172-CU172</f>
        <v>721.6643152344077</v>
      </c>
      <c r="CV213" s="24">
        <f t="shared" ref="CV213" si="1826">CU172-CV172</f>
        <v>3684.0870382686408</v>
      </c>
      <c r="CW213" s="24">
        <f t="shared" ref="CW213" si="1827">CV172-CW172</f>
        <v>-1674.9322975726445</v>
      </c>
      <c r="CX213" s="24">
        <f t="shared" ref="CX213" si="1828">CW172-CX172</f>
        <v>-4206.8594659304035</v>
      </c>
      <c r="CY213" s="24">
        <f t="shared" ref="CY213" si="1829">CX172-CY172</f>
        <v>829.9139625195694</v>
      </c>
      <c r="CZ213" s="24">
        <f t="shared" ref="CZ213" si="1830">CY172-CZ172</f>
        <v>4236.7000940089356</v>
      </c>
      <c r="DA213" s="24">
        <f t="shared" ref="DA213" si="1831">CZ172-DA172</f>
        <v>-1926.1721422085393</v>
      </c>
      <c r="DB213" s="24">
        <f t="shared" ref="DB213" si="1832">DA172-DB172</f>
        <v>-4837.8883858199652</v>
      </c>
      <c r="DE213" s="123"/>
      <c r="DF213" s="23">
        <v>-4389.0853241850282</v>
      </c>
    </row>
    <row r="214" spans="1:110" s="22" customFormat="1" x14ac:dyDescent="0.2">
      <c r="A214" s="22" t="s">
        <v>90</v>
      </c>
      <c r="C214" s="22">
        <f t="shared" ref="C214:W214" si="1833">C212-C213</f>
        <v>36.215400000000095</v>
      </c>
      <c r="D214" s="22">
        <f t="shared" si="1833"/>
        <v>33.26650000000005</v>
      </c>
      <c r="E214" s="22">
        <f t="shared" si="1833"/>
        <v>-4.97950000000003</v>
      </c>
      <c r="F214" s="22">
        <f t="shared" si="1833"/>
        <v>-10.862200000000001</v>
      </c>
      <c r="G214" s="22">
        <f t="shared" si="1833"/>
        <v>20.303100000000086</v>
      </c>
      <c r="H214" s="22">
        <f t="shared" si="1833"/>
        <v>-60.892500000000041</v>
      </c>
      <c r="I214" s="22">
        <f t="shared" si="1833"/>
        <v>180.24289999999996</v>
      </c>
      <c r="J214" s="22">
        <f>J212-J213</f>
        <v>-175.28939999999977</v>
      </c>
      <c r="K214" s="22">
        <f t="shared" si="1833"/>
        <v>-50.511300000000077</v>
      </c>
      <c r="L214" s="22">
        <f t="shared" si="1833"/>
        <v>-321.65740000000017</v>
      </c>
      <c r="M214" s="22">
        <f t="shared" si="1833"/>
        <v>-392.97860000000003</v>
      </c>
      <c r="N214" s="22">
        <f t="shared" si="1833"/>
        <v>0.53519999999949164</v>
      </c>
      <c r="O214" s="22">
        <f t="shared" si="1833"/>
        <v>49.673600000000519</v>
      </c>
      <c r="P214" s="22">
        <f t="shared" si="1833"/>
        <v>171.77620000000002</v>
      </c>
      <c r="Q214" s="22">
        <f t="shared" si="1833"/>
        <v>-49.474699999999444</v>
      </c>
      <c r="R214" s="22">
        <f t="shared" si="1833"/>
        <v>64.545699999998988</v>
      </c>
      <c r="S214" s="22">
        <f t="shared" si="1833"/>
        <v>-134.38999999999976</v>
      </c>
      <c r="T214" s="22">
        <f t="shared" si="1833"/>
        <v>-652.99</v>
      </c>
      <c r="U214" s="22">
        <f t="shared" si="1833"/>
        <v>-82.460000000000036</v>
      </c>
      <c r="V214" s="22">
        <f t="shared" si="1833"/>
        <v>88.129999999999825</v>
      </c>
      <c r="W214" s="22">
        <f t="shared" si="1833"/>
        <v>119.61000000000024</v>
      </c>
      <c r="X214" s="22">
        <f t="shared" ref="X214:Y214" si="1834">X212-X213</f>
        <v>-401.31000000000029</v>
      </c>
      <c r="Y214" s="22">
        <f t="shared" si="1834"/>
        <v>378.0599999999996</v>
      </c>
      <c r="Z214" s="22">
        <f t="shared" ref="Z214:AA214" si="1835">Z212-Z213</f>
        <v>-1134.6300000000006</v>
      </c>
      <c r="AA214" s="22">
        <f t="shared" si="1835"/>
        <v>-294.03999999999905</v>
      </c>
      <c r="AB214" s="21">
        <f t="shared" ref="AA214:AD214" si="1836">AB212-AB213</f>
        <v>-574.5779999999977</v>
      </c>
      <c r="AC214" s="21">
        <f t="shared" si="1836"/>
        <v>-488.68919999999889</v>
      </c>
      <c r="AD214" s="21">
        <f t="shared" si="1836"/>
        <v>-561.99258000000373</v>
      </c>
      <c r="AE214" s="21">
        <f t="shared" ref="AE214" si="1837">AE212-AE213</f>
        <v>-646.2914669999991</v>
      </c>
      <c r="AI214" s="22">
        <f t="shared" ref="AI214" si="1838">AI212-AI213</f>
        <v>0</v>
      </c>
      <c r="AJ214" s="22">
        <f t="shared" ref="AJ214:AL214" si="1839">AJ212-AJ213</f>
        <v>-1077.7100000000005</v>
      </c>
      <c r="AK214" s="22">
        <f t="shared" si="1839"/>
        <v>20.630525809582654</v>
      </c>
      <c r="AL214" s="22">
        <f t="shared" si="1839"/>
        <v>215.42947419041735</v>
      </c>
      <c r="AM214" s="22">
        <f t="shared" ref="AM214" si="1840">AM212-AM213</f>
        <v>-2.4071511667948471</v>
      </c>
      <c r="AN214" s="22">
        <f t="shared" ref="AN214:CD214" si="1841">AN212-AN213</f>
        <v>32.307151166794938</v>
      </c>
      <c r="AO214" s="22">
        <f t="shared" si="1841"/>
        <v>-20.446383348912605</v>
      </c>
      <c r="AP214" s="22">
        <f t="shared" si="1841"/>
        <v>40.186383348912898</v>
      </c>
      <c r="AQ214" s="22">
        <f t="shared" si="1841"/>
        <v>-122.70187331232319</v>
      </c>
      <c r="AR214" s="22">
        <f t="shared" si="1841"/>
        <v>-56.158126687676827</v>
      </c>
      <c r="AS214" s="22">
        <f t="shared" si="1841"/>
        <v>21.106723404255263</v>
      </c>
      <c r="AT214" s="22">
        <f t="shared" si="1841"/>
        <v>328.72327659574478</v>
      </c>
      <c r="AU214" s="22">
        <f t="shared" si="1841"/>
        <v>-30.531985811795039</v>
      </c>
      <c r="AV214" s="22">
        <f t="shared" si="1841"/>
        <v>-212.1380141882056</v>
      </c>
      <c r="AW214" s="22">
        <f t="shared" si="1841"/>
        <v>-142.2521316925895</v>
      </c>
      <c r="AX214" s="22">
        <f t="shared" si="1841"/>
        <v>335.06213169259007</v>
      </c>
      <c r="AY214" s="22">
        <f t="shared" si="1841"/>
        <v>2.4527511591963922</v>
      </c>
      <c r="AZ214" s="22">
        <f t="shared" si="1841"/>
        <v>-88.23275115919671</v>
      </c>
      <c r="BA214" s="22">
        <f t="shared" si="1841"/>
        <v>-33.87432090966513</v>
      </c>
      <c r="BB214" s="22">
        <f t="shared" si="1841"/>
        <v>184.21432090966545</v>
      </c>
      <c r="BC214" s="22">
        <f t="shared" si="1841"/>
        <v>20.238946877459966</v>
      </c>
      <c r="BD214" s="22">
        <f t="shared" si="1841"/>
        <v>-168.16894687746014</v>
      </c>
      <c r="BE214" s="22">
        <f t="shared" si="1841"/>
        <v>-161.82934784076451</v>
      </c>
      <c r="BF214" s="22">
        <f t="shared" si="1841"/>
        <v>175.36934784076408</v>
      </c>
      <c r="BG214" s="22">
        <f t="shared" si="1841"/>
        <v>-10.069425887774742</v>
      </c>
      <c r="BH214" s="22">
        <f t="shared" si="1841"/>
        <v>-773.24057411222543</v>
      </c>
      <c r="BI214" s="22">
        <f t="shared" si="1841"/>
        <v>-35.73368112230537</v>
      </c>
      <c r="BJ214" s="22">
        <f t="shared" si="1841"/>
        <v>166.05368112230559</v>
      </c>
      <c r="BK214" s="22">
        <f t="shared" si="1841"/>
        <v>-148.83027011304785</v>
      </c>
      <c r="BL214" s="22">
        <f t="shared" si="1841"/>
        <v>96.960270113048182</v>
      </c>
      <c r="BM214" s="22">
        <f t="shared" si="1841"/>
        <v>-25.177976848530307</v>
      </c>
      <c r="BN214" s="22">
        <f t="shared" si="1841"/>
        <v>-18.442023151469471</v>
      </c>
      <c r="BO214" s="22">
        <f t="shared" si="1841"/>
        <v>230.37601728535583</v>
      </c>
      <c r="BP214" s="22">
        <f t="shared" si="1841"/>
        <v>-728.87601728535549</v>
      </c>
      <c r="BQ214" s="22">
        <f t="shared" si="1841"/>
        <v>-240.6258009103658</v>
      </c>
      <c r="BR214" s="22">
        <f t="shared" si="1841"/>
        <v>836.20580091036516</v>
      </c>
      <c r="BS214" s="22">
        <f t="shared" si="1841"/>
        <v>201.28499128847579</v>
      </c>
      <c r="BT214" s="22">
        <f t="shared" si="1841"/>
        <v>-597.93499128847543</v>
      </c>
      <c r="BU214" s="22">
        <f t="shared" si="1841"/>
        <v>-74.504861463044108</v>
      </c>
      <c r="BV214" s="22">
        <f t="shared" si="1841"/>
        <v>592.05486146304361</v>
      </c>
      <c r="BW214" s="22">
        <f t="shared" si="1841"/>
        <v>-31.530347561295457</v>
      </c>
      <c r="BX214" s="22">
        <f t="shared" si="1841"/>
        <v>-532.60965243870407</v>
      </c>
      <c r="BY214" s="22">
        <f t="shared" si="1841"/>
        <v>-145.93673658078751</v>
      </c>
      <c r="BZ214" s="22">
        <f t="shared" si="1841"/>
        <v>275.86673658078848</v>
      </c>
      <c r="CA214" s="22">
        <f t="shared" si="1841"/>
        <v>-105.1257580492429</v>
      </c>
      <c r="CB214" s="22">
        <f t="shared" si="1841"/>
        <v>34.045758049242863</v>
      </c>
      <c r="CC214" s="22">
        <f t="shared" si="1841"/>
        <v>-85.766914360485316</v>
      </c>
      <c r="CD214" s="22">
        <f t="shared" si="1841"/>
        <v>535.84691436048365</v>
      </c>
      <c r="CE214" s="22">
        <f t="shared" ref="CE214:CF214" si="1842">CE212-CE213</f>
        <v>-129.90110438556439</v>
      </c>
      <c r="CF214" s="22">
        <f t="shared" si="1842"/>
        <v>-389.33889561443425</v>
      </c>
      <c r="CG214" s="22">
        <f t="shared" ref="CG214:CH214" si="1843">CG212-CG213</f>
        <v>-160.30275169809647</v>
      </c>
      <c r="CH214" s="22">
        <f t="shared" si="1843"/>
        <v>-420.33724830190567</v>
      </c>
      <c r="CI214" s="22">
        <f t="shared" ref="CI214:CJ214" si="1844">CI212-CI213</f>
        <v>424.31244171022536</v>
      </c>
      <c r="CJ214" s="22">
        <f t="shared" si="1844"/>
        <v>-1654.4624417102241</v>
      </c>
      <c r="CK214" s="21">
        <f t="shared" ref="CK214:DB214" si="1845">CK212-CK213</f>
        <v>-1131.9262441848578</v>
      </c>
      <c r="CL214" s="22">
        <f t="shared" si="1845"/>
        <v>2036.4462441848582</v>
      </c>
      <c r="CM214" s="21">
        <f t="shared" si="1845"/>
        <v>89.723889325118762</v>
      </c>
      <c r="CN214" s="21">
        <f t="shared" si="1845"/>
        <v>1060.6364192862684</v>
      </c>
      <c r="CO214" s="21">
        <f t="shared" si="1845"/>
        <v>-482.20744412141994</v>
      </c>
      <c r="CP214" s="21">
        <f t="shared" si="1845"/>
        <v>-1211.1408644899657</v>
      </c>
      <c r="CQ214" s="21">
        <f t="shared" si="1845"/>
        <v>238.92947272388483</v>
      </c>
      <c r="CR214" s="21">
        <f t="shared" si="1845"/>
        <v>1219.7318821792096</v>
      </c>
      <c r="CS214" s="21">
        <f t="shared" si="1845"/>
        <v>-554.53856073963198</v>
      </c>
      <c r="CT214" s="21">
        <f t="shared" si="1845"/>
        <v>-1392.8119941634613</v>
      </c>
      <c r="CU214" s="21">
        <f t="shared" si="1845"/>
        <v>274.76889363246664</v>
      </c>
      <c r="CV214" s="21">
        <f t="shared" si="1845"/>
        <v>1402.6916645060919</v>
      </c>
      <c r="CW214" s="21">
        <f t="shared" si="1845"/>
        <v>-637.71934485057864</v>
      </c>
      <c r="CX214" s="21">
        <f t="shared" si="1845"/>
        <v>-1601.7337932879836</v>
      </c>
      <c r="CY214" s="21">
        <f t="shared" si="1845"/>
        <v>315.98422767733973</v>
      </c>
      <c r="CZ214" s="21">
        <f t="shared" si="1845"/>
        <v>1613.0954141820066</v>
      </c>
      <c r="DA214" s="21">
        <f t="shared" si="1845"/>
        <v>-733.37724657816398</v>
      </c>
      <c r="DB214" s="21">
        <f t="shared" si="1845"/>
        <v>-1841.9938622811815</v>
      </c>
      <c r="DE214" s="126"/>
      <c r="DF214" s="22">
        <v>-3438.0764279033128</v>
      </c>
    </row>
    <row r="215" spans="1:110" s="22" customFormat="1" x14ac:dyDescent="0.2">
      <c r="A215" s="22" t="s">
        <v>91</v>
      </c>
      <c r="C215" s="22">
        <f t="shared" ref="C215:W215" si="1846">C211+C214</f>
        <v>77.250899999999987</v>
      </c>
      <c r="D215" s="22">
        <f>D211+D214</f>
        <v>80.641400000000147</v>
      </c>
      <c r="E215" s="22">
        <f t="shared" si="1846"/>
        <v>51.335099999999898</v>
      </c>
      <c r="F215" s="22">
        <f t="shared" si="1846"/>
        <v>54.657700000000006</v>
      </c>
      <c r="G215" s="22">
        <f t="shared" si="1846"/>
        <v>108.04629999999995</v>
      </c>
      <c r="H215" s="22">
        <f t="shared" si="1846"/>
        <v>156.25400000000013</v>
      </c>
      <c r="I215" s="22">
        <f t="shared" si="1846"/>
        <v>404.61580000000004</v>
      </c>
      <c r="J215" s="22">
        <f>J211+J214</f>
        <v>97.077499999999986</v>
      </c>
      <c r="K215" s="22">
        <f t="shared" si="1846"/>
        <v>351.8893000000009</v>
      </c>
      <c r="L215" s="22">
        <f t="shared" si="1846"/>
        <v>56.603799999999296</v>
      </c>
      <c r="M215" s="22">
        <f t="shared" si="1846"/>
        <v>-196.96470000000002</v>
      </c>
      <c r="N215" s="22">
        <f t="shared" si="1846"/>
        <v>244.07319999999922</v>
      </c>
      <c r="O215" s="22">
        <f t="shared" si="1846"/>
        <v>319.87400000000002</v>
      </c>
      <c r="P215" s="22">
        <f t="shared" si="1846"/>
        <v>584.15429999999969</v>
      </c>
      <c r="Q215" s="22">
        <f t="shared" si="1846"/>
        <v>363.96540000000084</v>
      </c>
      <c r="R215" s="22">
        <f t="shared" si="1846"/>
        <v>606.42569999999898</v>
      </c>
      <c r="S215" s="22">
        <f t="shared" si="1846"/>
        <v>462.36000000000081</v>
      </c>
      <c r="T215" s="22">
        <f t="shared" si="1846"/>
        <v>-121.09999999999991</v>
      </c>
      <c r="U215" s="22">
        <f t="shared" si="1846"/>
        <v>466.68000000000029</v>
      </c>
      <c r="V215" s="22">
        <f t="shared" si="1846"/>
        <v>647.15999999999963</v>
      </c>
      <c r="W215" s="22">
        <f t="shared" si="1846"/>
        <v>660.96</v>
      </c>
      <c r="X215" s="22">
        <f t="shared" ref="X215:Y215" si="1847">X211+X214</f>
        <v>-226.67999999999932</v>
      </c>
      <c r="Y215" s="22">
        <f t="shared" si="1847"/>
        <v>677.64999999999782</v>
      </c>
      <c r="Z215" s="22">
        <f t="shared" ref="Z215:AA215" si="1848">Z211+Z214</f>
        <v>-231.47999999999877</v>
      </c>
      <c r="AA215" s="22">
        <f t="shared" si="1848"/>
        <v>165.94000000000028</v>
      </c>
      <c r="AB215" s="21">
        <f t="shared" ref="AA215:AD215" si="1849">AB211+AB214</f>
        <v>46.945598135302248</v>
      </c>
      <c r="AC215" s="21">
        <f t="shared" si="1849"/>
        <v>281.95890701962173</v>
      </c>
      <c r="AD215" s="21">
        <f t="shared" si="1849"/>
        <v>324.02167880227228</v>
      </c>
      <c r="AE215" s="21">
        <f t="shared" ref="AE215" si="1850">AE211+AE214</f>
        <v>370.32151200738315</v>
      </c>
      <c r="AI215" s="22">
        <f t="shared" ref="AI215" si="1851">AI211+AI214</f>
        <v>86.420000000000073</v>
      </c>
      <c r="AJ215" s="22">
        <f t="shared" ref="AJ215:AL215" si="1852">AJ211+AJ214</f>
        <v>-1027.1900000000005</v>
      </c>
      <c r="AK215" s="22">
        <f t="shared" si="1852"/>
        <v>104.3905258095826</v>
      </c>
      <c r="AL215" s="22">
        <f t="shared" si="1852"/>
        <v>230.34947419041748</v>
      </c>
      <c r="AM215" s="22">
        <f t="shared" ref="AM215" si="1853">AM211+AM214</f>
        <v>44.392848833205122</v>
      </c>
      <c r="AN215" s="22">
        <f t="shared" ref="AN215:CD215" si="1854">AN211+AN214</f>
        <v>80.537151166795041</v>
      </c>
      <c r="AO215" s="22">
        <f t="shared" si="1854"/>
        <v>47.433616651087334</v>
      </c>
      <c r="AP215" s="22">
        <f t="shared" si="1854"/>
        <v>147.47638334891275</v>
      </c>
      <c r="AQ215" s="22">
        <f t="shared" si="1854"/>
        <v>-7.6518733123232465</v>
      </c>
      <c r="AR215" s="22">
        <f t="shared" si="1854"/>
        <v>0.67187331232311465</v>
      </c>
      <c r="AS215" s="22">
        <f t="shared" si="1854"/>
        <v>135.44672340425518</v>
      </c>
      <c r="AT215" s="22">
        <f t="shared" si="1854"/>
        <v>454.87327659574481</v>
      </c>
      <c r="AU215" s="22">
        <f t="shared" si="1854"/>
        <v>77.908014188204859</v>
      </c>
      <c r="AV215" s="22">
        <f t="shared" si="1854"/>
        <v>-138.46801418820544</v>
      </c>
      <c r="AW215" s="22">
        <f t="shared" si="1854"/>
        <v>-78.902131692589776</v>
      </c>
      <c r="AX215" s="22">
        <f t="shared" si="1854"/>
        <v>502.06213169259019</v>
      </c>
      <c r="AY215" s="22">
        <f t="shared" si="1854"/>
        <v>166.62275115919616</v>
      </c>
      <c r="AZ215" s="22">
        <f t="shared" si="1854"/>
        <v>-1.3627511591968187</v>
      </c>
      <c r="BA215" s="22">
        <f t="shared" si="1854"/>
        <v>52.275679090334776</v>
      </c>
      <c r="BB215" s="22">
        <f t="shared" si="1854"/>
        <v>388.90432090966573</v>
      </c>
      <c r="BC215" s="22">
        <f t="shared" si="1854"/>
        <v>211.99894687745973</v>
      </c>
      <c r="BD215" s="22">
        <f t="shared" si="1854"/>
        <v>-67.448946877460131</v>
      </c>
      <c r="BE215" s="22">
        <f t="shared" si="1854"/>
        <v>-56.279347840764444</v>
      </c>
      <c r="BF215" s="22">
        <f t="shared" si="1854"/>
        <v>374.08934784076439</v>
      </c>
      <c r="BG215" s="22">
        <f t="shared" si="1854"/>
        <v>179.79057411222493</v>
      </c>
      <c r="BH215" s="22">
        <f t="shared" si="1854"/>
        <v>-663.83057411222535</v>
      </c>
      <c r="BI215" s="22">
        <f t="shared" si="1854"/>
        <v>51.346318877694657</v>
      </c>
      <c r="BJ215" s="22">
        <f t="shared" si="1854"/>
        <v>311.59368112230555</v>
      </c>
      <c r="BK215" s="22">
        <f t="shared" si="1854"/>
        <v>24.069729886951933</v>
      </c>
      <c r="BL215" s="22">
        <f t="shared" si="1854"/>
        <v>211.41027011304843</v>
      </c>
      <c r="BM215" s="22">
        <f t="shared" si="1854"/>
        <v>69.752023151469658</v>
      </c>
      <c r="BN215" s="22">
        <f t="shared" si="1854"/>
        <v>148.41797684852992</v>
      </c>
      <c r="BO215" s="22">
        <f t="shared" si="1854"/>
        <v>319.74601728535583</v>
      </c>
      <c r="BP215" s="22">
        <f t="shared" si="1854"/>
        <v>-642.13601728535548</v>
      </c>
      <c r="BQ215" s="22">
        <f t="shared" si="1854"/>
        <v>-104.30580091036592</v>
      </c>
      <c r="BR215" s="22">
        <f t="shared" si="1854"/>
        <v>1082.8058009103656</v>
      </c>
      <c r="BS215" s="22">
        <f t="shared" si="1854"/>
        <v>331.69499128847565</v>
      </c>
      <c r="BT215" s="22">
        <f t="shared" si="1854"/>
        <v>-484.82499128847525</v>
      </c>
      <c r="BU215" s="22">
        <f t="shared" si="1854"/>
        <v>31.175138536955558</v>
      </c>
      <c r="BV215" s="22">
        <f t="shared" si="1854"/>
        <v>784.20486146304358</v>
      </c>
      <c r="BW215" s="22">
        <f t="shared" si="1854"/>
        <v>85.83965243870469</v>
      </c>
      <c r="BX215" s="22">
        <f t="shared" si="1854"/>
        <v>-530.31965243870411</v>
      </c>
      <c r="BY215" s="22">
        <f t="shared" si="1854"/>
        <v>-245.26673658078772</v>
      </c>
      <c r="BZ215" s="22">
        <f t="shared" si="1854"/>
        <v>430.16673658078872</v>
      </c>
      <c r="CA215" s="22">
        <f t="shared" si="1854"/>
        <v>35.424241950757136</v>
      </c>
      <c r="CB215" s="22">
        <f t="shared" si="1854"/>
        <v>82.405758049242735</v>
      </c>
      <c r="CC215" s="22">
        <f t="shared" si="1854"/>
        <v>-103.33691436048537</v>
      </c>
      <c r="CD215" s="22">
        <f t="shared" si="1854"/>
        <v>664.09691436048399</v>
      </c>
      <c r="CE215" s="22">
        <f t="shared" ref="CE215:CF215" si="1855">CE211+CE214</f>
        <v>217.75889561443466</v>
      </c>
      <c r="CF215" s="22">
        <f t="shared" si="1855"/>
        <v>-238.91889561443421</v>
      </c>
      <c r="CG215" s="22">
        <f t="shared" ref="CG215:CH215" si="1856">CG211+CG214</f>
        <v>-10.302751698096245</v>
      </c>
      <c r="CH215" s="22">
        <f t="shared" si="1856"/>
        <v>-165.26724830190571</v>
      </c>
      <c r="CI215" s="22">
        <f t="shared" ref="CI215:CJ215" si="1857">CI211+CI214</f>
        <v>583.24244171022508</v>
      </c>
      <c r="CJ215" s="22">
        <f t="shared" si="1857"/>
        <v>-1595.7524417102247</v>
      </c>
      <c r="CK215" s="21">
        <f t="shared" ref="CK215:DB215" si="1858">CK211+CK214</f>
        <v>-1026.3562441848576</v>
      </c>
      <c r="CL215" s="22">
        <f t="shared" si="1858"/>
        <v>2173.2162441848582</v>
      </c>
      <c r="CM215" s="21">
        <f t="shared" si="1858"/>
        <v>254.59671922672453</v>
      </c>
      <c r="CN215" s="21">
        <f t="shared" si="1858"/>
        <v>1149.5115179064544</v>
      </c>
      <c r="CO215" s="21">
        <f t="shared" si="1858"/>
        <v>-354.30110897289705</v>
      </c>
      <c r="CP215" s="21">
        <f t="shared" si="1858"/>
        <v>-971.27153002498187</v>
      </c>
      <c r="CQ215" s="21">
        <f t="shared" si="1858"/>
        <v>468.35871909635682</v>
      </c>
      <c r="CR215" s="21">
        <f t="shared" si="1858"/>
        <v>1336.3874287598517</v>
      </c>
      <c r="CS215" s="21">
        <f t="shared" si="1858"/>
        <v>-409.1751893495441</v>
      </c>
      <c r="CT215" s="21">
        <f t="shared" si="1858"/>
        <v>-1113.6120514870443</v>
      </c>
      <c r="CU215" s="21">
        <f t="shared" si="1858"/>
        <v>543.72750276336797</v>
      </c>
      <c r="CV215" s="21">
        <f t="shared" si="1858"/>
        <v>1538.9238942037475</v>
      </c>
      <c r="CW215" s="21">
        <f t="shared" si="1858"/>
        <v>-472.60417908876821</v>
      </c>
      <c r="CX215" s="21">
        <f t="shared" si="1858"/>
        <v>-1286.0255390760722</v>
      </c>
      <c r="CY215" s="21">
        <f t="shared" si="1858"/>
        <v>626.33648617342715</v>
      </c>
      <c r="CZ215" s="21">
        <f t="shared" si="1858"/>
        <v>1769.2451520045033</v>
      </c>
      <c r="DA215" s="21">
        <f t="shared" si="1858"/>
        <v>-544.90805848628042</v>
      </c>
      <c r="DB215" s="21">
        <f t="shared" si="1858"/>
        <v>-1480.3520676842681</v>
      </c>
      <c r="DE215" s="126"/>
      <c r="DF215" s="22">
        <v>-3145.9450885809711</v>
      </c>
    </row>
    <row r="216" spans="1:110" s="23" customFormat="1" x14ac:dyDescent="0.2">
      <c r="AB216" s="24"/>
      <c r="AC216" s="24"/>
      <c r="AD216" s="24"/>
      <c r="AE216" s="24"/>
      <c r="CK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92</v>
      </c>
      <c r="C217" s="22">
        <f t="shared" ref="C217:W217" si="1859">C218+C219</f>
        <v>-7.206500000000009</v>
      </c>
      <c r="D217" s="22">
        <f>D218+D219</f>
        <v>-21.656399999999977</v>
      </c>
      <c r="E217" s="22">
        <f t="shared" si="1859"/>
        <v>-28.017700000000019</v>
      </c>
      <c r="F217" s="22">
        <f t="shared" si="1859"/>
        <v>27.415699999999937</v>
      </c>
      <c r="G217" s="22">
        <f t="shared" si="1859"/>
        <v>-65.203899999999948</v>
      </c>
      <c r="H217" s="22">
        <f t="shared" si="1859"/>
        <v>-12.929600000000008</v>
      </c>
      <c r="I217" s="22">
        <f t="shared" si="1859"/>
        <v>-48.356800000000007</v>
      </c>
      <c r="J217" s="22">
        <f t="shared" si="1859"/>
        <v>-127.25809999999991</v>
      </c>
      <c r="K217" s="22">
        <f t="shared" si="1859"/>
        <v>-21.548200000000058</v>
      </c>
      <c r="L217" s="22">
        <f t="shared" si="1859"/>
        <v>-48.798700000000046</v>
      </c>
      <c r="M217" s="22">
        <f t="shared" si="1859"/>
        <v>-60.885699999999915</v>
      </c>
      <c r="N217" s="22">
        <f t="shared" si="1859"/>
        <v>-84.769600000000054</v>
      </c>
      <c r="O217" s="22">
        <f t="shared" si="1859"/>
        <v>-15.197599999999994</v>
      </c>
      <c r="P217" s="22">
        <f t="shared" si="1859"/>
        <v>-498.69069999999999</v>
      </c>
      <c r="Q217" s="22">
        <f t="shared" si="1859"/>
        <v>-710.67150000000015</v>
      </c>
      <c r="R217" s="22">
        <f t="shared" si="1859"/>
        <v>-808.73639999999978</v>
      </c>
      <c r="S217" s="22">
        <f t="shared" si="1859"/>
        <v>-222.76</v>
      </c>
      <c r="T217" s="22">
        <f t="shared" si="1859"/>
        <v>1034.33</v>
      </c>
      <c r="U217" s="22">
        <f t="shared" si="1859"/>
        <v>-752.66000000000008</v>
      </c>
      <c r="V217" s="22">
        <f t="shared" si="1859"/>
        <v>-998.22000000000025</v>
      </c>
      <c r="W217" s="22">
        <f t="shared" si="1859"/>
        <v>-467.44999999999953</v>
      </c>
      <c r="X217" s="22">
        <f t="shared" ref="X217:Y217" si="1860">X218+X219</f>
        <v>160.06999999999971</v>
      </c>
      <c r="Y217" s="22">
        <f t="shared" si="1860"/>
        <v>-545.2399999999999</v>
      </c>
      <c r="Z217" s="22">
        <f t="shared" ref="Z217:AA217" si="1861">Z218+Z219</f>
        <v>-40.110000000000127</v>
      </c>
      <c r="AA217" s="22">
        <f t="shared" si="1861"/>
        <v>229.20000000000016</v>
      </c>
      <c r="AB217" s="21">
        <f t="shared" ref="AA217:AD217" si="1862">AB218+AB219</f>
        <v>31.590000000000032</v>
      </c>
      <c r="AC217" s="21">
        <f t="shared" si="1862"/>
        <v>0</v>
      </c>
      <c r="AD217" s="21">
        <f t="shared" si="1862"/>
        <v>0</v>
      </c>
      <c r="AE217" s="21">
        <f t="shared" ref="AE217" si="1863">AE218+AE219</f>
        <v>0</v>
      </c>
      <c r="AI217" s="22">
        <f t="shared" ref="AI217" si="1864">AI218+AI219</f>
        <v>-7.3</v>
      </c>
      <c r="AJ217" s="22">
        <f t="shared" ref="AJ217:AL217" si="1865">AJ218+AJ219</f>
        <v>-380.42999999999995</v>
      </c>
      <c r="AK217" s="22">
        <f t="shared" si="1865"/>
        <v>-6.9499999999999886</v>
      </c>
      <c r="AL217" s="22">
        <f t="shared" si="1865"/>
        <v>-72.310000000000031</v>
      </c>
      <c r="AM217" s="22">
        <f t="shared" ref="AM217" si="1866">AM218+AM219</f>
        <v>-6.0500000000000114</v>
      </c>
      <c r="AN217" s="22">
        <f t="shared" ref="AN217:CD217" si="1867">AN218+AN219</f>
        <v>48.930000000000049</v>
      </c>
      <c r="AO217" s="22">
        <f t="shared" si="1867"/>
        <v>-5.9599999999999795</v>
      </c>
      <c r="AP217" s="22">
        <f t="shared" si="1867"/>
        <v>-52.11999999999999</v>
      </c>
      <c r="AQ217" s="22">
        <f t="shared" si="1867"/>
        <v>-6.0600000000000023</v>
      </c>
      <c r="AR217" s="22">
        <f t="shared" si="1867"/>
        <v>49.560000000000031</v>
      </c>
      <c r="AS217" s="22">
        <f t="shared" si="1867"/>
        <v>-6.9700000000000273</v>
      </c>
      <c r="AT217" s="22">
        <f t="shared" si="1867"/>
        <v>-535.21</v>
      </c>
      <c r="AU217" s="22">
        <f t="shared" si="1867"/>
        <v>-5.8999999999999773</v>
      </c>
      <c r="AV217" s="22">
        <f t="shared" si="1867"/>
        <v>-22.770000000000039</v>
      </c>
      <c r="AW217" s="22">
        <f t="shared" si="1867"/>
        <v>-6.5199999999999818</v>
      </c>
      <c r="AX217" s="22">
        <f t="shared" si="1867"/>
        <v>-675.4899999999999</v>
      </c>
      <c r="AY217" s="22">
        <f t="shared" si="1867"/>
        <v>-6.5500000000000114</v>
      </c>
      <c r="AZ217" s="22">
        <f t="shared" si="1867"/>
        <v>-462.21</v>
      </c>
      <c r="BA217" s="22">
        <f t="shared" si="1867"/>
        <v>-5.9599999999999795</v>
      </c>
      <c r="BB217" s="22">
        <f t="shared" si="1867"/>
        <v>-334.01999999999987</v>
      </c>
      <c r="BC217" s="22">
        <f t="shared" si="1867"/>
        <v>-6.1200000000000045</v>
      </c>
      <c r="BD217" s="22">
        <f t="shared" si="1867"/>
        <v>-358.9400000000004</v>
      </c>
      <c r="BE217" s="22">
        <f t="shared" si="1867"/>
        <v>-6.0699999999999932</v>
      </c>
      <c r="BF217" s="22">
        <f t="shared" si="1867"/>
        <v>148.37000000000032</v>
      </c>
      <c r="BG217" s="22">
        <f t="shared" si="1867"/>
        <v>-5.9399999999999977</v>
      </c>
      <c r="BH217" s="22">
        <f t="shared" si="1867"/>
        <v>-95.250000000000398</v>
      </c>
      <c r="BI217" s="22">
        <f t="shared" si="1867"/>
        <v>-6.160000000000025</v>
      </c>
      <c r="BJ217" s="22">
        <f t="shared" si="1867"/>
        <v>1141.6800000000003</v>
      </c>
      <c r="BK217" s="22">
        <f t="shared" si="1867"/>
        <v>-7.7200000000000273</v>
      </c>
      <c r="BL217" s="22">
        <f t="shared" si="1867"/>
        <v>149.98000000000013</v>
      </c>
      <c r="BM217" s="22">
        <f t="shared" si="1867"/>
        <v>-8.0199999999999818</v>
      </c>
      <c r="BN217" s="22">
        <f t="shared" si="1867"/>
        <v>-873.87000000000012</v>
      </c>
      <c r="BO217" s="22">
        <f t="shared" si="1867"/>
        <v>-8.2200000000000273</v>
      </c>
      <c r="BP217" s="22">
        <f t="shared" si="1867"/>
        <v>-159.99999999999989</v>
      </c>
      <c r="BQ217" s="22">
        <f t="shared" si="1867"/>
        <v>-8.410000000000025</v>
      </c>
      <c r="BR217" s="22">
        <f t="shared" si="1867"/>
        <v>-821.32999999999993</v>
      </c>
      <c r="BS217" s="22">
        <f t="shared" si="1867"/>
        <v>-8.6100000000000136</v>
      </c>
      <c r="BT217" s="22">
        <f t="shared" si="1867"/>
        <v>-16.189999999999941</v>
      </c>
      <c r="BU217" s="22">
        <f t="shared" si="1867"/>
        <v>-9.6999999999999886</v>
      </c>
      <c r="BV217" s="22">
        <f t="shared" si="1867"/>
        <v>-425.81000000000023</v>
      </c>
      <c r="BW217" s="22">
        <f t="shared" si="1867"/>
        <v>-8.4900000000000091</v>
      </c>
      <c r="BX217" s="22">
        <f t="shared" si="1867"/>
        <v>656.19</v>
      </c>
      <c r="BY217" s="22">
        <f t="shared" si="1867"/>
        <v>-11.050000000000011</v>
      </c>
      <c r="BZ217" s="22">
        <f t="shared" si="1867"/>
        <v>-461.31999999999977</v>
      </c>
      <c r="CA217" s="22">
        <f t="shared" si="1867"/>
        <v>-11.259999999999991</v>
      </c>
      <c r="CB217" s="22">
        <f t="shared" si="1867"/>
        <v>-234.83000000000027</v>
      </c>
      <c r="CC217" s="22">
        <f t="shared" si="1867"/>
        <v>-12.840000000000032</v>
      </c>
      <c r="CD217" s="22">
        <f t="shared" si="1867"/>
        <v>-287.24999999999955</v>
      </c>
      <c r="CE217" s="22">
        <f t="shared" ref="CE217:CF217" si="1868">CE218+CE219</f>
        <v>-13.42999999999995</v>
      </c>
      <c r="CF217" s="22">
        <f t="shared" si="1868"/>
        <v>-461.38</v>
      </c>
      <c r="CG217" s="22">
        <f t="shared" ref="CG217:CH217" si="1869">CG218+CG219</f>
        <v>-17.870000000000005</v>
      </c>
      <c r="CH217" s="22">
        <f t="shared" si="1869"/>
        <v>417.81999999999971</v>
      </c>
      <c r="CI217" s="22">
        <f t="shared" ref="CI217:CJ217" si="1870">CI218+CI219</f>
        <v>0</v>
      </c>
      <c r="CJ217" s="22">
        <f t="shared" si="1870"/>
        <v>210.48000000000036</v>
      </c>
      <c r="CK217" s="21">
        <f t="shared" ref="CK217:DB217" si="1871">CK218+CK219</f>
        <v>0</v>
      </c>
      <c r="CL217" s="22">
        <f t="shared" si="1871"/>
        <v>50.309999999999832</v>
      </c>
      <c r="CM217" s="21">
        <f t="shared" si="1871"/>
        <v>0</v>
      </c>
      <c r="CN217" s="21">
        <f t="shared" si="1871"/>
        <v>0</v>
      </c>
      <c r="CO217" s="21">
        <f t="shared" si="1871"/>
        <v>0</v>
      </c>
      <c r="CP217" s="21">
        <f t="shared" si="1871"/>
        <v>0</v>
      </c>
      <c r="CQ217" s="21">
        <f t="shared" si="1871"/>
        <v>0</v>
      </c>
      <c r="CR217" s="21">
        <f t="shared" si="1871"/>
        <v>0</v>
      </c>
      <c r="CS217" s="21">
        <f t="shared" si="1871"/>
        <v>0</v>
      </c>
      <c r="CT217" s="21">
        <f t="shared" si="1871"/>
        <v>0</v>
      </c>
      <c r="CU217" s="21">
        <f t="shared" si="1871"/>
        <v>0</v>
      </c>
      <c r="CV217" s="21">
        <f t="shared" si="1871"/>
        <v>0</v>
      </c>
      <c r="CW217" s="21">
        <f t="shared" si="1871"/>
        <v>0</v>
      </c>
      <c r="CX217" s="21">
        <f t="shared" si="1871"/>
        <v>0</v>
      </c>
      <c r="CY217" s="21">
        <f t="shared" si="1871"/>
        <v>0</v>
      </c>
      <c r="CZ217" s="21">
        <f t="shared" si="1871"/>
        <v>0</v>
      </c>
      <c r="DA217" s="21">
        <f t="shared" si="1871"/>
        <v>0</v>
      </c>
      <c r="DB217" s="21">
        <f t="shared" si="1871"/>
        <v>0</v>
      </c>
      <c r="DE217" s="126"/>
      <c r="DF217" s="22">
        <v>0</v>
      </c>
    </row>
    <row r="218" spans="1:110" s="23" customFormat="1" x14ac:dyDescent="0.2">
      <c r="A218" s="23" t="s">
        <v>93</v>
      </c>
      <c r="C218" s="23">
        <f t="shared" ref="C218:AA218" si="1872">B156-C156</f>
        <v>4.9800000000001177E-2</v>
      </c>
      <c r="D218" s="23">
        <f t="shared" si="1872"/>
        <v>8.486699999999999</v>
      </c>
      <c r="E218" s="23">
        <f>D156-E156</f>
        <v>-9.7158000000000015</v>
      </c>
      <c r="F218" s="23">
        <f t="shared" si="1872"/>
        <v>2.7636000000000038</v>
      </c>
      <c r="G218" s="23">
        <f t="shared" si="1872"/>
        <v>1.1161999999999992</v>
      </c>
      <c r="H218" s="23">
        <f t="shared" si="1872"/>
        <v>-0.7546999999999997</v>
      </c>
      <c r="I218" s="23">
        <f t="shared" si="1872"/>
        <v>-1.9157000000000011</v>
      </c>
      <c r="J218" s="23">
        <f>I156-J156</f>
        <v>-0.59629999999999939</v>
      </c>
      <c r="K218" s="23">
        <f>J156-K156</f>
        <v>6.9089999999999989</v>
      </c>
      <c r="L218" s="23">
        <f t="shared" si="1872"/>
        <v>-18.939500000000002</v>
      </c>
      <c r="M218" s="23">
        <f t="shared" si="1872"/>
        <v>-44.401899999999998</v>
      </c>
      <c r="N218" s="23">
        <f t="shared" si="1872"/>
        <v>-51.044999999999987</v>
      </c>
      <c r="O218" s="23">
        <f t="shared" si="1872"/>
        <v>-1.1600000000015598E-2</v>
      </c>
      <c r="P218" s="23">
        <f t="shared" si="1872"/>
        <v>-487.57989999999995</v>
      </c>
      <c r="Q218" s="23">
        <f t="shared" si="1872"/>
        <v>-651.24750000000006</v>
      </c>
      <c r="R218" s="23">
        <f t="shared" si="1872"/>
        <v>-790.17799999999988</v>
      </c>
      <c r="S218" s="23">
        <f t="shared" si="1872"/>
        <v>-197.61999999999989</v>
      </c>
      <c r="T218" s="23">
        <f t="shared" si="1872"/>
        <v>1115.7799999999997</v>
      </c>
      <c r="U218" s="23">
        <f t="shared" si="1872"/>
        <v>-672.73</v>
      </c>
      <c r="V218" s="23">
        <f t="shared" si="1872"/>
        <v>-974.21</v>
      </c>
      <c r="W218" s="23">
        <f t="shared" si="1872"/>
        <v>-384.00999999999976</v>
      </c>
      <c r="X218" s="23">
        <f t="shared" si="1872"/>
        <v>379.63999999999987</v>
      </c>
      <c r="Y218" s="23">
        <f t="shared" si="1872"/>
        <v>-205.30999999999995</v>
      </c>
      <c r="Z218" s="23">
        <f t="shared" si="1872"/>
        <v>162.23999999999978</v>
      </c>
      <c r="AA218" s="23">
        <f t="shared" si="1872"/>
        <v>359.93000000000029</v>
      </c>
      <c r="AB218" s="24">
        <f t="shared" ref="AB218" si="1873">AA156-AB156</f>
        <v>-37.539999999999964</v>
      </c>
      <c r="AC218" s="24">
        <f t="shared" ref="AC218" si="1874">AB156-AC156</f>
        <v>0</v>
      </c>
      <c r="AD218" s="24">
        <f t="shared" ref="AD218" si="1875">AC156-AD156</f>
        <v>0</v>
      </c>
      <c r="AE218" s="24">
        <f t="shared" ref="AE218" si="1876">AD156-AE156</f>
        <v>0</v>
      </c>
      <c r="AI218" s="23">
        <f t="shared" ref="AI218" si="1877">AH156-AI156</f>
        <v>0</v>
      </c>
      <c r="AJ218" s="23">
        <f t="shared" ref="AJ218" si="1878">AI156-AJ156</f>
        <v>-72.34</v>
      </c>
      <c r="AK218" s="23">
        <f t="shared" ref="AK218" si="1879">AJ156-AK156</f>
        <v>0</v>
      </c>
      <c r="AL218" s="23">
        <f t="shared" ref="AL218" si="1880">AK156-AL156</f>
        <v>-66.97</v>
      </c>
      <c r="AM218" s="23">
        <f t="shared" ref="AM218" si="1881">AL156-AM156</f>
        <v>0</v>
      </c>
      <c r="AN218" s="23">
        <f t="shared" ref="AN218" si="1882">AM156-AN156</f>
        <v>50.3</v>
      </c>
      <c r="AO218" s="23">
        <f t="shared" ref="AO218" si="1883">AN156-AO156</f>
        <v>0</v>
      </c>
      <c r="AP218" s="23">
        <f t="shared" ref="AP218" si="1884">AO156-AP156</f>
        <v>-50.309999999999988</v>
      </c>
      <c r="AQ218" s="23">
        <f t="shared" ref="AQ218" si="1885">AP156-AQ156</f>
        <v>0</v>
      </c>
      <c r="AR218" s="23">
        <f t="shared" ref="AR218" si="1886">AQ156-AR156</f>
        <v>49.349999999999994</v>
      </c>
      <c r="AS218" s="23">
        <f t="shared" ref="AS218" si="1887">AR156-AS156</f>
        <v>0</v>
      </c>
      <c r="AT218" s="23">
        <f t="shared" ref="AT218" si="1888">AS156-AT156</f>
        <v>-536.92999999999995</v>
      </c>
      <c r="AU218" s="23">
        <f t="shared" ref="AU218" si="1889">AT156-AU156</f>
        <v>0</v>
      </c>
      <c r="AV218" s="23">
        <f t="shared" ref="AV218" si="1890">AU156-AV156</f>
        <v>-1.4099999999999682</v>
      </c>
      <c r="AW218" s="23">
        <f t="shared" ref="AW218" si="1891">AV156-AW156</f>
        <v>0</v>
      </c>
      <c r="AX218" s="23">
        <f t="shared" ref="AX218" si="1892">AW156-AX156</f>
        <v>-678.81</v>
      </c>
      <c r="AY218" s="23">
        <f t="shared" ref="AY218" si="1893">AX156-AY156</f>
        <v>0</v>
      </c>
      <c r="AZ218" s="23">
        <f t="shared" ref="AZ218" si="1894">AY156-AZ156</f>
        <v>-457.49</v>
      </c>
      <c r="BA218" s="23">
        <f t="shared" ref="BA218" si="1895">AZ156-BA156</f>
        <v>0</v>
      </c>
      <c r="BB218" s="23">
        <f t="shared" ref="BB218" si="1896">BA156-BB156</f>
        <v>-349.37999999999988</v>
      </c>
      <c r="BC218" s="23">
        <f t="shared" ref="BC218" si="1897">BB156-BC156</f>
        <v>0</v>
      </c>
      <c r="BD218" s="23">
        <f t="shared" ref="BD218" si="1898">BC156-BD156</f>
        <v>-353.35000000000036</v>
      </c>
      <c r="BE218" s="23">
        <f t="shared" ref="BE218" si="1899">BD156-BE156</f>
        <v>0</v>
      </c>
      <c r="BF218" s="23">
        <f t="shared" ref="BF218" si="1900">BE156-BF156</f>
        <v>156.68000000000029</v>
      </c>
      <c r="BG218" s="23">
        <f t="shared" ref="BG218" si="1901">BF156-BG156</f>
        <v>0</v>
      </c>
      <c r="BH218" s="23">
        <f t="shared" ref="BH218" si="1902">BG156-BH156</f>
        <v>-75.350000000000364</v>
      </c>
      <c r="BI218" s="23">
        <f t="shared" ref="BI218" si="1903">BH156-BI156</f>
        <v>0</v>
      </c>
      <c r="BJ218" s="23">
        <f t="shared" ref="BJ218" si="1904">BI156-BJ156</f>
        <v>1189.5700000000002</v>
      </c>
      <c r="BK218" s="23">
        <f t="shared" ref="BK218" si="1905">BJ156-BK156</f>
        <v>0</v>
      </c>
      <c r="BL218" s="23">
        <f t="shared" ref="BL218" si="1906">BK156-BL156</f>
        <v>174.80000000000007</v>
      </c>
      <c r="BM218" s="23">
        <f t="shared" ref="BM218" si="1907">BL156-BM156</f>
        <v>0</v>
      </c>
      <c r="BN218" s="23">
        <f t="shared" ref="BN218" si="1908">BM156-BN156</f>
        <v>-846.6</v>
      </c>
      <c r="BO218" s="23">
        <f t="shared" ref="BO218" si="1909">BN156-BO156</f>
        <v>0</v>
      </c>
      <c r="BP218" s="23">
        <f t="shared" ref="BP218" si="1910">BO156-BP156</f>
        <v>-167.34999999999991</v>
      </c>
      <c r="BQ218" s="23">
        <f t="shared" ref="BQ218" si="1911">BP156-BQ156</f>
        <v>0</v>
      </c>
      <c r="BR218" s="23">
        <f t="shared" ref="BR218" si="1912">BQ156-BR156</f>
        <v>-817.06999999999994</v>
      </c>
      <c r="BS218" s="23">
        <f t="shared" ref="BS218" si="1913">BR156-BS156</f>
        <v>0</v>
      </c>
      <c r="BT218" s="23">
        <f t="shared" ref="BT218" si="1914">BS156-BT156</f>
        <v>-7.25</v>
      </c>
      <c r="BU218" s="23">
        <f t="shared" ref="BU218" si="1915">BT156-BU156</f>
        <v>0</v>
      </c>
      <c r="BV218" s="23">
        <f t="shared" ref="BV218" si="1916">BU156-BV156</f>
        <v>-374.5300000000002</v>
      </c>
      <c r="BW218" s="23">
        <f t="shared" ref="BW218" si="1917">BV156-BW156</f>
        <v>0</v>
      </c>
      <c r="BX218" s="23">
        <f t="shared" ref="BX218" si="1918">BW156-BX156</f>
        <v>766.44</v>
      </c>
      <c r="BY218" s="23">
        <f t="shared" ref="BY218" si="1919">BX156-BY156</f>
        <v>0</v>
      </c>
      <c r="BZ218" s="23">
        <f t="shared" ref="BZ218" si="1920">BY156-BZ156</f>
        <v>-382.88999999999987</v>
      </c>
      <c r="CA218" s="23">
        <f t="shared" ref="CA218" si="1921">BZ156-CA156</f>
        <v>0</v>
      </c>
      <c r="CB218" s="23">
        <f t="shared" ref="CB218" si="1922">CA156-CB156</f>
        <v>-168.26000000000022</v>
      </c>
      <c r="CC218" s="23">
        <f t="shared" ref="CC218" si="1923">CB156-CC156</f>
        <v>0</v>
      </c>
      <c r="CD218" s="23">
        <f t="shared" ref="CD218" si="1924">CC156-CD156</f>
        <v>-32.569999999999709</v>
      </c>
      <c r="CE218" s="23">
        <f t="shared" ref="CE218" si="1925">CD156-CE156</f>
        <v>0</v>
      </c>
      <c r="CF218" s="23">
        <f t="shared" ref="CF218" si="1926">CE156-CF156</f>
        <v>-352.67000000000007</v>
      </c>
      <c r="CG218" s="23">
        <f t="shared" ref="CG218" si="1927">CF156-CG156</f>
        <v>0</v>
      </c>
      <c r="CH218" s="23">
        <f t="shared" ref="CH218:CL218" si="1928">CG156-CH156</f>
        <v>559.83999999999969</v>
      </c>
      <c r="CI218" s="23">
        <f t="shared" si="1928"/>
        <v>0</v>
      </c>
      <c r="CJ218" s="23">
        <f t="shared" si="1928"/>
        <v>184.58000000000038</v>
      </c>
      <c r="CK218" s="24">
        <f t="shared" ref="CK218" si="1929">CJ156-CK156</f>
        <v>0</v>
      </c>
      <c r="CL218" s="23">
        <f t="shared" si="1928"/>
        <v>137.80999999999995</v>
      </c>
      <c r="CM218" s="24">
        <f t="shared" ref="CM218" si="1930">CL156-CM156</f>
        <v>0</v>
      </c>
      <c r="CN218" s="24">
        <f t="shared" ref="CN218" si="1931">CM156-CN156</f>
        <v>0</v>
      </c>
      <c r="CO218" s="24">
        <f t="shared" ref="CO218" si="1932">CN156-CO156</f>
        <v>0</v>
      </c>
      <c r="CP218" s="24">
        <f t="shared" ref="CP218" si="1933">CO156-CP156</f>
        <v>0</v>
      </c>
      <c r="CQ218" s="24">
        <f t="shared" ref="CQ218" si="1934">CP156-CQ156</f>
        <v>0</v>
      </c>
      <c r="CR218" s="24">
        <f t="shared" ref="CR218" si="1935">CQ156-CR156</f>
        <v>0</v>
      </c>
      <c r="CS218" s="24">
        <f t="shared" ref="CS218" si="1936">CR156-CS156</f>
        <v>0</v>
      </c>
      <c r="CT218" s="24">
        <f t="shared" ref="CT218" si="1937">CS156-CT156</f>
        <v>0</v>
      </c>
      <c r="CU218" s="24">
        <f t="shared" ref="CU218" si="1938">CT156-CU156</f>
        <v>0</v>
      </c>
      <c r="CV218" s="24">
        <f t="shared" ref="CV218" si="1939">CU156-CV156</f>
        <v>0</v>
      </c>
      <c r="CW218" s="24">
        <f t="shared" ref="CW218" si="1940">CV156-CW156</f>
        <v>0</v>
      </c>
      <c r="CX218" s="24">
        <f t="shared" ref="CX218" si="1941">CW156-CX156</f>
        <v>0</v>
      </c>
      <c r="CY218" s="24">
        <f t="shared" ref="CY218" si="1942">CX156-CY156</f>
        <v>0</v>
      </c>
      <c r="CZ218" s="24">
        <f t="shared" ref="CZ218" si="1943">CY156-CZ156</f>
        <v>0</v>
      </c>
      <c r="DA218" s="24">
        <f t="shared" ref="DA218" si="1944">CZ156-DA156</f>
        <v>0</v>
      </c>
      <c r="DB218" s="24">
        <f t="shared" ref="DB218" si="1945">DA156-DB156</f>
        <v>0</v>
      </c>
      <c r="DE218" s="123"/>
      <c r="DF218" s="23">
        <v>0</v>
      </c>
    </row>
    <row r="219" spans="1:110" s="23" customFormat="1" x14ac:dyDescent="0.2">
      <c r="A219" s="23" t="s">
        <v>94</v>
      </c>
      <c r="C219" s="23">
        <f t="shared" ref="C219:AE219" si="1946">B154-C48-C154</f>
        <v>-7.2563000000000102</v>
      </c>
      <c r="D219" s="23">
        <f t="shared" si="1946"/>
        <v>-30.143099999999976</v>
      </c>
      <c r="E219" s="23">
        <f t="shared" si="1946"/>
        <v>-18.301900000000018</v>
      </c>
      <c r="F219" s="23">
        <f t="shared" si="1946"/>
        <v>24.652099999999933</v>
      </c>
      <c r="G219" s="23">
        <f t="shared" si="1946"/>
        <v>-66.32009999999994</v>
      </c>
      <c r="H219" s="23">
        <f t="shared" si="1946"/>
        <v>-12.174900000000008</v>
      </c>
      <c r="I219" s="23">
        <f t="shared" si="1946"/>
        <v>-46.441100000000006</v>
      </c>
      <c r="J219" s="23">
        <f t="shared" si="1946"/>
        <v>-126.66179999999991</v>
      </c>
      <c r="K219" s="23">
        <f t="shared" si="1946"/>
        <v>-28.457200000000057</v>
      </c>
      <c r="L219" s="23">
        <f t="shared" si="1946"/>
        <v>-29.859200000000044</v>
      </c>
      <c r="M219" s="23">
        <f t="shared" si="1946"/>
        <v>-16.483799999999917</v>
      </c>
      <c r="N219" s="23">
        <f t="shared" si="1946"/>
        <v>-33.724600000000066</v>
      </c>
      <c r="O219" s="23">
        <f t="shared" si="1946"/>
        <v>-15.185999999999979</v>
      </c>
      <c r="P219" s="23">
        <f t="shared" si="1946"/>
        <v>-11.11080000000004</v>
      </c>
      <c r="Q219" s="23">
        <f t="shared" si="1946"/>
        <v>-59.424000000000035</v>
      </c>
      <c r="R219" s="23">
        <f t="shared" si="1946"/>
        <v>-18.558399999999892</v>
      </c>
      <c r="S219" s="23">
        <f t="shared" si="1946"/>
        <v>-25.1400000000001</v>
      </c>
      <c r="T219" s="23">
        <f t="shared" si="1946"/>
        <v>-81.449999999999932</v>
      </c>
      <c r="U219" s="23">
        <f t="shared" si="1946"/>
        <v>-79.930000000000007</v>
      </c>
      <c r="V219" s="23">
        <f t="shared" si="1946"/>
        <v>-24.010000000000161</v>
      </c>
      <c r="W219" s="23">
        <f t="shared" si="1946"/>
        <v>-83.43999999999977</v>
      </c>
      <c r="X219" s="23">
        <f t="shared" si="1946"/>
        <v>-219.57000000000016</v>
      </c>
      <c r="Y219" s="23">
        <f t="shared" si="1946"/>
        <v>-339.92999999999995</v>
      </c>
      <c r="Z219" s="23">
        <f t="shared" si="1946"/>
        <v>-202.34999999999991</v>
      </c>
      <c r="AA219" s="23">
        <f t="shared" si="1946"/>
        <v>-130.73000000000013</v>
      </c>
      <c r="AB219" s="24">
        <f t="shared" si="1946"/>
        <v>69.13</v>
      </c>
      <c r="AC219" s="24">
        <f t="shared" si="1946"/>
        <v>0</v>
      </c>
      <c r="AD219" s="24">
        <f t="shared" si="1946"/>
        <v>0</v>
      </c>
      <c r="AE219" s="24">
        <f t="shared" si="1946"/>
        <v>0</v>
      </c>
      <c r="AI219" s="23">
        <f t="shared" ref="AI219:BN219" si="1947">AH154-AI48-AI154</f>
        <v>-7.3</v>
      </c>
      <c r="AJ219" s="23">
        <f t="shared" si="1947"/>
        <v>-308.08999999999997</v>
      </c>
      <c r="AK219" s="23">
        <f t="shared" si="1947"/>
        <v>-6.9499999999999886</v>
      </c>
      <c r="AL219" s="23">
        <f t="shared" si="1947"/>
        <v>-5.3400000000000318</v>
      </c>
      <c r="AM219" s="23">
        <f t="shared" si="1947"/>
        <v>-6.0500000000000114</v>
      </c>
      <c r="AN219" s="23">
        <f t="shared" si="1947"/>
        <v>-1.3699999999999477</v>
      </c>
      <c r="AO219" s="23">
        <f t="shared" si="1947"/>
        <v>-5.9599999999999795</v>
      </c>
      <c r="AP219" s="23">
        <f t="shared" si="1947"/>
        <v>-1.8100000000000023</v>
      </c>
      <c r="AQ219" s="23">
        <f t="shared" si="1947"/>
        <v>-6.0600000000000023</v>
      </c>
      <c r="AR219" s="23">
        <f t="shared" si="1947"/>
        <v>0.21000000000003638</v>
      </c>
      <c r="AS219" s="23">
        <f t="shared" si="1947"/>
        <v>-6.9700000000000273</v>
      </c>
      <c r="AT219" s="23">
        <f t="shared" si="1947"/>
        <v>1.7199999999999704</v>
      </c>
      <c r="AU219" s="23">
        <f t="shared" si="1947"/>
        <v>-5.8999999999999773</v>
      </c>
      <c r="AV219" s="23">
        <f t="shared" si="1947"/>
        <v>-21.36000000000007</v>
      </c>
      <c r="AW219" s="23">
        <f t="shared" si="1947"/>
        <v>-6.5199999999999818</v>
      </c>
      <c r="AX219" s="23">
        <f t="shared" si="1947"/>
        <v>3.32000000000005</v>
      </c>
      <c r="AY219" s="23">
        <f t="shared" si="1947"/>
        <v>-6.5500000000000114</v>
      </c>
      <c r="AZ219" s="23">
        <f t="shared" si="1947"/>
        <v>-4.7199999999999704</v>
      </c>
      <c r="BA219" s="23">
        <f t="shared" si="1947"/>
        <v>-5.9599999999999795</v>
      </c>
      <c r="BB219" s="23">
        <f t="shared" si="1947"/>
        <v>15.359999999999985</v>
      </c>
      <c r="BC219" s="23">
        <f t="shared" si="1947"/>
        <v>-6.1200000000000045</v>
      </c>
      <c r="BD219" s="23">
        <f t="shared" si="1947"/>
        <v>-5.5900000000000034</v>
      </c>
      <c r="BE219" s="23">
        <f t="shared" si="1947"/>
        <v>-6.0699999999999932</v>
      </c>
      <c r="BF219" s="23">
        <f t="shared" si="1947"/>
        <v>-8.3099999999999739</v>
      </c>
      <c r="BG219" s="23">
        <f t="shared" si="1947"/>
        <v>-5.9399999999999977</v>
      </c>
      <c r="BH219" s="23">
        <f t="shared" si="1947"/>
        <v>-19.900000000000034</v>
      </c>
      <c r="BI219" s="23">
        <f t="shared" si="1947"/>
        <v>-6.160000000000025</v>
      </c>
      <c r="BJ219" s="23">
        <f t="shared" si="1947"/>
        <v>-47.889999999999986</v>
      </c>
      <c r="BK219" s="23">
        <f t="shared" si="1947"/>
        <v>-7.7200000000000273</v>
      </c>
      <c r="BL219" s="23">
        <f t="shared" si="1947"/>
        <v>-24.819999999999936</v>
      </c>
      <c r="BM219" s="23">
        <f t="shared" si="1947"/>
        <v>-8.0199999999999818</v>
      </c>
      <c r="BN219" s="23">
        <f t="shared" si="1947"/>
        <v>-27.270000000000039</v>
      </c>
      <c r="BO219" s="23">
        <f t="shared" ref="BO219:CT219" si="1948">BN154-BO48-BO154</f>
        <v>-8.2200000000000273</v>
      </c>
      <c r="BP219" s="23">
        <f t="shared" si="1948"/>
        <v>7.3500000000000227</v>
      </c>
      <c r="BQ219" s="23">
        <f t="shared" si="1948"/>
        <v>-8.410000000000025</v>
      </c>
      <c r="BR219" s="23">
        <f t="shared" si="1948"/>
        <v>-4.2600000000000477</v>
      </c>
      <c r="BS219" s="23">
        <f t="shared" si="1948"/>
        <v>-8.6100000000000136</v>
      </c>
      <c r="BT219" s="23">
        <f t="shared" si="1948"/>
        <v>-8.9399999999999409</v>
      </c>
      <c r="BU219" s="23">
        <f t="shared" si="1948"/>
        <v>-9.6999999999999886</v>
      </c>
      <c r="BV219" s="23">
        <f t="shared" si="1948"/>
        <v>-51.28000000000003</v>
      </c>
      <c r="BW219" s="23">
        <f t="shared" si="1948"/>
        <v>-8.4900000000000091</v>
      </c>
      <c r="BX219" s="23">
        <f t="shared" si="1948"/>
        <v>-110.25</v>
      </c>
      <c r="BY219" s="23">
        <f t="shared" si="1948"/>
        <v>-11.050000000000011</v>
      </c>
      <c r="BZ219" s="23">
        <f t="shared" si="1948"/>
        <v>-78.429999999999893</v>
      </c>
      <c r="CA219" s="23">
        <f t="shared" si="1948"/>
        <v>-11.259999999999991</v>
      </c>
      <c r="CB219" s="23">
        <f t="shared" si="1948"/>
        <v>-66.57000000000005</v>
      </c>
      <c r="CC219" s="23">
        <f t="shared" si="1948"/>
        <v>-12.840000000000032</v>
      </c>
      <c r="CD219" s="23">
        <f t="shared" si="1948"/>
        <v>-254.67999999999984</v>
      </c>
      <c r="CE219" s="23">
        <f t="shared" si="1948"/>
        <v>-13.42999999999995</v>
      </c>
      <c r="CF219" s="23">
        <f t="shared" si="1948"/>
        <v>-108.70999999999992</v>
      </c>
      <c r="CG219" s="23">
        <f t="shared" si="1948"/>
        <v>-17.870000000000005</v>
      </c>
      <c r="CH219" s="23">
        <f t="shared" si="1948"/>
        <v>-142.01999999999998</v>
      </c>
      <c r="CI219" s="23">
        <f t="shared" si="1948"/>
        <v>0</v>
      </c>
      <c r="CJ219" s="23">
        <f t="shared" si="1948"/>
        <v>25.899999999999977</v>
      </c>
      <c r="CK219" s="24">
        <f t="shared" si="1948"/>
        <v>0</v>
      </c>
      <c r="CL219" s="23">
        <f t="shared" si="1948"/>
        <v>-87.500000000000114</v>
      </c>
      <c r="CM219" s="24">
        <f t="shared" si="1948"/>
        <v>0</v>
      </c>
      <c r="CN219" s="24">
        <f t="shared" si="1948"/>
        <v>0</v>
      </c>
      <c r="CO219" s="24">
        <f t="shared" si="1948"/>
        <v>0</v>
      </c>
      <c r="CP219" s="24">
        <f t="shared" si="1948"/>
        <v>0</v>
      </c>
      <c r="CQ219" s="24">
        <f t="shared" si="1948"/>
        <v>0</v>
      </c>
      <c r="CR219" s="24">
        <f t="shared" si="1948"/>
        <v>0</v>
      </c>
      <c r="CS219" s="24">
        <f t="shared" si="1948"/>
        <v>0</v>
      </c>
      <c r="CT219" s="24">
        <f t="shared" si="1948"/>
        <v>0</v>
      </c>
      <c r="CU219" s="24">
        <f t="shared" ref="CU219:DB219" si="1949">CT154-CU48-CU154</f>
        <v>0</v>
      </c>
      <c r="CV219" s="24">
        <f t="shared" si="1949"/>
        <v>0</v>
      </c>
      <c r="CW219" s="24">
        <f t="shared" si="1949"/>
        <v>0</v>
      </c>
      <c r="CX219" s="24">
        <f t="shared" si="1949"/>
        <v>0</v>
      </c>
      <c r="CY219" s="24">
        <f t="shared" si="1949"/>
        <v>0</v>
      </c>
      <c r="CZ219" s="24">
        <f t="shared" si="1949"/>
        <v>0</v>
      </c>
      <c r="DA219" s="24">
        <f t="shared" si="1949"/>
        <v>0</v>
      </c>
      <c r="DB219" s="24">
        <f t="shared" si="1949"/>
        <v>0</v>
      </c>
      <c r="DE219" s="123"/>
      <c r="DF219" s="23">
        <v>0</v>
      </c>
    </row>
    <row r="220" spans="1:110" s="23" customFormat="1" x14ac:dyDescent="0.2">
      <c r="AB220" s="24"/>
      <c r="AC220" s="24"/>
      <c r="AD220" s="24"/>
      <c r="AE220" s="24"/>
      <c r="CK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95</v>
      </c>
      <c r="C221" s="22">
        <f t="shared" ref="C221:W221" si="1950">C222+C223</f>
        <v>-8.1023999999999035</v>
      </c>
      <c r="D221" s="22">
        <f t="shared" si="1950"/>
        <v>-41.216200000000079</v>
      </c>
      <c r="E221" s="22">
        <f t="shared" si="1950"/>
        <v>-18.144899999999907</v>
      </c>
      <c r="F221" s="22">
        <f t="shared" si="1950"/>
        <v>-23.955500000000001</v>
      </c>
      <c r="G221" s="22">
        <f t="shared" si="1950"/>
        <v>-58.213599999999886</v>
      </c>
      <c r="H221" s="22">
        <f t="shared" si="1950"/>
        <v>-27.523000000000131</v>
      </c>
      <c r="I221" s="22">
        <f t="shared" si="1950"/>
        <v>-91.926600000000235</v>
      </c>
      <c r="J221" s="22">
        <f t="shared" si="1950"/>
        <v>84.176900000000359</v>
      </c>
      <c r="K221" s="22">
        <f t="shared" si="1950"/>
        <v>-233.88100000000091</v>
      </c>
      <c r="L221" s="22">
        <f t="shared" si="1950"/>
        <v>27.966900000000621</v>
      </c>
      <c r="M221" s="22">
        <f t="shared" si="1950"/>
        <v>38.542399999999873</v>
      </c>
      <c r="N221" s="22">
        <f t="shared" si="1950"/>
        <v>-35.819599999999895</v>
      </c>
      <c r="O221" s="22">
        <f t="shared" si="1950"/>
        <v>-48.040699999999241</v>
      </c>
      <c r="P221" s="22">
        <f t="shared" si="1950"/>
        <v>-241.35639999999989</v>
      </c>
      <c r="Q221" s="22">
        <f t="shared" si="1950"/>
        <v>481.22489999999999</v>
      </c>
      <c r="R221" s="22">
        <f t="shared" si="1950"/>
        <v>-119.85459999999999</v>
      </c>
      <c r="S221" s="22">
        <f t="shared" si="1950"/>
        <v>0.75999999999958945</v>
      </c>
      <c r="T221" s="22">
        <f t="shared" si="1950"/>
        <v>-127.76000000000013</v>
      </c>
      <c r="U221" s="22">
        <f t="shared" si="1950"/>
        <v>-442.02</v>
      </c>
      <c r="V221" s="22">
        <f t="shared" si="1950"/>
        <v>230.37000000000091</v>
      </c>
      <c r="W221" s="22">
        <f t="shared" si="1950"/>
        <v>104.31999999999894</v>
      </c>
      <c r="X221" s="22">
        <f t="shared" ref="X221:Y221" si="1951">X222+X223</f>
        <v>76.209999999999127</v>
      </c>
      <c r="Y221" s="22">
        <f t="shared" si="1951"/>
        <v>205.83000000000203</v>
      </c>
      <c r="Z221" s="22">
        <f t="shared" ref="Z221:AA221" si="1952">Z222+Z223</f>
        <v>-5.2900000000016973</v>
      </c>
      <c r="AA221" s="22">
        <f t="shared" si="1952"/>
        <v>-414.02999999999906</v>
      </c>
      <c r="AB221" s="21">
        <f t="shared" ref="AA221:AD221" si="1953">AB222+AB223</f>
        <v>-2.7284841053187847E-12</v>
      </c>
      <c r="AC221" s="21">
        <f t="shared" si="1953"/>
        <v>-9.0949470177292824E-13</v>
      </c>
      <c r="AD221" s="21">
        <f t="shared" si="1953"/>
        <v>2.7284841053187847E-12</v>
      </c>
      <c r="AE221" s="21">
        <f t="shared" ref="AE221" si="1954">AE222+AE223</f>
        <v>-1.8189894035458565E-12</v>
      </c>
      <c r="AI221" s="22">
        <f t="shared" ref="AI221" si="1955">AI222+AI223</f>
        <v>-79.120000000000076</v>
      </c>
      <c r="AJ221" s="22">
        <f t="shared" ref="AJ221:AL221" si="1956">AJ222+AJ223</f>
        <v>1872.3999999999996</v>
      </c>
      <c r="AK221" s="22">
        <f t="shared" si="1956"/>
        <v>0</v>
      </c>
      <c r="AL221" s="22">
        <f t="shared" si="1956"/>
        <v>-102.38999999999993</v>
      </c>
      <c r="AM221" s="22">
        <f t="shared" ref="AM221" si="1957">AM222+AM223</f>
        <v>0</v>
      </c>
      <c r="AN221" s="22">
        <f t="shared" ref="AN221:CD221" si="1958">AN222+AN223</f>
        <v>4.7899999999998144</v>
      </c>
      <c r="AO221" s="22">
        <f t="shared" si="1958"/>
        <v>0</v>
      </c>
      <c r="AP221" s="22">
        <f t="shared" si="1958"/>
        <v>-52.789999999999694</v>
      </c>
      <c r="AQ221" s="22">
        <f t="shared" si="1958"/>
        <v>0</v>
      </c>
      <c r="AR221" s="22">
        <f t="shared" si="1958"/>
        <v>-67.239999999999824</v>
      </c>
      <c r="AS221" s="22">
        <f t="shared" si="1958"/>
        <v>0</v>
      </c>
      <c r="AT221" s="22">
        <f t="shared" si="1958"/>
        <v>-173.31999999999962</v>
      </c>
      <c r="AU221" s="22">
        <f t="shared" si="1958"/>
        <v>0</v>
      </c>
      <c r="AV221" s="22">
        <f t="shared" si="1958"/>
        <v>48.749999999999993</v>
      </c>
      <c r="AW221" s="22">
        <f t="shared" si="1958"/>
        <v>0</v>
      </c>
      <c r="AX221" s="22">
        <f t="shared" si="1958"/>
        <v>433.84999999999991</v>
      </c>
      <c r="AY221" s="22">
        <f t="shared" si="1958"/>
        <v>0</v>
      </c>
      <c r="AZ221" s="22">
        <f t="shared" si="1958"/>
        <v>-124.68000000000006</v>
      </c>
      <c r="BA221" s="22">
        <f t="shared" si="1958"/>
        <v>0</v>
      </c>
      <c r="BB221" s="22">
        <f t="shared" si="1958"/>
        <v>4.8199999999999683</v>
      </c>
      <c r="BC221" s="22">
        <f t="shared" si="1958"/>
        <v>0</v>
      </c>
      <c r="BD221" s="22">
        <f t="shared" si="1958"/>
        <v>-51.789999999999765</v>
      </c>
      <c r="BE221" s="22">
        <f t="shared" si="1958"/>
        <v>0</v>
      </c>
      <c r="BF221" s="22">
        <f t="shared" si="1958"/>
        <v>52.549999999999358</v>
      </c>
      <c r="BG221" s="22">
        <f t="shared" si="1958"/>
        <v>0</v>
      </c>
      <c r="BH221" s="22">
        <f t="shared" si="1958"/>
        <v>76.220000000000312</v>
      </c>
      <c r="BI221" s="22">
        <f t="shared" si="1958"/>
        <v>0</v>
      </c>
      <c r="BJ221" s="22">
        <f t="shared" si="1958"/>
        <v>-203.98000000000039</v>
      </c>
      <c r="BK221" s="22">
        <f t="shared" si="1958"/>
        <v>0</v>
      </c>
      <c r="BL221" s="22">
        <f t="shared" si="1958"/>
        <v>-273.73999999999938</v>
      </c>
      <c r="BM221" s="22">
        <f t="shared" si="1958"/>
        <v>4.5474735088646412E-13</v>
      </c>
      <c r="BN221" s="22">
        <f t="shared" si="1958"/>
        <v>-168.27999999999929</v>
      </c>
      <c r="BO221" s="22">
        <f t="shared" si="1958"/>
        <v>0</v>
      </c>
      <c r="BP221" s="22">
        <f t="shared" si="1958"/>
        <v>157.2399999999997</v>
      </c>
      <c r="BQ221" s="22">
        <f t="shared" si="1958"/>
        <v>0</v>
      </c>
      <c r="BR221" s="22">
        <f t="shared" si="1958"/>
        <v>63.920000000000329</v>
      </c>
      <c r="BS221" s="22">
        <f t="shared" si="1958"/>
        <v>0</v>
      </c>
      <c r="BT221" s="22">
        <f t="shared" si="1958"/>
        <v>72.319999999998601</v>
      </c>
      <c r="BU221" s="22">
        <f t="shared" si="1958"/>
        <v>0</v>
      </c>
      <c r="BV221" s="22">
        <f t="shared" si="1958"/>
        <v>23.570000000000363</v>
      </c>
      <c r="BW221" s="22">
        <f t="shared" si="1958"/>
        <v>0</v>
      </c>
      <c r="BX221" s="22">
        <f t="shared" si="1958"/>
        <v>17.640000000000583</v>
      </c>
      <c r="BY221" s="22">
        <f t="shared" si="1958"/>
        <v>0</v>
      </c>
      <c r="BZ221" s="22">
        <f t="shared" si="1958"/>
        <v>76.209999999999468</v>
      </c>
      <c r="CA221" s="22">
        <f t="shared" si="1958"/>
        <v>0</v>
      </c>
      <c r="CB221" s="22">
        <f t="shared" si="1958"/>
        <v>2.419999999999817</v>
      </c>
      <c r="CC221" s="22">
        <f t="shared" si="1958"/>
        <v>0</v>
      </c>
      <c r="CD221" s="22">
        <f t="shared" si="1958"/>
        <v>203.40999999999946</v>
      </c>
      <c r="CE221" s="22">
        <f t="shared" ref="CE221:CF221" si="1959">CE222+CE223</f>
        <v>0</v>
      </c>
      <c r="CF221" s="22">
        <f t="shared" si="1959"/>
        <v>106.2200000000019</v>
      </c>
      <c r="CG221" s="22">
        <f t="shared" ref="CG221:CH221" si="1960">CG222+CG223</f>
        <v>0</v>
      </c>
      <c r="CH221" s="22">
        <f t="shared" si="1960"/>
        <v>-111.50999999999999</v>
      </c>
      <c r="CI221" s="22">
        <f t="shared" ref="CI221:CJ221" si="1961">CI222+CI223</f>
        <v>0</v>
      </c>
      <c r="CJ221" s="22">
        <f t="shared" si="1961"/>
        <v>542.22000000000071</v>
      </c>
      <c r="CK221" s="21">
        <f t="shared" ref="CK221:DB221" si="1962">CK222+CK223</f>
        <v>0</v>
      </c>
      <c r="CL221" s="22">
        <f t="shared" si="1962"/>
        <v>-956.24999999999977</v>
      </c>
      <c r="CM221" s="21">
        <f t="shared" si="1962"/>
        <v>0</v>
      </c>
      <c r="CN221" s="21">
        <f t="shared" si="1962"/>
        <v>0</v>
      </c>
      <c r="CO221" s="21">
        <f t="shared" si="1962"/>
        <v>0</v>
      </c>
      <c r="CP221" s="21">
        <f t="shared" si="1962"/>
        <v>0</v>
      </c>
      <c r="CQ221" s="21">
        <f t="shared" si="1962"/>
        <v>0</v>
      </c>
      <c r="CR221" s="21">
        <f t="shared" si="1962"/>
        <v>0</v>
      </c>
      <c r="CS221" s="21">
        <f t="shared" si="1962"/>
        <v>0</v>
      </c>
      <c r="CT221" s="21">
        <f t="shared" si="1962"/>
        <v>0</v>
      </c>
      <c r="CU221" s="21">
        <f t="shared" si="1962"/>
        <v>0</v>
      </c>
      <c r="CV221" s="21">
        <f t="shared" si="1962"/>
        <v>0</v>
      </c>
      <c r="CW221" s="21">
        <f t="shared" si="1962"/>
        <v>0</v>
      </c>
      <c r="CX221" s="21">
        <f t="shared" si="1962"/>
        <v>0</v>
      </c>
      <c r="CY221" s="21">
        <f t="shared" si="1962"/>
        <v>0</v>
      </c>
      <c r="CZ221" s="21">
        <f t="shared" si="1962"/>
        <v>0</v>
      </c>
      <c r="DA221" s="21">
        <f t="shared" si="1962"/>
        <v>0</v>
      </c>
      <c r="DB221" s="21">
        <f t="shared" si="1962"/>
        <v>0</v>
      </c>
      <c r="DE221" s="126"/>
      <c r="DF221" s="22">
        <v>0</v>
      </c>
    </row>
    <row r="222" spans="1:110" s="23" customFormat="1" x14ac:dyDescent="0.2">
      <c r="A222" s="23" t="s">
        <v>49</v>
      </c>
      <c r="C222" s="23">
        <f t="shared" ref="C222:AA222" si="1963">C144-B144</f>
        <v>-35.944199999999995</v>
      </c>
      <c r="D222" s="23">
        <f t="shared" si="1963"/>
        <v>10.419899999999984</v>
      </c>
      <c r="E222" s="23">
        <f>E144-D144</f>
        <v>-6.0374999999999943</v>
      </c>
      <c r="F222" s="23">
        <f t="shared" si="1963"/>
        <v>23.573300000000003</v>
      </c>
      <c r="G222" s="23">
        <f t="shared" si="1963"/>
        <v>-36.407200000000003</v>
      </c>
      <c r="H222" s="23">
        <f t="shared" si="1963"/>
        <v>21.507900000000006</v>
      </c>
      <c r="I222" s="23">
        <f t="shared" si="1963"/>
        <v>-37.840299999999999</v>
      </c>
      <c r="J222" s="23">
        <f>J144-I144</f>
        <v>107.6974</v>
      </c>
      <c r="K222" s="23">
        <f>K144-J144</f>
        <v>-146.268</v>
      </c>
      <c r="L222" s="23">
        <f t="shared" si="1963"/>
        <v>102.9068</v>
      </c>
      <c r="M222" s="23">
        <f t="shared" si="1963"/>
        <v>87.085299999999989</v>
      </c>
      <c r="N222" s="23">
        <f t="shared" si="1963"/>
        <v>37.296500000000009</v>
      </c>
      <c r="O222" s="23">
        <f t="shared" si="1963"/>
        <v>1.608099999999979</v>
      </c>
      <c r="P222" s="23">
        <f t="shared" si="1963"/>
        <v>-142.00509999999997</v>
      </c>
      <c r="Q222" s="23">
        <f t="shared" si="1963"/>
        <v>148.678</v>
      </c>
      <c r="R222" s="23">
        <f t="shared" si="1963"/>
        <v>-99.800000000000011</v>
      </c>
      <c r="S222" s="23">
        <f t="shared" si="1963"/>
        <v>-28.650000000000006</v>
      </c>
      <c r="T222" s="23">
        <f t="shared" si="1963"/>
        <v>172.35999999999999</v>
      </c>
      <c r="U222" s="23">
        <f t="shared" si="1963"/>
        <v>-96.799999999999983</v>
      </c>
      <c r="V222" s="23">
        <f t="shared" si="1963"/>
        <v>42.760000000000019</v>
      </c>
      <c r="W222" s="23">
        <f t="shared" si="1963"/>
        <v>100.21999999999997</v>
      </c>
      <c r="X222" s="23">
        <f t="shared" si="1963"/>
        <v>255.14000000000004</v>
      </c>
      <c r="Y222" s="23">
        <f t="shared" si="1963"/>
        <v>97.339999999999918</v>
      </c>
      <c r="Z222" s="23">
        <f t="shared" si="1963"/>
        <v>149.99</v>
      </c>
      <c r="AA222" s="23">
        <f t="shared" si="1963"/>
        <v>103.10000000000014</v>
      </c>
      <c r="AB222" s="24">
        <f t="shared" ref="AB222" si="1964">AB144-AA144</f>
        <v>0</v>
      </c>
      <c r="AC222" s="24">
        <f t="shared" ref="AC222" si="1965">AC144-AB144</f>
        <v>0</v>
      </c>
      <c r="AD222" s="24">
        <f t="shared" ref="AD222" si="1966">AD144-AC144</f>
        <v>0</v>
      </c>
      <c r="AE222" s="24">
        <f t="shared" ref="AE222" si="1967">AE144-AD144</f>
        <v>0</v>
      </c>
      <c r="AI222" s="23">
        <f t="shared" ref="AI222" si="1968">AI144-AH144</f>
        <v>0</v>
      </c>
      <c r="AJ222" s="23">
        <f t="shared" ref="AJ222" si="1969">AJ144-AI144</f>
        <v>299.84999999999997</v>
      </c>
      <c r="AK222" s="23">
        <f t="shared" ref="AK222" si="1970">AK144-AJ144</f>
        <v>0</v>
      </c>
      <c r="AL222" s="23">
        <f t="shared" ref="AL222" si="1971">AL144-AK144</f>
        <v>-38.609999999999957</v>
      </c>
      <c r="AM222" s="23">
        <f t="shared" ref="AM222" si="1972">AM144-AL144</f>
        <v>0</v>
      </c>
      <c r="AN222" s="23">
        <f t="shared" ref="AN222" si="1973">AN144-AM144</f>
        <v>-19.050000000000011</v>
      </c>
      <c r="AO222" s="23">
        <f t="shared" ref="AO222" si="1974">AO144-AN144</f>
        <v>0</v>
      </c>
      <c r="AP222" s="23">
        <f t="shared" ref="AP222" si="1975">AP144-AO144</f>
        <v>20.699999999999989</v>
      </c>
      <c r="AQ222" s="23">
        <f t="shared" ref="AQ222" si="1976">AQ144-AP144</f>
        <v>0</v>
      </c>
      <c r="AR222" s="23">
        <f t="shared" ref="AR222" si="1977">AR144-AQ144</f>
        <v>-61.589999999999975</v>
      </c>
      <c r="AS222" s="23">
        <f t="shared" ref="AS222" si="1978">AS144-AR144</f>
        <v>0</v>
      </c>
      <c r="AT222" s="23">
        <f t="shared" ref="AT222" si="1979">AT144-AS144</f>
        <v>-79.62</v>
      </c>
      <c r="AU222" s="23">
        <f t="shared" ref="AU222" si="1980">AU144-AT144</f>
        <v>0</v>
      </c>
      <c r="AV222" s="23">
        <f t="shared" ref="AV222" si="1981">AV144-AU144</f>
        <v>50.849999999999994</v>
      </c>
      <c r="AW222" s="23">
        <f t="shared" ref="AW222" si="1982">AW144-AV144</f>
        <v>0</v>
      </c>
      <c r="AX222" s="23">
        <f t="shared" ref="AX222" si="1983">AX144-AW144</f>
        <v>98.210000000000008</v>
      </c>
      <c r="AY222" s="23">
        <f t="shared" ref="AY222" si="1984">AY144-AX144</f>
        <v>0</v>
      </c>
      <c r="AZ222" s="23">
        <f t="shared" ref="AZ222" si="1985">AZ144-AY144</f>
        <v>-101.42000000000002</v>
      </c>
      <c r="BA222" s="23">
        <f t="shared" ref="BA222" si="1986">BA144-AZ144</f>
        <v>0</v>
      </c>
      <c r="BB222" s="23">
        <f t="shared" ref="BB222" si="1987">BB144-BA144</f>
        <v>1.6200000000000045</v>
      </c>
      <c r="BC222" s="23">
        <f t="shared" ref="BC222" si="1988">BC144-BB144</f>
        <v>0</v>
      </c>
      <c r="BD222" s="23">
        <f t="shared" ref="BD222" si="1989">BD144-BC144</f>
        <v>-5.4099999999999966</v>
      </c>
      <c r="BE222" s="23">
        <f t="shared" ref="BE222" si="1990">BE144-BD144</f>
        <v>0</v>
      </c>
      <c r="BF222" s="23">
        <f t="shared" ref="BF222" si="1991">BF144-BE144</f>
        <v>-23.240000000000009</v>
      </c>
      <c r="BG222" s="23">
        <f t="shared" ref="BG222" si="1992">BG144-BF144</f>
        <v>0</v>
      </c>
      <c r="BH222" s="23">
        <f t="shared" ref="BH222" si="1993">BH144-BG144</f>
        <v>372.95000000000005</v>
      </c>
      <c r="BI222" s="23">
        <f t="shared" ref="BI222" si="1994">BI144-BH144</f>
        <v>0</v>
      </c>
      <c r="BJ222" s="23">
        <f t="shared" ref="BJ222" si="1995">BJ144-BI144</f>
        <v>-200.59000000000003</v>
      </c>
      <c r="BK222" s="23">
        <f t="shared" ref="BK222" si="1996">BK144-BJ144</f>
        <v>0</v>
      </c>
      <c r="BL222" s="23">
        <f t="shared" ref="BL222" si="1997">BL144-BK144</f>
        <v>15.770000000000039</v>
      </c>
      <c r="BM222" s="23">
        <f t="shared" ref="BM222" si="1998">BM144-BL144</f>
        <v>0</v>
      </c>
      <c r="BN222" s="23">
        <f t="shared" ref="BN222" si="1999">BN144-BM144</f>
        <v>-112.57000000000002</v>
      </c>
      <c r="BO222" s="23">
        <f t="shared" ref="BO222" si="2000">BO144-BN144</f>
        <v>0</v>
      </c>
      <c r="BP222" s="23">
        <f t="shared" ref="BP222" si="2001">BP144-BO144</f>
        <v>212.50999999999996</v>
      </c>
      <c r="BQ222" s="23">
        <f t="shared" ref="BQ222" si="2002">BQ144-BP144</f>
        <v>0</v>
      </c>
      <c r="BR222" s="23">
        <f t="shared" ref="BR222" si="2003">BR144-BQ144</f>
        <v>-178.95999999999995</v>
      </c>
      <c r="BS222" s="23">
        <f t="shared" ref="BS222" si="2004">BS144-BR144</f>
        <v>0</v>
      </c>
      <c r="BT222" s="23">
        <f t="shared" ref="BT222" si="2005">BT144-BS144</f>
        <v>162.26000000000002</v>
      </c>
      <c r="BU222" s="23">
        <f t="shared" ref="BU222" si="2006">BU144-BT144</f>
        <v>0</v>
      </c>
      <c r="BV222" s="23">
        <f t="shared" ref="BV222" si="2007">BV144-BU144</f>
        <v>-70.470000000000027</v>
      </c>
      <c r="BW222" s="23">
        <f t="shared" ref="BW222" si="2008">BW144-BV144</f>
        <v>0</v>
      </c>
      <c r="BX222" s="23">
        <f t="shared" ref="BX222" si="2009">BX144-BW144</f>
        <v>23.560000000000002</v>
      </c>
      <c r="BY222" s="23">
        <f t="shared" ref="BY222" si="2010">BY144-BX144</f>
        <v>0</v>
      </c>
      <c r="BZ222" s="23">
        <f t="shared" ref="BZ222" si="2011">BZ144-BY144</f>
        <v>249.22000000000003</v>
      </c>
      <c r="CA222" s="23">
        <f t="shared" ref="CA222" si="2012">CA144-BZ144</f>
        <v>0</v>
      </c>
      <c r="CB222" s="23">
        <f t="shared" ref="CB222" si="2013">CB144-CA144</f>
        <v>-93.470000000000027</v>
      </c>
      <c r="CC222" s="23">
        <f t="shared" ref="CC222" si="2014">CC144-CB144</f>
        <v>0</v>
      </c>
      <c r="CD222" s="23">
        <f t="shared" ref="CD222" si="2015">CD144-CC144</f>
        <v>190.80999999999995</v>
      </c>
      <c r="CE222" s="23">
        <f t="shared" ref="CE222" si="2016">CE144-CD144</f>
        <v>0</v>
      </c>
      <c r="CF222" s="23">
        <f t="shared" ref="CF222" si="2017">CF144-CE144</f>
        <v>116.51999999999998</v>
      </c>
      <c r="CG222" s="23">
        <f t="shared" ref="CG222" si="2018">CG144-CF144</f>
        <v>0</v>
      </c>
      <c r="CH222" s="23">
        <f t="shared" ref="CH222:CL222" si="2019">CH144-CG144</f>
        <v>33.470000000000027</v>
      </c>
      <c r="CI222" s="23">
        <f t="shared" si="2019"/>
        <v>0</v>
      </c>
      <c r="CJ222" s="23">
        <f t="shared" si="2019"/>
        <v>863.66000000000008</v>
      </c>
      <c r="CK222" s="24">
        <f t="shared" ref="CK222" si="2020">CK144-CJ144</f>
        <v>0</v>
      </c>
      <c r="CL222" s="23">
        <f t="shared" si="2019"/>
        <v>-760.56</v>
      </c>
      <c r="CM222" s="24">
        <f t="shared" ref="CM222" si="2021">CM144-CL144</f>
        <v>0</v>
      </c>
      <c r="CN222" s="24">
        <f t="shared" ref="CN222" si="2022">CN144-CM144</f>
        <v>0</v>
      </c>
      <c r="CO222" s="24">
        <f t="shared" ref="CO222" si="2023">CO144-CN144</f>
        <v>0</v>
      </c>
      <c r="CP222" s="24">
        <f t="shared" ref="CP222" si="2024">CP144-CO144</f>
        <v>0</v>
      </c>
      <c r="CQ222" s="24">
        <f t="shared" ref="CQ222" si="2025">CQ144-CP144</f>
        <v>0</v>
      </c>
      <c r="CR222" s="24">
        <f t="shared" ref="CR222" si="2026">CR144-CQ144</f>
        <v>0</v>
      </c>
      <c r="CS222" s="24">
        <f t="shared" ref="CS222" si="2027">CS144-CR144</f>
        <v>0</v>
      </c>
      <c r="CT222" s="24">
        <f t="shared" ref="CT222" si="2028">CT144-CS144</f>
        <v>0</v>
      </c>
      <c r="CU222" s="24">
        <f t="shared" ref="CU222" si="2029">CU144-CT144</f>
        <v>0</v>
      </c>
      <c r="CV222" s="24">
        <f t="shared" ref="CV222" si="2030">CV144-CU144</f>
        <v>0</v>
      </c>
      <c r="CW222" s="24">
        <f t="shared" ref="CW222" si="2031">CW144-CV144</f>
        <v>0</v>
      </c>
      <c r="CX222" s="24">
        <f t="shared" ref="CX222" si="2032">CX144-CW144</f>
        <v>0</v>
      </c>
      <c r="CY222" s="24">
        <f t="shared" ref="CY222" si="2033">CY144-CX144</f>
        <v>0</v>
      </c>
      <c r="CZ222" s="24">
        <f t="shared" ref="CZ222" si="2034">CZ144-CY144</f>
        <v>0</v>
      </c>
      <c r="DA222" s="24">
        <f t="shared" ref="DA222" si="2035">DA144-CZ144</f>
        <v>0</v>
      </c>
      <c r="DB222" s="24">
        <f t="shared" ref="DB222" si="2036">DB144-DA144</f>
        <v>0</v>
      </c>
      <c r="DE222" s="123"/>
      <c r="DF222" s="23">
        <v>0</v>
      </c>
    </row>
    <row r="223" spans="1:110" s="23" customFormat="1" x14ac:dyDescent="0.2">
      <c r="A223" s="23" t="s">
        <v>27</v>
      </c>
      <c r="C223" s="23">
        <f t="shared" ref="C223:AE223" si="2037">C136-C64-B136+C138-B138</f>
        <v>27.841800000000092</v>
      </c>
      <c r="D223" s="23">
        <f t="shared" si="2037"/>
        <v>-51.636100000000063</v>
      </c>
      <c r="E223" s="23">
        <f t="shared" si="2037"/>
        <v>-12.107399999999911</v>
      </c>
      <c r="F223" s="23">
        <f t="shared" si="2037"/>
        <v>-47.528800000000004</v>
      </c>
      <c r="G223" s="23">
        <f t="shared" si="2037"/>
        <v>-21.806399999999879</v>
      </c>
      <c r="H223" s="23">
        <f t="shared" si="2037"/>
        <v>-49.030900000000138</v>
      </c>
      <c r="I223" s="23">
        <f t="shared" si="2037"/>
        <v>-54.086300000000229</v>
      </c>
      <c r="J223" s="23">
        <f t="shared" si="2037"/>
        <v>-23.520499999999636</v>
      </c>
      <c r="K223" s="23">
        <f t="shared" si="2037"/>
        <v>-87.613000000000909</v>
      </c>
      <c r="L223" s="23">
        <f t="shared" si="2037"/>
        <v>-74.939899999999383</v>
      </c>
      <c r="M223" s="23">
        <f t="shared" si="2037"/>
        <v>-48.542900000000117</v>
      </c>
      <c r="N223" s="23">
        <f t="shared" si="2037"/>
        <v>-73.116099999999904</v>
      </c>
      <c r="O223" s="23">
        <f t="shared" si="2037"/>
        <v>-49.64879999999922</v>
      </c>
      <c r="P223" s="23">
        <f t="shared" si="2037"/>
        <v>-99.35129999999991</v>
      </c>
      <c r="Q223" s="23">
        <f t="shared" si="2037"/>
        <v>332.54689999999999</v>
      </c>
      <c r="R223" s="23">
        <f t="shared" si="2037"/>
        <v>-20.054599999999979</v>
      </c>
      <c r="S223" s="23">
        <f t="shared" si="2037"/>
        <v>29.409999999999595</v>
      </c>
      <c r="T223" s="23">
        <f t="shared" si="2037"/>
        <v>-300.12000000000012</v>
      </c>
      <c r="U223" s="23">
        <f t="shared" si="2037"/>
        <v>-345.22</v>
      </c>
      <c r="V223" s="23">
        <f t="shared" si="2037"/>
        <v>187.61000000000089</v>
      </c>
      <c r="W223" s="23">
        <f t="shared" si="2037"/>
        <v>4.0999999999989782</v>
      </c>
      <c r="X223" s="23">
        <f t="shared" si="2037"/>
        <v>-178.93000000000092</v>
      </c>
      <c r="Y223" s="23">
        <f t="shared" si="2037"/>
        <v>108.49000000000211</v>
      </c>
      <c r="Z223" s="23">
        <f t="shared" si="2037"/>
        <v>-155.28000000000171</v>
      </c>
      <c r="AA223" s="23">
        <f t="shared" si="2037"/>
        <v>-517.1299999999992</v>
      </c>
      <c r="AB223" s="24">
        <f t="shared" si="2037"/>
        <v>-2.7284841053187847E-12</v>
      </c>
      <c r="AC223" s="24">
        <f t="shared" si="2037"/>
        <v>-9.0949470177292824E-13</v>
      </c>
      <c r="AD223" s="24">
        <f t="shared" si="2037"/>
        <v>2.7284841053187847E-12</v>
      </c>
      <c r="AE223" s="24">
        <f t="shared" si="2037"/>
        <v>-1.8189894035458565E-12</v>
      </c>
      <c r="AI223" s="23">
        <f t="shared" ref="AI223:BN223" si="2038">AI136-AI64-AH136+AI138-AH138</f>
        <v>-79.120000000000076</v>
      </c>
      <c r="AJ223" s="23">
        <f t="shared" si="2038"/>
        <v>1572.5499999999997</v>
      </c>
      <c r="AK223" s="23">
        <f t="shared" si="2038"/>
        <v>0</v>
      </c>
      <c r="AL223" s="23">
        <f t="shared" si="2038"/>
        <v>-63.77999999999998</v>
      </c>
      <c r="AM223" s="23">
        <f t="shared" si="2038"/>
        <v>0</v>
      </c>
      <c r="AN223" s="23">
        <f t="shared" si="2038"/>
        <v>23.839999999999826</v>
      </c>
      <c r="AO223" s="23">
        <f t="shared" si="2038"/>
        <v>0</v>
      </c>
      <c r="AP223" s="23">
        <f t="shared" si="2038"/>
        <v>-73.489999999999682</v>
      </c>
      <c r="AQ223" s="23">
        <f t="shared" si="2038"/>
        <v>0</v>
      </c>
      <c r="AR223" s="23">
        <f t="shared" si="2038"/>
        <v>-5.6499999999998547</v>
      </c>
      <c r="AS223" s="23">
        <f t="shared" si="2038"/>
        <v>0</v>
      </c>
      <c r="AT223" s="23">
        <f t="shared" si="2038"/>
        <v>-93.699999999999619</v>
      </c>
      <c r="AU223" s="23">
        <f t="shared" si="2038"/>
        <v>0</v>
      </c>
      <c r="AV223" s="23">
        <f t="shared" si="2038"/>
        <v>-2.1000000000000014</v>
      </c>
      <c r="AW223" s="23">
        <f t="shared" si="2038"/>
        <v>0</v>
      </c>
      <c r="AX223" s="23">
        <f t="shared" si="2038"/>
        <v>335.63999999999987</v>
      </c>
      <c r="AY223" s="23">
        <f t="shared" si="2038"/>
        <v>0</v>
      </c>
      <c r="AZ223" s="23">
        <f t="shared" si="2038"/>
        <v>-23.260000000000055</v>
      </c>
      <c r="BA223" s="23">
        <f t="shared" si="2038"/>
        <v>0</v>
      </c>
      <c r="BB223" s="23">
        <f t="shared" si="2038"/>
        <v>3.1999999999999638</v>
      </c>
      <c r="BC223" s="23">
        <f t="shared" si="2038"/>
        <v>0</v>
      </c>
      <c r="BD223" s="23">
        <f t="shared" si="2038"/>
        <v>-46.379999999999768</v>
      </c>
      <c r="BE223" s="23">
        <f t="shared" si="2038"/>
        <v>0</v>
      </c>
      <c r="BF223" s="23">
        <f t="shared" si="2038"/>
        <v>75.789999999999367</v>
      </c>
      <c r="BG223" s="23">
        <f t="shared" si="2038"/>
        <v>0</v>
      </c>
      <c r="BH223" s="23">
        <f t="shared" si="2038"/>
        <v>-296.72999999999973</v>
      </c>
      <c r="BI223" s="23">
        <f t="shared" si="2038"/>
        <v>0</v>
      </c>
      <c r="BJ223" s="23">
        <f t="shared" si="2038"/>
        <v>-3.3900000000003629</v>
      </c>
      <c r="BK223" s="23">
        <f t="shared" si="2038"/>
        <v>0</v>
      </c>
      <c r="BL223" s="23">
        <f t="shared" si="2038"/>
        <v>-289.50999999999942</v>
      </c>
      <c r="BM223" s="23">
        <f t="shared" si="2038"/>
        <v>4.5474735088646412E-13</v>
      </c>
      <c r="BN223" s="23">
        <f t="shared" si="2038"/>
        <v>-55.709999999999269</v>
      </c>
      <c r="BO223" s="23">
        <f t="shared" ref="BO223:CT223" si="2039">BO136-BO64-BN136+BO138-BN138</f>
        <v>0</v>
      </c>
      <c r="BP223" s="23">
        <f t="shared" si="2039"/>
        <v>-55.270000000000259</v>
      </c>
      <c r="BQ223" s="23">
        <f t="shared" si="2039"/>
        <v>0</v>
      </c>
      <c r="BR223" s="23">
        <f t="shared" si="2039"/>
        <v>242.88000000000028</v>
      </c>
      <c r="BS223" s="23">
        <f t="shared" si="2039"/>
        <v>0</v>
      </c>
      <c r="BT223" s="23">
        <f t="shared" si="2039"/>
        <v>-89.940000000001419</v>
      </c>
      <c r="BU223" s="23">
        <f t="shared" si="2039"/>
        <v>0</v>
      </c>
      <c r="BV223" s="23">
        <f t="shared" si="2039"/>
        <v>94.04000000000039</v>
      </c>
      <c r="BW223" s="23">
        <f t="shared" si="2039"/>
        <v>0</v>
      </c>
      <c r="BX223" s="23">
        <f t="shared" si="2039"/>
        <v>-5.9199999999994191</v>
      </c>
      <c r="BY223" s="23">
        <f t="shared" si="2039"/>
        <v>0</v>
      </c>
      <c r="BZ223" s="23">
        <f t="shared" si="2039"/>
        <v>-173.01000000000056</v>
      </c>
      <c r="CA223" s="23">
        <f t="shared" si="2039"/>
        <v>0</v>
      </c>
      <c r="CB223" s="23">
        <f t="shared" si="2039"/>
        <v>95.889999999999844</v>
      </c>
      <c r="CC223" s="23">
        <f t="shared" si="2039"/>
        <v>0</v>
      </c>
      <c r="CD223" s="23">
        <f t="shared" si="2039"/>
        <v>12.599999999999525</v>
      </c>
      <c r="CE223" s="23">
        <f t="shared" si="2039"/>
        <v>0</v>
      </c>
      <c r="CF223" s="23">
        <f t="shared" si="2039"/>
        <v>-10.299999999998072</v>
      </c>
      <c r="CG223" s="23">
        <f t="shared" si="2039"/>
        <v>0</v>
      </c>
      <c r="CH223" s="23">
        <f t="shared" si="2039"/>
        <v>-144.98000000000002</v>
      </c>
      <c r="CI223" s="23">
        <f t="shared" si="2039"/>
        <v>0</v>
      </c>
      <c r="CJ223" s="23">
        <f t="shared" si="2039"/>
        <v>-321.43999999999932</v>
      </c>
      <c r="CK223" s="24">
        <f t="shared" si="2039"/>
        <v>0</v>
      </c>
      <c r="CL223" s="23">
        <f t="shared" si="2039"/>
        <v>-195.68999999999986</v>
      </c>
      <c r="CM223" s="24">
        <f t="shared" si="2039"/>
        <v>0</v>
      </c>
      <c r="CN223" s="24">
        <f t="shared" si="2039"/>
        <v>0</v>
      </c>
      <c r="CO223" s="24">
        <f t="shared" si="2039"/>
        <v>0</v>
      </c>
      <c r="CP223" s="24">
        <f t="shared" si="2039"/>
        <v>0</v>
      </c>
      <c r="CQ223" s="24">
        <f t="shared" si="2039"/>
        <v>0</v>
      </c>
      <c r="CR223" s="24">
        <f t="shared" si="2039"/>
        <v>0</v>
      </c>
      <c r="CS223" s="24">
        <f t="shared" si="2039"/>
        <v>0</v>
      </c>
      <c r="CT223" s="24">
        <f t="shared" si="2039"/>
        <v>0</v>
      </c>
      <c r="CU223" s="24">
        <f t="shared" ref="CU223:DB223" si="2040">CU136-CU64-CT136+CU138-CT138</f>
        <v>0</v>
      </c>
      <c r="CV223" s="24">
        <f t="shared" si="2040"/>
        <v>0</v>
      </c>
      <c r="CW223" s="24">
        <f t="shared" si="2040"/>
        <v>0</v>
      </c>
      <c r="CX223" s="24">
        <f t="shared" si="2040"/>
        <v>0</v>
      </c>
      <c r="CY223" s="24">
        <f t="shared" si="2040"/>
        <v>0</v>
      </c>
      <c r="CZ223" s="24">
        <f t="shared" si="2040"/>
        <v>0</v>
      </c>
      <c r="DA223" s="24">
        <f t="shared" si="2040"/>
        <v>0</v>
      </c>
      <c r="DB223" s="24">
        <f t="shared" si="2040"/>
        <v>0</v>
      </c>
      <c r="DE223" s="123"/>
      <c r="DF223" s="23">
        <v>0</v>
      </c>
    </row>
    <row r="224" spans="1:110" s="23" customFormat="1" x14ac:dyDescent="0.2">
      <c r="AB224" s="24"/>
      <c r="AC224" s="24"/>
      <c r="AD224" s="24"/>
      <c r="AE224" s="24"/>
      <c r="CK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3" customFormat="1" x14ac:dyDescent="0.2">
      <c r="A225" s="23" t="s">
        <v>442</v>
      </c>
      <c r="C225" s="23">
        <f t="shared" ref="C225" si="2041">B177</f>
        <v>19.705399999999997</v>
      </c>
      <c r="D225" s="23">
        <f t="shared" ref="D225" si="2042">C177</f>
        <v>81.647400000000005</v>
      </c>
      <c r="E225" s="23">
        <f>D177</f>
        <v>99.416200000000003</v>
      </c>
      <c r="F225" s="23">
        <f t="shared" ref="F225" si="2043">E177</f>
        <v>104.58869999999999</v>
      </c>
      <c r="G225" s="23">
        <f t="shared" ref="G225" si="2044">F177</f>
        <v>162.70659999999998</v>
      </c>
      <c r="H225" s="23">
        <f t="shared" ref="H225" si="2045">G177</f>
        <v>147.33539999999999</v>
      </c>
      <c r="I225" s="23">
        <f t="shared" ref="I225" si="2046">H177</f>
        <v>263.13679999999999</v>
      </c>
      <c r="J225" s="23">
        <f>I177</f>
        <v>527.4692</v>
      </c>
      <c r="K225" s="23">
        <f>J177</f>
        <v>581.46550000000002</v>
      </c>
      <c r="L225" s="23">
        <f t="shared" ref="L225" si="2047">K177</f>
        <v>677.92560000000003</v>
      </c>
      <c r="M225" s="23">
        <f t="shared" ref="M225" si="2048">L177</f>
        <v>713.69759999999997</v>
      </c>
      <c r="N225" s="23">
        <f t="shared" ref="N225" si="2049">M177</f>
        <v>494.38959999999997</v>
      </c>
      <c r="O225" s="23">
        <f t="shared" ref="O225" si="2050">N177</f>
        <v>617.87360000000001</v>
      </c>
      <c r="P225" s="23">
        <f t="shared" ref="P225" si="2051">O177</f>
        <v>874.50929999999994</v>
      </c>
      <c r="Q225" s="23">
        <f t="shared" ref="Q225" si="2052">P177</f>
        <v>718.61650000000009</v>
      </c>
      <c r="R225" s="23">
        <f t="shared" ref="R225" si="2053">Q177</f>
        <v>853.13530000000003</v>
      </c>
      <c r="S225" s="23">
        <f t="shared" ref="S225" si="2054">R177</f>
        <v>530.97</v>
      </c>
      <c r="T225" s="23">
        <f t="shared" ref="T225" si="2055">S177</f>
        <v>771.32999999999993</v>
      </c>
      <c r="U225" s="23">
        <f t="shared" ref="U225" si="2056">T177</f>
        <v>1556.8000000000002</v>
      </c>
      <c r="V225" s="23">
        <f t="shared" ref="V225" si="2057">U177</f>
        <v>828.8</v>
      </c>
      <c r="W225" s="23">
        <f t="shared" ref="W225:AA225" si="2058">V177</f>
        <v>708.11</v>
      </c>
      <c r="X225" s="23">
        <f t="shared" si="2058"/>
        <v>1005.9399999999999</v>
      </c>
      <c r="Y225" s="23">
        <f t="shared" si="2058"/>
        <v>1015.54</v>
      </c>
      <c r="Z225" s="23">
        <f t="shared" si="2058"/>
        <v>1353.78</v>
      </c>
      <c r="AA225" s="23">
        <f t="shared" si="2058"/>
        <v>1076.9000000000001</v>
      </c>
      <c r="AB225" s="24">
        <f t="shared" ref="AB225" si="2059">AA177</f>
        <v>1058.01</v>
      </c>
      <c r="AC225" s="24">
        <f t="shared" ref="AC225" si="2060">AB177</f>
        <v>1136.5455981352998</v>
      </c>
      <c r="AD225" s="24">
        <f t="shared" ref="AD225" si="2061">AC177</f>
        <v>1418.5045051549198</v>
      </c>
      <c r="AE225" s="24">
        <f t="shared" ref="AE225" si="2062">AD177</f>
        <v>1742.5261839571949</v>
      </c>
      <c r="AI225" s="23">
        <f t="shared" ref="AI225" si="2063">AH177</f>
        <v>0</v>
      </c>
      <c r="AJ225" s="23">
        <f t="shared" ref="AJ225" si="2064">AI177</f>
        <v>0</v>
      </c>
      <c r="AK225" s="23">
        <f t="shared" ref="AK225" si="2065">AJ177</f>
        <v>464.78</v>
      </c>
      <c r="AL225" s="23">
        <f t="shared" ref="AL225" si="2066">AK177</f>
        <v>562.22052580958257</v>
      </c>
      <c r="AM225" s="23">
        <f t="shared" ref="AM225" si="2067">AL177</f>
        <v>617.87</v>
      </c>
      <c r="AN225" s="23">
        <f t="shared" ref="AN225" si="2068">AM177</f>
        <v>656.21284883320504</v>
      </c>
      <c r="AO225" s="23">
        <f t="shared" ref="AO225" si="2069">AN177</f>
        <v>790.47</v>
      </c>
      <c r="AP225" s="23">
        <f t="shared" ref="AP225" si="2070">AO177</f>
        <v>831.94361665108727</v>
      </c>
      <c r="AQ225" s="23">
        <f t="shared" ref="AQ225" si="2071">AP177</f>
        <v>874.51</v>
      </c>
      <c r="AR225" s="23">
        <f t="shared" ref="AR225" si="2072">AQ177</f>
        <v>860.79812668767681</v>
      </c>
      <c r="AS225" s="23">
        <f t="shared" ref="AS225" si="2073">AR177</f>
        <v>843.79000000000008</v>
      </c>
      <c r="AT225" s="23">
        <f t="shared" ref="AT225" si="2074">AS177</f>
        <v>972.26672340425523</v>
      </c>
      <c r="AU225" s="23">
        <f t="shared" ref="AU225" si="2075">AT177</f>
        <v>718.61</v>
      </c>
      <c r="AV225" s="23">
        <f t="shared" ref="AV225" si="2076">AU177</f>
        <v>790.61801418820494</v>
      </c>
      <c r="AW225" s="23">
        <f t="shared" ref="AW225" si="2077">AV177</f>
        <v>678.13</v>
      </c>
      <c r="AX225" s="23">
        <f t="shared" ref="AX225" si="2078">AW177</f>
        <v>592.70786830741019</v>
      </c>
      <c r="AY225" s="23">
        <f t="shared" ref="AY225" si="2079">AX177</f>
        <v>853.13</v>
      </c>
      <c r="AZ225" s="23">
        <f t="shared" ref="AZ225" si="2080">AY177</f>
        <v>1013.2027511591961</v>
      </c>
      <c r="BA225" s="23">
        <f t="shared" ref="BA225" si="2081">AZ177</f>
        <v>424.95</v>
      </c>
      <c r="BB225" s="23">
        <f t="shared" ref="BB225" si="2082">BA177</f>
        <v>471.2656790903348</v>
      </c>
      <c r="BC225" s="23">
        <f t="shared" ref="BC225" si="2083">BB177</f>
        <v>530.97</v>
      </c>
      <c r="BD225" s="23">
        <f t="shared" ref="BD225" si="2084">BC177</f>
        <v>736.84894687745975</v>
      </c>
      <c r="BE225" s="23">
        <f t="shared" ref="BE225" si="2085">BD177</f>
        <v>258.67</v>
      </c>
      <c r="BF225" s="23">
        <f t="shared" ref="BF225" si="2086">BE177</f>
        <v>196.32065215923558</v>
      </c>
      <c r="BG225" s="23">
        <f t="shared" ref="BG225" si="2087">BF177</f>
        <v>771.32999999999993</v>
      </c>
      <c r="BH225" s="23">
        <f t="shared" ref="BH225" si="2088">BG177</f>
        <v>945.1805741122248</v>
      </c>
      <c r="BI225" s="23">
        <f t="shared" ref="BI225" si="2089">BH177</f>
        <v>262.32</v>
      </c>
      <c r="BJ225" s="23">
        <f t="shared" ref="BJ225" si="2090">BI177</f>
        <v>307.50631887769464</v>
      </c>
      <c r="BK225" s="23">
        <f t="shared" ref="BK225" si="2091">BJ177</f>
        <v>1556.8000000000002</v>
      </c>
      <c r="BL225" s="23">
        <f t="shared" ref="BL225" si="2092">BK177</f>
        <v>1573.1497298869522</v>
      </c>
      <c r="BM225" s="23">
        <f t="shared" ref="BM225" si="2093">BL177</f>
        <v>1660.8000000000002</v>
      </c>
      <c r="BN225" s="23">
        <f t="shared" ref="BN225" si="2094">BM177</f>
        <v>1722.5320231514704</v>
      </c>
      <c r="BO225" s="23">
        <f t="shared" ref="BO225" si="2095">BN177</f>
        <v>828.8</v>
      </c>
      <c r="BP225" s="23">
        <f t="shared" ref="BP225" si="2096">BO177</f>
        <v>1140.3260172853556</v>
      </c>
      <c r="BQ225" s="23">
        <f t="shared" ref="BQ225" si="2097">BP177</f>
        <v>495.44</v>
      </c>
      <c r="BR225" s="23">
        <f t="shared" ref="BR225" si="2098">BQ177</f>
        <v>382.72419908963406</v>
      </c>
      <c r="BS225" s="23">
        <f t="shared" ref="BS225" si="2099">BR177</f>
        <v>708.11</v>
      </c>
      <c r="BT225" s="23">
        <f t="shared" ref="BT225" si="2100">BS177</f>
        <v>1031.1949912884756</v>
      </c>
      <c r="BU225" s="23">
        <f t="shared" ref="BU225" si="2101">BT177</f>
        <v>602.5</v>
      </c>
      <c r="BV225" s="23">
        <f t="shared" ref="BV225" si="2102">BU177</f>
        <v>623.97513853695546</v>
      </c>
      <c r="BW225" s="23">
        <f t="shared" ref="BW225" si="2103">BV177</f>
        <v>1005.9399999999999</v>
      </c>
      <c r="BX225" s="23">
        <f t="shared" ref="BX225" si="2104">BW177</f>
        <v>1083.2896524387047</v>
      </c>
      <c r="BY225" s="23">
        <f t="shared" ref="BY225" si="2105">BX177</f>
        <v>1226.8000000000002</v>
      </c>
      <c r="BZ225" s="23">
        <f t="shared" ref="BZ225" si="2106">BY177</f>
        <v>970.48326341921256</v>
      </c>
      <c r="CA225" s="23">
        <f t="shared" ref="CA225" si="2107">BZ177</f>
        <v>1015.54</v>
      </c>
      <c r="CB225" s="23">
        <f t="shared" ref="CB225" si="2108">CA177</f>
        <v>1039.704241950757</v>
      </c>
      <c r="CC225" s="23">
        <f t="shared" ref="CC225" si="2109">CB177</f>
        <v>889.7</v>
      </c>
      <c r="CD225" s="23">
        <f t="shared" ref="CD225" si="2110">CC177</f>
        <v>773.52308563951465</v>
      </c>
      <c r="CE225" s="23">
        <f t="shared" ref="CE225" si="2111">CD177</f>
        <v>1353.78</v>
      </c>
      <c r="CF225" s="23">
        <f t="shared" ref="CF225" si="2112">CE177</f>
        <v>1558.1088956144345</v>
      </c>
      <c r="CG225" s="23">
        <f t="shared" ref="CG225" si="2113">CF177</f>
        <v>964.03</v>
      </c>
      <c r="CH225" s="23">
        <f t="shared" ref="CH225:CL225" si="2114">CG177</f>
        <v>935.85724830190372</v>
      </c>
      <c r="CI225" s="23">
        <f t="shared" si="2114"/>
        <v>1076.9000000000001</v>
      </c>
      <c r="CJ225" s="23">
        <f t="shared" si="2114"/>
        <v>1660.1424417102253</v>
      </c>
      <c r="CK225" s="24">
        <f t="shared" ref="CK225" si="2115">CJ177</f>
        <v>817.09</v>
      </c>
      <c r="CL225" s="23">
        <f t="shared" si="2114"/>
        <v>-209.26624418485756</v>
      </c>
      <c r="CM225" s="24">
        <f t="shared" ref="CM225" si="2116">CL177</f>
        <v>1058.01</v>
      </c>
      <c r="CN225" s="24">
        <f t="shared" ref="CN225" si="2117">CM177</f>
        <v>1312.6067192267246</v>
      </c>
      <c r="CO225" s="24">
        <f t="shared" ref="CO225" si="2118">CN177</f>
        <v>2462.1182371331788</v>
      </c>
      <c r="CP225" s="24">
        <f t="shared" ref="CP225" si="2119">CO177</f>
        <v>2107.8171281602818</v>
      </c>
      <c r="CQ225" s="24">
        <f t="shared" ref="CQ225" si="2120">CP177</f>
        <v>1136.5455981352998</v>
      </c>
      <c r="CR225" s="24">
        <f t="shared" ref="CR225" si="2121">CQ177</f>
        <v>1604.9043172316565</v>
      </c>
      <c r="CS225" s="24">
        <f t="shared" ref="CS225" si="2122">CR177</f>
        <v>2941.2917459915079</v>
      </c>
      <c r="CT225" s="24">
        <f t="shared" ref="CT225" si="2123">CS177</f>
        <v>2532.1165566419641</v>
      </c>
      <c r="CU225" s="24">
        <f t="shared" ref="CU225" si="2124">CT177</f>
        <v>1418.5045051549198</v>
      </c>
      <c r="CV225" s="24">
        <f t="shared" ref="CV225" si="2125">CU177</f>
        <v>1962.2320079182878</v>
      </c>
      <c r="CW225" s="24">
        <f t="shared" ref="CW225" si="2126">CV177</f>
        <v>3501.1559021220355</v>
      </c>
      <c r="CX225" s="24">
        <f t="shared" ref="CX225" si="2127">CW177</f>
        <v>3028.5517230332671</v>
      </c>
      <c r="CY225" s="24">
        <f t="shared" ref="CY225" si="2128">CX177</f>
        <v>1742.5261839571949</v>
      </c>
      <c r="CZ225" s="24">
        <f t="shared" ref="CZ225" si="2129">CY177</f>
        <v>2368.8626701306221</v>
      </c>
      <c r="DA225" s="24">
        <f t="shared" ref="DA225" si="2130">CZ177</f>
        <v>4138.1078221351254</v>
      </c>
      <c r="DB225" s="24">
        <f t="shared" ref="DB225" si="2131">DA177</f>
        <v>3593.199763648845</v>
      </c>
      <c r="DE225" s="123"/>
      <c r="DF225" s="23">
        <v>-209.26624418485756</v>
      </c>
    </row>
    <row r="226" spans="1:110" s="23" customFormat="1" x14ac:dyDescent="0.2">
      <c r="A226" s="23" t="s">
        <v>443</v>
      </c>
      <c r="C226" s="23">
        <f t="shared" ref="C226:W226" si="2132">C225+C221+C217+C215</f>
        <v>81.647400000000076</v>
      </c>
      <c r="D226" s="23">
        <f t="shared" si="2132"/>
        <v>99.416200000000089</v>
      </c>
      <c r="E226" s="23">
        <f t="shared" si="2132"/>
        <v>104.58869999999997</v>
      </c>
      <c r="F226" s="23">
        <f t="shared" si="2132"/>
        <v>162.70659999999992</v>
      </c>
      <c r="G226" s="23">
        <f t="shared" si="2132"/>
        <v>147.33540000000011</v>
      </c>
      <c r="H226" s="23">
        <f t="shared" si="2132"/>
        <v>263.13679999999999</v>
      </c>
      <c r="I226" s="23">
        <f t="shared" si="2132"/>
        <v>527.46919999999977</v>
      </c>
      <c r="J226" s="23">
        <f>J225+J221+J217+J215</f>
        <v>581.46550000000047</v>
      </c>
      <c r="K226" s="23">
        <f>K225+K221+K217+K215</f>
        <v>677.92560000000003</v>
      </c>
      <c r="L226" s="23">
        <f>L225+L221+L217+L215</f>
        <v>713.69759999999985</v>
      </c>
      <c r="M226" s="23">
        <f>M225+M221+M217+M215</f>
        <v>494.38959999999986</v>
      </c>
      <c r="N226" s="23">
        <f t="shared" si="2132"/>
        <v>617.87359999999921</v>
      </c>
      <c r="O226" s="23">
        <f t="shared" si="2132"/>
        <v>874.50930000000085</v>
      </c>
      <c r="P226" s="23">
        <f t="shared" si="2132"/>
        <v>718.61649999999975</v>
      </c>
      <c r="Q226" s="23">
        <f t="shared" si="2132"/>
        <v>853.13530000000071</v>
      </c>
      <c r="R226" s="23">
        <f t="shared" si="2132"/>
        <v>530.96999999999923</v>
      </c>
      <c r="S226" s="23">
        <f t="shared" si="2132"/>
        <v>771.33000000000038</v>
      </c>
      <c r="T226" s="23">
        <f t="shared" si="2132"/>
        <v>1556.7999999999997</v>
      </c>
      <c r="U226" s="23">
        <f t="shared" si="2132"/>
        <v>828.80000000000041</v>
      </c>
      <c r="V226" s="23">
        <f t="shared" si="2132"/>
        <v>708.11000000000035</v>
      </c>
      <c r="W226" s="23">
        <f t="shared" si="2132"/>
        <v>1005.9399999999994</v>
      </c>
      <c r="X226" s="23">
        <f t="shared" ref="X226:Y226" si="2133">X225+X221+X217+X215</f>
        <v>1015.5399999999995</v>
      </c>
      <c r="Y226" s="23">
        <f t="shared" si="2133"/>
        <v>1353.7799999999997</v>
      </c>
      <c r="Z226" s="23">
        <f t="shared" ref="Z226:AA226" si="2134">Z225+Z221+Z217+Z215</f>
        <v>1076.8999999999992</v>
      </c>
      <c r="AA226" s="23">
        <f t="shared" si="2134"/>
        <v>1058.0100000000016</v>
      </c>
      <c r="AB226" s="24">
        <f t="shared" ref="AA226:AD226" si="2135">AB225+AB221+AB217+AB215</f>
        <v>1136.5455981352993</v>
      </c>
      <c r="AC226" s="24">
        <f t="shared" si="2135"/>
        <v>1418.5045051549205</v>
      </c>
      <c r="AD226" s="24">
        <f t="shared" si="2135"/>
        <v>1742.5261839571949</v>
      </c>
      <c r="AE226" s="24">
        <f t="shared" ref="AE226" si="2136">AE225+AE221+AE217+AE215</f>
        <v>2112.8476959645764</v>
      </c>
      <c r="AI226" s="23">
        <f t="shared" ref="AI226" si="2137">AI225+AI221+AI217+AI215</f>
        <v>0</v>
      </c>
      <c r="AJ226" s="23">
        <f t="shared" ref="AJ226:AL226" si="2138">AJ225+AJ221+AJ217+AJ215</f>
        <v>464.77999999999929</v>
      </c>
      <c r="AK226" s="23">
        <f t="shared" si="2138"/>
        <v>562.22052580958257</v>
      </c>
      <c r="AL226" s="23">
        <f t="shared" si="2138"/>
        <v>617.87000000000012</v>
      </c>
      <c r="AM226" s="23">
        <f t="shared" ref="AM226" si="2139">AM225+AM221+AM217+AM215</f>
        <v>656.21284883320504</v>
      </c>
      <c r="AN226" s="23">
        <f t="shared" ref="AN226:CD226" si="2140">AN225+AN221+AN217+AN215</f>
        <v>790.47</v>
      </c>
      <c r="AO226" s="23">
        <f t="shared" si="2140"/>
        <v>831.94361665108727</v>
      </c>
      <c r="AP226" s="23">
        <f t="shared" si="2140"/>
        <v>874.51000000000022</v>
      </c>
      <c r="AQ226" s="23">
        <f t="shared" si="2140"/>
        <v>860.79812668767681</v>
      </c>
      <c r="AR226" s="23">
        <f t="shared" si="2140"/>
        <v>843.79000000000019</v>
      </c>
      <c r="AS226" s="23">
        <f t="shared" si="2140"/>
        <v>972.26672340425523</v>
      </c>
      <c r="AT226" s="23">
        <f t="shared" si="2140"/>
        <v>718.61000000000035</v>
      </c>
      <c r="AU226" s="23">
        <f t="shared" si="2140"/>
        <v>790.61801418820494</v>
      </c>
      <c r="AV226" s="23">
        <f t="shared" si="2140"/>
        <v>678.12999999999943</v>
      </c>
      <c r="AW226" s="23">
        <f t="shared" si="2140"/>
        <v>592.70786830741019</v>
      </c>
      <c r="AX226" s="23">
        <f t="shared" si="2140"/>
        <v>853.13000000000034</v>
      </c>
      <c r="AY226" s="23">
        <f t="shared" si="2140"/>
        <v>1013.2027511591961</v>
      </c>
      <c r="AZ226" s="23">
        <f t="shared" si="2140"/>
        <v>424.94999999999919</v>
      </c>
      <c r="BA226" s="23">
        <f t="shared" si="2140"/>
        <v>471.2656790903348</v>
      </c>
      <c r="BB226" s="23">
        <f t="shared" si="2140"/>
        <v>530.97000000000071</v>
      </c>
      <c r="BC226" s="23">
        <f t="shared" si="2140"/>
        <v>736.84894687745975</v>
      </c>
      <c r="BD226" s="23">
        <f t="shared" si="2140"/>
        <v>258.6699999999995</v>
      </c>
      <c r="BE226" s="23">
        <f t="shared" si="2140"/>
        <v>196.32065215923558</v>
      </c>
      <c r="BF226" s="23">
        <f t="shared" si="2140"/>
        <v>771.3299999999997</v>
      </c>
      <c r="BG226" s="23">
        <f t="shared" si="2140"/>
        <v>945.1805741122248</v>
      </c>
      <c r="BH226" s="23">
        <f t="shared" si="2140"/>
        <v>262.31999999999925</v>
      </c>
      <c r="BI226" s="23">
        <f t="shared" si="2140"/>
        <v>307.50631887769464</v>
      </c>
      <c r="BJ226" s="23">
        <f t="shared" si="2140"/>
        <v>1556.8</v>
      </c>
      <c r="BK226" s="23">
        <f t="shared" si="2140"/>
        <v>1573.1497298869522</v>
      </c>
      <c r="BL226" s="23">
        <f t="shared" si="2140"/>
        <v>1660.8000000000013</v>
      </c>
      <c r="BM226" s="23">
        <f t="shared" si="2140"/>
        <v>1722.5320231514704</v>
      </c>
      <c r="BN226" s="23">
        <f t="shared" si="2140"/>
        <v>828.80000000000086</v>
      </c>
      <c r="BO226" s="23">
        <f t="shared" si="2140"/>
        <v>1140.3260172853556</v>
      </c>
      <c r="BP226" s="23">
        <f t="shared" si="2140"/>
        <v>495.42999999999995</v>
      </c>
      <c r="BQ226" s="23">
        <f t="shared" si="2140"/>
        <v>382.72419908963406</v>
      </c>
      <c r="BR226" s="23">
        <f t="shared" si="2140"/>
        <v>708.12000000000012</v>
      </c>
      <c r="BS226" s="23">
        <f t="shared" si="2140"/>
        <v>1031.1949912884756</v>
      </c>
      <c r="BT226" s="23">
        <f t="shared" si="2140"/>
        <v>602.49999999999909</v>
      </c>
      <c r="BU226" s="23">
        <f t="shared" si="2140"/>
        <v>623.97513853695546</v>
      </c>
      <c r="BV226" s="23">
        <f t="shared" si="2140"/>
        <v>1005.9399999999991</v>
      </c>
      <c r="BW226" s="23">
        <f t="shared" si="2140"/>
        <v>1083.2896524387047</v>
      </c>
      <c r="BX226" s="23">
        <f t="shared" si="2140"/>
        <v>1226.8000000000011</v>
      </c>
      <c r="BY226" s="23">
        <f t="shared" si="2140"/>
        <v>970.48326341921256</v>
      </c>
      <c r="BZ226" s="23">
        <f t="shared" si="2140"/>
        <v>1015.5400000000011</v>
      </c>
      <c r="CA226" s="23">
        <f t="shared" si="2140"/>
        <v>1039.704241950757</v>
      </c>
      <c r="CB226" s="23">
        <f t="shared" si="2140"/>
        <v>889.69999999999936</v>
      </c>
      <c r="CC226" s="23">
        <f t="shared" si="2140"/>
        <v>773.52308563951465</v>
      </c>
      <c r="CD226" s="23">
        <f t="shared" si="2140"/>
        <v>1353.7799999999984</v>
      </c>
      <c r="CE226" s="23">
        <f t="shared" ref="CE226:CF226" si="2141">CE225+CE221+CE217+CE215</f>
        <v>1558.1088956144345</v>
      </c>
      <c r="CF226" s="23">
        <f t="shared" si="2141"/>
        <v>964.03000000000225</v>
      </c>
      <c r="CG226" s="23">
        <f t="shared" ref="CG226:CH226" si="2142">CG225+CG221+CG217+CG215</f>
        <v>935.85724830190372</v>
      </c>
      <c r="CH226" s="23">
        <f t="shared" si="2142"/>
        <v>1076.8999999999976</v>
      </c>
      <c r="CI226" s="23">
        <f t="shared" ref="CI226:CJ226" si="2143">CI225+CI221+CI217+CI215</f>
        <v>1660.1424417102253</v>
      </c>
      <c r="CJ226" s="23">
        <f t="shared" si="2143"/>
        <v>817.09000000000174</v>
      </c>
      <c r="CK226" s="24">
        <f t="shared" ref="CK226:DB226" si="2144">CK225+CK221+CK217+CK215</f>
        <v>-209.26624418485756</v>
      </c>
      <c r="CL226" s="23">
        <f t="shared" si="2144"/>
        <v>1058.0100000000007</v>
      </c>
      <c r="CM226" s="24">
        <f t="shared" si="2144"/>
        <v>1312.6067192267246</v>
      </c>
      <c r="CN226" s="24">
        <f t="shared" si="2144"/>
        <v>2462.1182371331788</v>
      </c>
      <c r="CO226" s="24">
        <f t="shared" si="2144"/>
        <v>2107.8171281602818</v>
      </c>
      <c r="CP226" s="24">
        <f t="shared" si="2144"/>
        <v>1136.5455981352998</v>
      </c>
      <c r="CQ226" s="24">
        <f t="shared" si="2144"/>
        <v>1604.9043172316565</v>
      </c>
      <c r="CR226" s="24">
        <f t="shared" si="2144"/>
        <v>2941.2917459915079</v>
      </c>
      <c r="CS226" s="24">
        <f t="shared" si="2144"/>
        <v>2532.1165566419641</v>
      </c>
      <c r="CT226" s="24">
        <f t="shared" si="2144"/>
        <v>1418.5045051549198</v>
      </c>
      <c r="CU226" s="24">
        <f t="shared" si="2144"/>
        <v>1962.2320079182878</v>
      </c>
      <c r="CV226" s="24">
        <f t="shared" si="2144"/>
        <v>3501.1559021220355</v>
      </c>
      <c r="CW226" s="24">
        <f t="shared" si="2144"/>
        <v>3028.5517230332671</v>
      </c>
      <c r="CX226" s="24">
        <f t="shared" si="2144"/>
        <v>1742.5261839571949</v>
      </c>
      <c r="CY226" s="24">
        <f t="shared" si="2144"/>
        <v>2368.8626701306221</v>
      </c>
      <c r="CZ226" s="24">
        <f t="shared" si="2144"/>
        <v>4138.1078221351254</v>
      </c>
      <c r="DA226" s="24">
        <f t="shared" si="2144"/>
        <v>3593.199763648845</v>
      </c>
      <c r="DB226" s="24">
        <f t="shared" si="2144"/>
        <v>2112.8476959645768</v>
      </c>
      <c r="DE226" s="123"/>
      <c r="DF226" s="23">
        <v>-3355.2113327658285</v>
      </c>
    </row>
    <row r="227" spans="1:110" s="28" customFormat="1" x14ac:dyDescent="0.2">
      <c r="A227" s="28" t="s">
        <v>444</v>
      </c>
      <c r="C227" s="28">
        <f t="shared" ref="C227:W227" si="2145">C226-C177</f>
        <v>0</v>
      </c>
      <c r="D227" s="28">
        <f t="shared" si="2145"/>
        <v>0</v>
      </c>
      <c r="E227" s="28">
        <f t="shared" si="2145"/>
        <v>0</v>
      </c>
      <c r="F227" s="28">
        <f t="shared" si="2145"/>
        <v>0</v>
      </c>
      <c r="G227" s="28">
        <f t="shared" si="2145"/>
        <v>0</v>
      </c>
      <c r="H227" s="28">
        <f t="shared" si="2145"/>
        <v>0</v>
      </c>
      <c r="I227" s="28">
        <f t="shared" si="2145"/>
        <v>0</v>
      </c>
      <c r="J227" s="28">
        <f>J226-J177</f>
        <v>0</v>
      </c>
      <c r="K227" s="28">
        <f t="shared" si="2145"/>
        <v>0</v>
      </c>
      <c r="L227" s="28">
        <f t="shared" si="2145"/>
        <v>0</v>
      </c>
      <c r="M227" s="28">
        <f t="shared" si="2145"/>
        <v>0</v>
      </c>
      <c r="N227" s="28">
        <f t="shared" si="2145"/>
        <v>0</v>
      </c>
      <c r="O227" s="28">
        <f t="shared" si="2145"/>
        <v>9.0949470177292824E-13</v>
      </c>
      <c r="P227" s="28">
        <f t="shared" si="2145"/>
        <v>0</v>
      </c>
      <c r="Q227" s="28">
        <f t="shared" si="2145"/>
        <v>0</v>
      </c>
      <c r="R227" s="28">
        <f t="shared" si="2145"/>
        <v>0</v>
      </c>
      <c r="S227" s="28">
        <f t="shared" si="2145"/>
        <v>0</v>
      </c>
      <c r="T227" s="28">
        <f t="shared" si="2145"/>
        <v>0</v>
      </c>
      <c r="U227" s="28">
        <f t="shared" si="2145"/>
        <v>0</v>
      </c>
      <c r="V227" s="28">
        <f t="shared" si="2145"/>
        <v>0</v>
      </c>
      <c r="W227" s="28">
        <f t="shared" si="2145"/>
        <v>0</v>
      </c>
      <c r="X227" s="28">
        <f t="shared" ref="X227:Y227" si="2146">X226-X177</f>
        <v>0</v>
      </c>
      <c r="Y227" s="28">
        <f t="shared" si="2146"/>
        <v>0</v>
      </c>
      <c r="Z227" s="28">
        <f t="shared" ref="Z227:AA227" si="2147">Z226-Z177</f>
        <v>0</v>
      </c>
      <c r="AA227" s="28">
        <f t="shared" si="2147"/>
        <v>0</v>
      </c>
      <c r="AB227" s="30">
        <f t="shared" ref="AA227:AD227" si="2148">AB226-AB177</f>
        <v>0</v>
      </c>
      <c r="AC227" s="30">
        <f t="shared" si="2148"/>
        <v>0</v>
      </c>
      <c r="AD227" s="30">
        <f t="shared" si="2148"/>
        <v>0</v>
      </c>
      <c r="AE227" s="30">
        <f t="shared" ref="AE227" si="2149">AE226-AE177</f>
        <v>0</v>
      </c>
      <c r="AI227" s="28">
        <f t="shared" ref="AI227" si="2150">AI226-AI177</f>
        <v>0</v>
      </c>
      <c r="AJ227" s="28">
        <f t="shared" ref="AJ227:AL227" si="2151">AJ226-AJ177</f>
        <v>-6.8212102632969618E-13</v>
      </c>
      <c r="AK227" s="28">
        <f t="shared" si="2151"/>
        <v>0</v>
      </c>
      <c r="AL227" s="28">
        <f t="shared" si="2151"/>
        <v>0</v>
      </c>
      <c r="AM227" s="28">
        <f t="shared" ref="AM227" si="2152">AM226-AM177</f>
        <v>0</v>
      </c>
      <c r="AN227" s="28">
        <f t="shared" ref="AN227:CD227" si="2153">AN226-AN177</f>
        <v>0</v>
      </c>
      <c r="AO227" s="28">
        <f t="shared" si="2153"/>
        <v>0</v>
      </c>
      <c r="AP227" s="28">
        <f t="shared" si="2153"/>
        <v>0</v>
      </c>
      <c r="AQ227" s="28">
        <f t="shared" si="2153"/>
        <v>0</v>
      </c>
      <c r="AR227" s="28">
        <f t="shared" si="2153"/>
        <v>0</v>
      </c>
      <c r="AS227" s="28">
        <f t="shared" si="2153"/>
        <v>0</v>
      </c>
      <c r="AT227" s="28">
        <f t="shared" si="2153"/>
        <v>0</v>
      </c>
      <c r="AU227" s="28">
        <f t="shared" si="2153"/>
        <v>0</v>
      </c>
      <c r="AV227" s="28">
        <f t="shared" si="2153"/>
        <v>0</v>
      </c>
      <c r="AW227" s="28">
        <f t="shared" si="2153"/>
        <v>0</v>
      </c>
      <c r="AX227" s="28">
        <f t="shared" si="2153"/>
        <v>0</v>
      </c>
      <c r="AY227" s="28">
        <f t="shared" si="2153"/>
        <v>0</v>
      </c>
      <c r="AZ227" s="28">
        <f t="shared" si="2153"/>
        <v>-7.9580786405131221E-13</v>
      </c>
      <c r="BA227" s="28">
        <f t="shared" si="2153"/>
        <v>0</v>
      </c>
      <c r="BB227" s="28">
        <f t="shared" si="2153"/>
        <v>0</v>
      </c>
      <c r="BC227" s="28">
        <f t="shared" si="2153"/>
        <v>0</v>
      </c>
      <c r="BD227" s="28">
        <f t="shared" si="2153"/>
        <v>-5.1159076974727213E-13</v>
      </c>
      <c r="BE227" s="28">
        <f t="shared" si="2153"/>
        <v>0</v>
      </c>
      <c r="BF227" s="28">
        <f t="shared" si="2153"/>
        <v>0</v>
      </c>
      <c r="BG227" s="28">
        <f t="shared" si="2153"/>
        <v>0</v>
      </c>
      <c r="BH227" s="28">
        <f t="shared" si="2153"/>
        <v>-7.3896444519050419E-13</v>
      </c>
      <c r="BI227" s="28">
        <f t="shared" si="2153"/>
        <v>0</v>
      </c>
      <c r="BJ227" s="28">
        <f t="shared" si="2153"/>
        <v>0</v>
      </c>
      <c r="BK227" s="28">
        <f t="shared" si="2153"/>
        <v>0</v>
      </c>
      <c r="BL227" s="28">
        <f t="shared" si="2153"/>
        <v>0</v>
      </c>
      <c r="BM227" s="28">
        <f t="shared" si="2153"/>
        <v>0</v>
      </c>
      <c r="BN227" s="28">
        <f t="shared" si="2153"/>
        <v>9.0949470177292824E-13</v>
      </c>
      <c r="BO227" s="28">
        <f t="shared" si="2153"/>
        <v>0</v>
      </c>
      <c r="BP227" s="28">
        <f t="shared" si="2153"/>
        <v>-1.0000000000047748E-2</v>
      </c>
      <c r="BQ227" s="28">
        <f t="shared" si="2153"/>
        <v>0</v>
      </c>
      <c r="BR227" s="28">
        <f t="shared" si="2153"/>
        <v>1.0000000000104592E-2</v>
      </c>
      <c r="BS227" s="28">
        <f t="shared" si="2153"/>
        <v>0</v>
      </c>
      <c r="BT227" s="28">
        <f t="shared" si="2153"/>
        <v>-9.0949470177292824E-13</v>
      </c>
      <c r="BU227" s="28">
        <f t="shared" si="2153"/>
        <v>0</v>
      </c>
      <c r="BV227" s="28">
        <f t="shared" si="2153"/>
        <v>0</v>
      </c>
      <c r="BW227" s="28">
        <f t="shared" si="2153"/>
        <v>0</v>
      </c>
      <c r="BX227" s="28">
        <f t="shared" si="2153"/>
        <v>0</v>
      </c>
      <c r="BY227" s="28">
        <f t="shared" si="2153"/>
        <v>0</v>
      </c>
      <c r="BZ227" s="28">
        <f t="shared" si="2153"/>
        <v>1.1368683772161603E-12</v>
      </c>
      <c r="CA227" s="28">
        <f t="shared" si="2153"/>
        <v>0</v>
      </c>
      <c r="CB227" s="28">
        <f t="shared" si="2153"/>
        <v>0</v>
      </c>
      <c r="CC227" s="28">
        <f t="shared" si="2153"/>
        <v>0</v>
      </c>
      <c r="CD227" s="28">
        <f t="shared" si="2153"/>
        <v>0</v>
      </c>
      <c r="CE227" s="28">
        <f t="shared" ref="CE227:CF227" si="2154">CE226-CE177</f>
        <v>0</v>
      </c>
      <c r="CF227" s="28">
        <f t="shared" si="2154"/>
        <v>2.2737367544323206E-12</v>
      </c>
      <c r="CG227" s="28">
        <f t="shared" ref="CG227:CH227" si="2155">CG226-CG177</f>
        <v>0</v>
      </c>
      <c r="CH227" s="28">
        <f t="shared" si="2155"/>
        <v>-2.5011104298755527E-12</v>
      </c>
      <c r="CI227" s="28">
        <f t="shared" ref="CI227:CJ227" si="2156">CI226-CI177</f>
        <v>0</v>
      </c>
      <c r="CJ227" s="28">
        <f t="shared" si="2156"/>
        <v>1.7053025658242404E-12</v>
      </c>
      <c r="CK227" s="30">
        <f t="shared" ref="CK227:DB227" si="2157">CK226-CK177</f>
        <v>0</v>
      </c>
      <c r="CL227" s="28">
        <f t="shared" si="2157"/>
        <v>0</v>
      </c>
      <c r="CM227" s="30">
        <f t="shared" si="2157"/>
        <v>0</v>
      </c>
      <c r="CN227" s="30">
        <f t="shared" si="2157"/>
        <v>0</v>
      </c>
      <c r="CO227" s="30">
        <f t="shared" si="2157"/>
        <v>0</v>
      </c>
      <c r="CP227" s="30">
        <f t="shared" si="2157"/>
        <v>0</v>
      </c>
      <c r="CQ227" s="30">
        <f t="shared" si="2157"/>
        <v>0</v>
      </c>
      <c r="CR227" s="30">
        <f t="shared" si="2157"/>
        <v>0</v>
      </c>
      <c r="CS227" s="30">
        <f t="shared" si="2157"/>
        <v>0</v>
      </c>
      <c r="CT227" s="30">
        <f t="shared" si="2157"/>
        <v>0</v>
      </c>
      <c r="CU227" s="30">
        <f t="shared" si="2157"/>
        <v>0</v>
      </c>
      <c r="CV227" s="30">
        <f t="shared" si="2157"/>
        <v>0</v>
      </c>
      <c r="CW227" s="30">
        <f t="shared" si="2157"/>
        <v>0</v>
      </c>
      <c r="CX227" s="30">
        <f t="shared" si="2157"/>
        <v>0</v>
      </c>
      <c r="CY227" s="30">
        <f t="shared" si="2157"/>
        <v>0</v>
      </c>
      <c r="CZ227" s="30">
        <f t="shared" si="2157"/>
        <v>0</v>
      </c>
      <c r="DA227" s="30">
        <f t="shared" si="2157"/>
        <v>0</v>
      </c>
      <c r="DB227" s="30">
        <f t="shared" si="2157"/>
        <v>0</v>
      </c>
      <c r="DE227" s="139"/>
      <c r="DF227" s="28">
        <v>0</v>
      </c>
    </row>
    <row r="228" spans="1:110" s="23" customFormat="1" x14ac:dyDescent="0.2">
      <c r="AB228" s="24"/>
      <c r="AC228" s="24"/>
      <c r="AD228" s="24"/>
      <c r="AE228" s="24"/>
      <c r="CK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96</v>
      </c>
      <c r="C229" s="22">
        <f t="shared" ref="C229:W229" si="2158">C215+C217</f>
        <v>70.044399999999982</v>
      </c>
      <c r="D229" s="22">
        <f t="shared" si="2158"/>
        <v>58.98500000000017</v>
      </c>
      <c r="E229" s="22">
        <f t="shared" si="2158"/>
        <v>23.317399999999878</v>
      </c>
      <c r="F229" s="22">
        <f t="shared" si="2158"/>
        <v>82.073399999999936</v>
      </c>
      <c r="G229" s="22">
        <f t="shared" si="2158"/>
        <v>42.842399999999998</v>
      </c>
      <c r="H229" s="22">
        <f t="shared" si="2158"/>
        <v>143.32440000000014</v>
      </c>
      <c r="I229" s="22">
        <f t="shared" si="2158"/>
        <v>356.25900000000001</v>
      </c>
      <c r="J229" s="22">
        <f>J215+J217</f>
        <v>-30.180599999999927</v>
      </c>
      <c r="K229" s="22">
        <f t="shared" si="2158"/>
        <v>330.34110000000084</v>
      </c>
      <c r="L229" s="22">
        <f t="shared" si="2158"/>
        <v>7.8050999999992499</v>
      </c>
      <c r="M229" s="22">
        <f t="shared" si="2158"/>
        <v>-257.85039999999992</v>
      </c>
      <c r="N229" s="22">
        <f t="shared" si="2158"/>
        <v>159.30359999999916</v>
      </c>
      <c r="O229" s="22">
        <f t="shared" si="2158"/>
        <v>304.67640000000006</v>
      </c>
      <c r="P229" s="22">
        <f t="shared" si="2158"/>
        <v>85.463599999999701</v>
      </c>
      <c r="Q229" s="22">
        <f t="shared" si="2158"/>
        <v>-346.70609999999931</v>
      </c>
      <c r="R229" s="22">
        <f t="shared" si="2158"/>
        <v>-202.31070000000079</v>
      </c>
      <c r="S229" s="22">
        <f t="shared" si="2158"/>
        <v>239.60000000000082</v>
      </c>
      <c r="T229" s="22">
        <f t="shared" si="2158"/>
        <v>913.23</v>
      </c>
      <c r="U229" s="22">
        <f t="shared" si="2158"/>
        <v>-285.97999999999979</v>
      </c>
      <c r="V229" s="22">
        <f t="shared" si="2158"/>
        <v>-351.06000000000063</v>
      </c>
      <c r="W229" s="22">
        <f t="shared" si="2158"/>
        <v>193.5100000000005</v>
      </c>
      <c r="X229" s="22">
        <f t="shared" ref="X229:Y229" si="2159">X215+X217</f>
        <v>-66.609999999999616</v>
      </c>
      <c r="Y229" s="22">
        <f t="shared" si="2159"/>
        <v>132.40999999999792</v>
      </c>
      <c r="Z229" s="22">
        <f t="shared" ref="Z229:AA229" si="2160">Z215+Z217</f>
        <v>-271.58999999999889</v>
      </c>
      <c r="AA229" s="22">
        <f t="shared" si="2160"/>
        <v>395.14000000000044</v>
      </c>
      <c r="AB229" s="21">
        <f t="shared" ref="AA229:AD229" si="2161">AB215+AB217</f>
        <v>78.53559813530228</v>
      </c>
      <c r="AC229" s="21">
        <f t="shared" si="2161"/>
        <v>281.95890701962173</v>
      </c>
      <c r="AD229" s="21">
        <f t="shared" si="2161"/>
        <v>324.02167880227228</v>
      </c>
      <c r="AE229" s="21">
        <f t="shared" ref="AE229" si="2162">AE215+AE217</f>
        <v>370.32151200738315</v>
      </c>
      <c r="AI229" s="22">
        <f t="shared" ref="AI229" si="2163">AI215+AI217</f>
        <v>79.120000000000076</v>
      </c>
      <c r="AJ229" s="22">
        <f t="shared" ref="AJ229:AL229" si="2164">AJ215+AJ217</f>
        <v>-1407.6200000000003</v>
      </c>
      <c r="AK229" s="22">
        <f t="shared" si="2164"/>
        <v>97.44052580958261</v>
      </c>
      <c r="AL229" s="22">
        <f t="shared" si="2164"/>
        <v>158.03947419041745</v>
      </c>
      <c r="AM229" s="22">
        <f t="shared" ref="AM229" si="2165">AM215+AM217</f>
        <v>38.34284883320511</v>
      </c>
      <c r="AN229" s="22">
        <f t="shared" ref="AN229:CD229" si="2166">AN215+AN217</f>
        <v>129.46715116679508</v>
      </c>
      <c r="AO229" s="22">
        <f t="shared" si="2166"/>
        <v>41.473616651087355</v>
      </c>
      <c r="AP229" s="22">
        <f t="shared" si="2166"/>
        <v>95.356383348912757</v>
      </c>
      <c r="AQ229" s="22">
        <f t="shared" si="2166"/>
        <v>-13.711873312323249</v>
      </c>
      <c r="AR229" s="22">
        <f t="shared" si="2166"/>
        <v>50.231873312323145</v>
      </c>
      <c r="AS229" s="22">
        <f t="shared" si="2166"/>
        <v>128.47672340425515</v>
      </c>
      <c r="AT229" s="22">
        <f t="shared" si="2166"/>
        <v>-80.336723404255224</v>
      </c>
      <c r="AU229" s="22">
        <f t="shared" si="2166"/>
        <v>72.008014188204882</v>
      </c>
      <c r="AV229" s="22">
        <f t="shared" si="2166"/>
        <v>-161.23801418820548</v>
      </c>
      <c r="AW229" s="22">
        <f t="shared" si="2166"/>
        <v>-85.422131692589758</v>
      </c>
      <c r="AX229" s="22">
        <f t="shared" si="2166"/>
        <v>-173.42786830740971</v>
      </c>
      <c r="AY229" s="22">
        <f t="shared" si="2166"/>
        <v>160.07275115919614</v>
      </c>
      <c r="AZ229" s="22">
        <f t="shared" si="2166"/>
        <v>-463.5727511591968</v>
      </c>
      <c r="BA229" s="22">
        <f t="shared" si="2166"/>
        <v>46.315679090334797</v>
      </c>
      <c r="BB229" s="22">
        <f t="shared" si="2166"/>
        <v>54.88432090966586</v>
      </c>
      <c r="BC229" s="22">
        <f t="shared" si="2166"/>
        <v>205.87894687745973</v>
      </c>
      <c r="BD229" s="22">
        <f t="shared" si="2166"/>
        <v>-426.38894687746051</v>
      </c>
      <c r="BE229" s="22">
        <f t="shared" si="2166"/>
        <v>-62.349347840764437</v>
      </c>
      <c r="BF229" s="22">
        <f t="shared" si="2166"/>
        <v>522.45934784076474</v>
      </c>
      <c r="BG229" s="22">
        <f t="shared" si="2166"/>
        <v>173.85057411222493</v>
      </c>
      <c r="BH229" s="22">
        <f t="shared" si="2166"/>
        <v>-759.0805741122258</v>
      </c>
      <c r="BI229" s="22">
        <f t="shared" si="2166"/>
        <v>45.186318877694632</v>
      </c>
      <c r="BJ229" s="22">
        <f t="shared" si="2166"/>
        <v>1453.2736811223058</v>
      </c>
      <c r="BK229" s="22">
        <f t="shared" si="2166"/>
        <v>16.349729886951906</v>
      </c>
      <c r="BL229" s="22">
        <f t="shared" si="2166"/>
        <v>361.39027011304859</v>
      </c>
      <c r="BM229" s="22">
        <f t="shared" si="2166"/>
        <v>61.732023151469676</v>
      </c>
      <c r="BN229" s="22">
        <f t="shared" si="2166"/>
        <v>-725.45202315147026</v>
      </c>
      <c r="BO229" s="22">
        <f t="shared" si="2166"/>
        <v>311.52601728535581</v>
      </c>
      <c r="BP229" s="22">
        <f t="shared" si="2166"/>
        <v>-802.13601728535536</v>
      </c>
      <c r="BQ229" s="22">
        <f t="shared" si="2166"/>
        <v>-112.71580091036594</v>
      </c>
      <c r="BR229" s="22">
        <f t="shared" si="2166"/>
        <v>261.47580091036571</v>
      </c>
      <c r="BS229" s="22">
        <f t="shared" si="2166"/>
        <v>323.08499128847563</v>
      </c>
      <c r="BT229" s="22">
        <f t="shared" si="2166"/>
        <v>-501.01499128847519</v>
      </c>
      <c r="BU229" s="22">
        <f t="shared" si="2166"/>
        <v>21.475138536955569</v>
      </c>
      <c r="BV229" s="22">
        <f t="shared" si="2166"/>
        <v>358.39486146304336</v>
      </c>
      <c r="BW229" s="22">
        <f t="shared" si="2166"/>
        <v>77.34965243870468</v>
      </c>
      <c r="BX229" s="22">
        <f t="shared" si="2166"/>
        <v>125.87034756129594</v>
      </c>
      <c r="BY229" s="22">
        <f t="shared" si="2166"/>
        <v>-256.31673658078773</v>
      </c>
      <c r="BZ229" s="22">
        <f t="shared" si="2166"/>
        <v>-31.153263419211044</v>
      </c>
      <c r="CA229" s="22">
        <f t="shared" si="2166"/>
        <v>24.164241950757145</v>
      </c>
      <c r="CB229" s="22">
        <f t="shared" si="2166"/>
        <v>-152.42424195075753</v>
      </c>
      <c r="CC229" s="22">
        <f t="shared" si="2166"/>
        <v>-116.1769143604854</v>
      </c>
      <c r="CD229" s="22">
        <f t="shared" si="2166"/>
        <v>376.84691436048445</v>
      </c>
      <c r="CE229" s="22">
        <f t="shared" ref="CE229:CF229" si="2167">CE215+CE217</f>
        <v>204.32889561443471</v>
      </c>
      <c r="CF229" s="22">
        <f t="shared" si="2167"/>
        <v>-700.29889561443417</v>
      </c>
      <c r="CG229" s="22">
        <f t="shared" ref="CG229:CH229" si="2168">CG215+CG217</f>
        <v>-28.172751698096249</v>
      </c>
      <c r="CH229" s="22">
        <f t="shared" si="2168"/>
        <v>252.552751698094</v>
      </c>
      <c r="CI229" s="22">
        <f t="shared" ref="CI229:CJ229" si="2169">CI215+CI217</f>
        <v>583.24244171022508</v>
      </c>
      <c r="CJ229" s="22">
        <f t="shared" si="2169"/>
        <v>-1385.2724417102245</v>
      </c>
      <c r="CK229" s="21">
        <f t="shared" ref="CK229:DB229" si="2170">CK215+CK217</f>
        <v>-1026.3562441848576</v>
      </c>
      <c r="CL229" s="22">
        <f t="shared" si="2170"/>
        <v>2223.5262441848581</v>
      </c>
      <c r="CM229" s="21">
        <f t="shared" si="2170"/>
        <v>254.59671922672453</v>
      </c>
      <c r="CN229" s="21">
        <f t="shared" si="2170"/>
        <v>1149.5115179064544</v>
      </c>
      <c r="CO229" s="21">
        <f t="shared" si="2170"/>
        <v>-354.30110897289705</v>
      </c>
      <c r="CP229" s="21">
        <f t="shared" si="2170"/>
        <v>-971.27153002498187</v>
      </c>
      <c r="CQ229" s="21">
        <f t="shared" si="2170"/>
        <v>468.35871909635682</v>
      </c>
      <c r="CR229" s="21">
        <f t="shared" si="2170"/>
        <v>1336.3874287598517</v>
      </c>
      <c r="CS229" s="21">
        <f t="shared" si="2170"/>
        <v>-409.1751893495441</v>
      </c>
      <c r="CT229" s="21">
        <f t="shared" si="2170"/>
        <v>-1113.6120514870443</v>
      </c>
      <c r="CU229" s="21">
        <f t="shared" si="2170"/>
        <v>543.72750276336797</v>
      </c>
      <c r="CV229" s="21">
        <f t="shared" si="2170"/>
        <v>1538.9238942037475</v>
      </c>
      <c r="CW229" s="21">
        <f t="shared" si="2170"/>
        <v>-472.60417908876821</v>
      </c>
      <c r="CX229" s="21">
        <f t="shared" si="2170"/>
        <v>-1286.0255390760722</v>
      </c>
      <c r="CY229" s="21">
        <f t="shared" si="2170"/>
        <v>626.33648617342715</v>
      </c>
      <c r="CZ229" s="21">
        <f t="shared" si="2170"/>
        <v>1769.2451520045033</v>
      </c>
      <c r="DA229" s="21">
        <f t="shared" si="2170"/>
        <v>-544.90805848628042</v>
      </c>
      <c r="DB229" s="21">
        <f t="shared" si="2170"/>
        <v>-1480.3520676842681</v>
      </c>
      <c r="DE229" s="126"/>
      <c r="DF229" s="22">
        <v>-3145.9450885809711</v>
      </c>
    </row>
    <row r="230" spans="1:110" x14ac:dyDescent="0.2">
      <c r="A230" s="152" t="s">
        <v>496</v>
      </c>
      <c r="AA230" s="2"/>
      <c r="CL230" s="2"/>
    </row>
    <row r="231" spans="1:110" x14ac:dyDescent="0.2">
      <c r="AA231" s="2"/>
      <c r="CL231" s="2"/>
    </row>
    <row r="232" spans="1:110" s="7" customFormat="1" hidden="1" outlineLevel="1" x14ac:dyDescent="0.2">
      <c r="A232" s="61" t="s">
        <v>97</v>
      </c>
      <c r="AB232" s="77"/>
      <c r="AC232" s="77"/>
      <c r="AD232" s="77"/>
      <c r="AE232" s="77"/>
      <c r="CK232" s="50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E232" s="138"/>
    </row>
    <row r="233" spans="1:110" s="62" customFormat="1" hidden="1" outlineLevel="1" x14ac:dyDescent="0.2">
      <c r="A233" s="62" t="s">
        <v>98</v>
      </c>
      <c r="AB233" s="63"/>
      <c r="AC233" s="63"/>
      <c r="AD233" s="63"/>
      <c r="AE233" s="63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99</v>
      </c>
      <c r="AB234" s="63"/>
      <c r="AC234" s="63"/>
      <c r="AD234" s="63"/>
      <c r="AE234" s="63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235" s="62" t="s">
        <v>100</v>
      </c>
      <c r="AB235" s="63"/>
      <c r="AC235" s="63"/>
      <c r="AD235" s="63"/>
      <c r="AE235" s="63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11" customFormat="1" collapsed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83" customFormat="1" x14ac:dyDescent="0.2">
      <c r="A240" s="82" t="s">
        <v>101</v>
      </c>
      <c r="AB240" s="72"/>
      <c r="AC240" s="72"/>
      <c r="AD240" s="72"/>
      <c r="AE240" s="72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6" customFormat="1" x14ac:dyDescent="0.2">
      <c r="A241" s="66" t="s">
        <v>471</v>
      </c>
      <c r="AB241" s="50"/>
      <c r="AC241" s="50"/>
      <c r="AD241" s="50"/>
      <c r="AE241" s="50"/>
      <c r="AL241" s="66">
        <f t="shared" ref="AL241:BQ241" si="2171">SUM(AI26:AL26)</f>
        <v>5530.96</v>
      </c>
      <c r="AM241" s="66">
        <f t="shared" si="2171"/>
        <v>5517.44</v>
      </c>
      <c r="AN241" s="66">
        <f t="shared" si="2171"/>
        <v>5433.48</v>
      </c>
      <c r="AO241" s="66">
        <f t="shared" si="2171"/>
        <v>5400.34</v>
      </c>
      <c r="AP241" s="66">
        <f t="shared" si="2171"/>
        <v>5266.04</v>
      </c>
      <c r="AQ241" s="66">
        <f t="shared" si="2171"/>
        <v>5420.08</v>
      </c>
      <c r="AR241" s="66">
        <f t="shared" si="2171"/>
        <v>5324.2</v>
      </c>
      <c r="AS241" s="66">
        <f t="shared" si="2171"/>
        <v>5155.9299999999994</v>
      </c>
      <c r="AT241" s="66">
        <f t="shared" si="2171"/>
        <v>5183.09</v>
      </c>
      <c r="AU241" s="66">
        <f t="shared" si="2171"/>
        <v>4984.21</v>
      </c>
      <c r="AV241" s="66">
        <f t="shared" si="2171"/>
        <v>5039.63</v>
      </c>
      <c r="AW241" s="66">
        <f t="shared" si="2171"/>
        <v>5354.42</v>
      </c>
      <c r="AX241" s="66">
        <f t="shared" si="2171"/>
        <v>5719.8099999999995</v>
      </c>
      <c r="AY241" s="66">
        <f t="shared" si="2171"/>
        <v>6011.39</v>
      </c>
      <c r="AZ241" s="66">
        <f t="shared" si="2171"/>
        <v>5938.54</v>
      </c>
      <c r="BA241" s="66">
        <f t="shared" si="2171"/>
        <v>5853.1</v>
      </c>
      <c r="BB241" s="66">
        <f t="shared" si="2171"/>
        <v>6032.8</v>
      </c>
      <c r="BC241" s="66">
        <f t="shared" si="2171"/>
        <v>6127.38</v>
      </c>
      <c r="BD241" s="66">
        <f t="shared" si="2171"/>
        <v>6196.87</v>
      </c>
      <c r="BE241" s="66">
        <f t="shared" si="2171"/>
        <v>6391.06</v>
      </c>
      <c r="BF241" s="66">
        <f t="shared" si="2171"/>
        <v>6404.38</v>
      </c>
      <c r="BG241" s="66">
        <f t="shared" si="2171"/>
        <v>6607.85</v>
      </c>
      <c r="BH241" s="66">
        <f t="shared" si="2171"/>
        <v>6992.5</v>
      </c>
      <c r="BI241" s="66">
        <f t="shared" si="2171"/>
        <v>7109.61</v>
      </c>
      <c r="BJ241" s="66">
        <f t="shared" si="2171"/>
        <v>7124.07</v>
      </c>
      <c r="BK241" s="66">
        <f t="shared" si="2171"/>
        <v>7629.9800000000005</v>
      </c>
      <c r="BL241" s="66">
        <f t="shared" si="2171"/>
        <v>7630.5599999999995</v>
      </c>
      <c r="BM241" s="66">
        <f t="shared" si="2171"/>
        <v>7631.2900000000009</v>
      </c>
      <c r="BN241" s="66">
        <f t="shared" si="2171"/>
        <v>7658.08</v>
      </c>
      <c r="BO241" s="66">
        <f t="shared" si="2171"/>
        <v>6301.02</v>
      </c>
      <c r="BP241" s="66">
        <f t="shared" si="2171"/>
        <v>6491.62</v>
      </c>
      <c r="BQ241" s="66">
        <f t="shared" si="2171"/>
        <v>6993.75</v>
      </c>
      <c r="BR241" s="66">
        <f t="shared" ref="BR241:CW241" si="2172">SUM(BO26:BR26)</f>
        <v>7555.7800000000007</v>
      </c>
      <c r="BS241" s="66">
        <f t="shared" si="2172"/>
        <v>8044.04</v>
      </c>
      <c r="BT241" s="66">
        <f t="shared" si="2172"/>
        <v>8120.58</v>
      </c>
      <c r="BU241" s="66">
        <f t="shared" si="2172"/>
        <v>7919.5300000000007</v>
      </c>
      <c r="BV241" s="66">
        <f t="shared" si="2172"/>
        <v>7934.45</v>
      </c>
      <c r="BW241" s="66">
        <f t="shared" si="2172"/>
        <v>8917.25</v>
      </c>
      <c r="BX241" s="66">
        <f t="shared" si="2172"/>
        <v>8996.5300000000007</v>
      </c>
      <c r="BY241" s="66">
        <f t="shared" si="2172"/>
        <v>9208.5499999999993</v>
      </c>
      <c r="BZ241" s="66">
        <f t="shared" si="2172"/>
        <v>9498.77</v>
      </c>
      <c r="CA241" s="66">
        <f t="shared" si="2172"/>
        <v>10090.630000000001</v>
      </c>
      <c r="CB241" s="66">
        <f t="shared" si="2172"/>
        <v>10615.02</v>
      </c>
      <c r="CC241" s="66">
        <f t="shared" si="2172"/>
        <v>11235.13</v>
      </c>
      <c r="CD241" s="66">
        <f t="shared" si="2172"/>
        <v>12481.21</v>
      </c>
      <c r="CE241" s="66">
        <f t="shared" si="2172"/>
        <v>14042.369999999999</v>
      </c>
      <c r="CF241" s="66">
        <f t="shared" si="2172"/>
        <v>14368.73</v>
      </c>
      <c r="CG241" s="66">
        <f t="shared" si="2172"/>
        <v>14848.12</v>
      </c>
      <c r="CH241" s="66">
        <f t="shared" si="2172"/>
        <v>15412.8</v>
      </c>
      <c r="CI241" s="66">
        <f t="shared" si="2172"/>
        <v>14430.36</v>
      </c>
      <c r="CJ241" s="66">
        <f t="shared" si="2172"/>
        <v>14158.57</v>
      </c>
      <c r="CK241" s="50">
        <f t="shared" si="2172"/>
        <v>14124.23</v>
      </c>
      <c r="CL241" s="66">
        <f t="shared" si="2172"/>
        <v>14244.5</v>
      </c>
      <c r="CM241" s="50">
        <f t="shared" si="2172"/>
        <v>15032.216</v>
      </c>
      <c r="CN241" s="50">
        <f t="shared" si="2172"/>
        <v>15501.68</v>
      </c>
      <c r="CO241" s="50">
        <f t="shared" si="2172"/>
        <v>16115.833999999999</v>
      </c>
      <c r="CP241" s="50">
        <f t="shared" si="2172"/>
        <v>17093.400000000001</v>
      </c>
      <c r="CQ241" s="50">
        <f t="shared" si="2172"/>
        <v>17802.344400000002</v>
      </c>
      <c r="CR241" s="50">
        <f t="shared" si="2172"/>
        <v>18224.862000000001</v>
      </c>
      <c r="CS241" s="50">
        <f t="shared" si="2172"/>
        <v>18777.600599999998</v>
      </c>
      <c r="CT241" s="50">
        <f t="shared" si="2172"/>
        <v>19657.41</v>
      </c>
      <c r="CU241" s="50">
        <f t="shared" si="2172"/>
        <v>20472.696060000002</v>
      </c>
      <c r="CV241" s="50">
        <f t="shared" si="2172"/>
        <v>20958.5913</v>
      </c>
      <c r="CW241" s="50">
        <f t="shared" si="2172"/>
        <v>21594.240689999999</v>
      </c>
      <c r="CX241" s="50">
        <f t="shared" ref="CX241:DB241" si="2173">SUM(CU26:CX26)</f>
        <v>22606.021499999999</v>
      </c>
      <c r="CY241" s="50">
        <f t="shared" si="2173"/>
        <v>23543.600468999997</v>
      </c>
      <c r="CZ241" s="50">
        <f t="shared" si="2173"/>
        <v>24102.379994999999</v>
      </c>
      <c r="DA241" s="50">
        <f t="shared" si="2173"/>
        <v>24833.3767935</v>
      </c>
      <c r="DB241" s="50">
        <f t="shared" si="2173"/>
        <v>25996.924725000001</v>
      </c>
      <c r="DE241" s="138"/>
      <c r="DF241" s="66">
        <v>14624.8238</v>
      </c>
    </row>
    <row r="242" spans="1:110" s="66" customFormat="1" x14ac:dyDescent="0.2">
      <c r="A242" s="66" t="s">
        <v>472</v>
      </c>
      <c r="AB242" s="50"/>
      <c r="AC242" s="50"/>
      <c r="AD242" s="50"/>
      <c r="AE242" s="50"/>
      <c r="AL242" s="66">
        <f t="shared" ref="AL242:BQ242" si="2174">SUM(AI44:AL44)</f>
        <v>243.94000000000011</v>
      </c>
      <c r="AM242" s="66">
        <f t="shared" si="2174"/>
        <v>200.5</v>
      </c>
      <c r="AN242" s="66">
        <f t="shared" si="2174"/>
        <v>198.79000000000013</v>
      </c>
      <c r="AO242" s="66">
        <f t="shared" si="2174"/>
        <v>242.03000000000014</v>
      </c>
      <c r="AP242" s="66">
        <f t="shared" si="2174"/>
        <v>265.60999999999984</v>
      </c>
      <c r="AQ242" s="66">
        <f t="shared" si="2174"/>
        <v>347.0299999999998</v>
      </c>
      <c r="AR242" s="66">
        <f t="shared" si="2174"/>
        <v>382.49999999999966</v>
      </c>
      <c r="AS242" s="66">
        <f t="shared" si="2174"/>
        <v>372.39999999999964</v>
      </c>
      <c r="AT242" s="66">
        <f t="shared" si="2174"/>
        <v>410.03999999999985</v>
      </c>
      <c r="AU242" s="66">
        <f t="shared" si="2174"/>
        <v>409.44999999999982</v>
      </c>
      <c r="AV242" s="66">
        <f t="shared" si="2174"/>
        <v>396.23</v>
      </c>
      <c r="AW242" s="66">
        <f t="shared" si="2174"/>
        <v>395.12999999999982</v>
      </c>
      <c r="AX242" s="66">
        <f t="shared" si="2174"/>
        <v>432.95999999999992</v>
      </c>
      <c r="AY242" s="66">
        <f t="shared" si="2174"/>
        <v>501.19999999999982</v>
      </c>
      <c r="AZ242" s="66">
        <f t="shared" si="2174"/>
        <v>505.34999999999957</v>
      </c>
      <c r="BA242" s="66">
        <f t="shared" si="2174"/>
        <v>538.00999999999976</v>
      </c>
      <c r="BB242" s="66">
        <f t="shared" si="2174"/>
        <v>578.33999999999992</v>
      </c>
      <c r="BC242" s="66">
        <f t="shared" si="2174"/>
        <v>587.12999999999988</v>
      </c>
      <c r="BD242" s="66">
        <f t="shared" si="2174"/>
        <v>605.42000000000007</v>
      </c>
      <c r="BE242" s="66">
        <f t="shared" si="2174"/>
        <v>630.6500000000002</v>
      </c>
      <c r="BF242" s="66">
        <f t="shared" si="2174"/>
        <v>662.6400000000001</v>
      </c>
      <c r="BG242" s="66">
        <f t="shared" si="2174"/>
        <v>697.5</v>
      </c>
      <c r="BH242" s="66">
        <f t="shared" si="2174"/>
        <v>719.08</v>
      </c>
      <c r="BI242" s="66">
        <f t="shared" si="2174"/>
        <v>720.56000000000017</v>
      </c>
      <c r="BJ242" s="66">
        <f t="shared" si="2174"/>
        <v>611.70999999999981</v>
      </c>
      <c r="BK242" s="66">
        <f t="shared" si="2174"/>
        <v>659.72999999999979</v>
      </c>
      <c r="BL242" s="66">
        <f t="shared" si="2174"/>
        <v>657.07</v>
      </c>
      <c r="BM242" s="66">
        <f t="shared" si="2174"/>
        <v>638.94999999999993</v>
      </c>
      <c r="BN242" s="66">
        <f t="shared" si="2174"/>
        <v>686.6599999999994</v>
      </c>
      <c r="BO242" s="66">
        <f t="shared" si="2174"/>
        <v>462.19999999999959</v>
      </c>
      <c r="BP242" s="66">
        <f t="shared" si="2174"/>
        <v>454.30999999999938</v>
      </c>
      <c r="BQ242" s="66">
        <f t="shared" si="2174"/>
        <v>502.6499999999993</v>
      </c>
      <c r="BR242" s="66">
        <f t="shared" ref="BR242:CW242" si="2175">SUM(BO44:BR44)</f>
        <v>641.36000000000035</v>
      </c>
      <c r="BS242" s="66">
        <f t="shared" si="2175"/>
        <v>710.3900000000001</v>
      </c>
      <c r="BT242" s="66">
        <f t="shared" si="2175"/>
        <v>741.52000000000021</v>
      </c>
      <c r="BU242" s="66">
        <f t="shared" si="2175"/>
        <v>751.27</v>
      </c>
      <c r="BV242" s="66">
        <f t="shared" si="2175"/>
        <v>681.5499999999995</v>
      </c>
      <c r="BW242" s="66">
        <f t="shared" si="2175"/>
        <v>722.75999999999988</v>
      </c>
      <c r="BX242" s="66">
        <f t="shared" si="2175"/>
        <v>694.47999999999956</v>
      </c>
      <c r="BY242" s="66">
        <f t="shared" si="2175"/>
        <v>615.20999999999981</v>
      </c>
      <c r="BZ242" s="66">
        <f t="shared" si="2175"/>
        <v>572.37000000000012</v>
      </c>
      <c r="CA242" s="66">
        <f t="shared" si="2175"/>
        <v>580.73</v>
      </c>
      <c r="CB242" s="66">
        <f t="shared" si="2175"/>
        <v>550.15999999999985</v>
      </c>
      <c r="CC242" s="66">
        <f t="shared" si="2175"/>
        <v>502.21000000000009</v>
      </c>
      <c r="CD242" s="66">
        <f t="shared" si="2175"/>
        <v>474.62000000000012</v>
      </c>
      <c r="CE242" s="66">
        <f t="shared" si="2175"/>
        <v>713.06999999999914</v>
      </c>
      <c r="CF242" s="66">
        <f t="shared" si="2175"/>
        <v>805.00999999999931</v>
      </c>
      <c r="CG242" s="66">
        <f t="shared" si="2175"/>
        <v>973.97999999999956</v>
      </c>
      <c r="CH242" s="66">
        <f t="shared" si="2175"/>
        <v>1116.1799999999994</v>
      </c>
      <c r="CI242" s="66">
        <f t="shared" si="2175"/>
        <v>870.91</v>
      </c>
      <c r="CJ242" s="66">
        <f t="shared" si="2175"/>
        <v>779.10999999999933</v>
      </c>
      <c r="CK242" s="50">
        <f t="shared" si="2175"/>
        <v>759.0099999999992</v>
      </c>
      <c r="CL242" s="66">
        <f t="shared" si="2175"/>
        <v>646.89999999999907</v>
      </c>
      <c r="CM242" s="50">
        <f t="shared" si="2175"/>
        <v>728.31302456655453</v>
      </c>
      <c r="CN242" s="50">
        <f t="shared" si="2175"/>
        <v>820.31764307988067</v>
      </c>
      <c r="CO242" s="50">
        <f t="shared" si="2175"/>
        <v>880.93077470051117</v>
      </c>
      <c r="CP242" s="50">
        <f t="shared" si="2175"/>
        <v>1049.4074849336641</v>
      </c>
      <c r="CQ242" s="50">
        <f t="shared" si="2175"/>
        <v>1140.1616845292876</v>
      </c>
      <c r="CR242" s="50">
        <f t="shared" si="2175"/>
        <v>1188.5412768820479</v>
      </c>
      <c r="CS242" s="50">
        <f t="shared" si="2175"/>
        <v>1234.1703055683445</v>
      </c>
      <c r="CT242" s="50">
        <f t="shared" si="2175"/>
        <v>1300.2547663401654</v>
      </c>
      <c r="CU242" s="50">
        <f t="shared" si="2175"/>
        <v>1362.0830588018539</v>
      </c>
      <c r="CV242" s="50">
        <f t="shared" si="2175"/>
        <v>1398.5206281049068</v>
      </c>
      <c r="CW242" s="50">
        <f t="shared" si="2175"/>
        <v>1439.9935851460073</v>
      </c>
      <c r="CX242" s="50">
        <f t="shared" ref="CX242:DB242" si="2176">SUM(CU44:CX44)</f>
        <v>1501.6615359131038</v>
      </c>
      <c r="CY242" s="50">
        <f t="shared" si="2176"/>
        <v>1566.5939977069352</v>
      </c>
      <c r="CZ242" s="50">
        <f t="shared" si="2176"/>
        <v>1604.3732179785263</v>
      </c>
      <c r="DA242" s="50">
        <f t="shared" si="2176"/>
        <v>1652.4473383876439</v>
      </c>
      <c r="DB242" s="50">
        <f t="shared" si="2176"/>
        <v>1729.1195542846476</v>
      </c>
      <c r="DE242" s="138"/>
      <c r="DF242" s="66">
        <v>791.46308483341159</v>
      </c>
    </row>
    <row r="243" spans="1:110" s="66" customFormat="1" x14ac:dyDescent="0.2">
      <c r="A243" s="66" t="s">
        <v>473</v>
      </c>
      <c r="AB243" s="50"/>
      <c r="AC243" s="50"/>
      <c r="AD243" s="50"/>
      <c r="AE243" s="50"/>
      <c r="AL243" s="66">
        <f t="shared" ref="AL243:BQ243" si="2177">SUM(AI57:AL57)</f>
        <v>194.99000000000009</v>
      </c>
      <c r="AM243" s="66">
        <f t="shared" si="2177"/>
        <v>157.73999999999998</v>
      </c>
      <c r="AN243" s="66">
        <f t="shared" si="2177"/>
        <v>171.69000000000011</v>
      </c>
      <c r="AO243" s="66">
        <f t="shared" si="2177"/>
        <v>212.97000000000011</v>
      </c>
      <c r="AP243" s="66">
        <f t="shared" si="2177"/>
        <v>224.26999999999984</v>
      </c>
      <c r="AQ243" s="66">
        <f t="shared" si="2177"/>
        <v>293.4699999999998</v>
      </c>
      <c r="AR243" s="66">
        <f t="shared" si="2177"/>
        <v>301.23999999999967</v>
      </c>
      <c r="AS243" s="66">
        <f t="shared" si="2177"/>
        <v>305.34999999999968</v>
      </c>
      <c r="AT243" s="66">
        <f t="shared" si="2177"/>
        <v>339.83999999999986</v>
      </c>
      <c r="AU243" s="66">
        <f t="shared" si="2177"/>
        <v>331.69999999999976</v>
      </c>
      <c r="AV243" s="66">
        <f t="shared" si="2177"/>
        <v>346.25</v>
      </c>
      <c r="AW243" s="66">
        <f t="shared" si="2177"/>
        <v>335.95999999999981</v>
      </c>
      <c r="AX243" s="66">
        <f t="shared" si="2177"/>
        <v>357.94999999999993</v>
      </c>
      <c r="AY243" s="66">
        <f t="shared" si="2177"/>
        <v>415.09999999999974</v>
      </c>
      <c r="AZ243" s="66">
        <f t="shared" si="2177"/>
        <v>433.23999999999955</v>
      </c>
      <c r="BA243" s="66">
        <f t="shared" si="2177"/>
        <v>478.52999999999969</v>
      </c>
      <c r="BB243" s="66">
        <f t="shared" si="2177"/>
        <v>538.00999999999988</v>
      </c>
      <c r="BC243" s="66">
        <f t="shared" si="2177"/>
        <v>564.14999999999986</v>
      </c>
      <c r="BD243" s="66">
        <f t="shared" si="2177"/>
        <v>575.69999999999993</v>
      </c>
      <c r="BE243" s="66">
        <f t="shared" si="2177"/>
        <v>576.49000000000012</v>
      </c>
      <c r="BF243" s="66">
        <f t="shared" si="2177"/>
        <v>573.49000000000012</v>
      </c>
      <c r="BG243" s="66">
        <f t="shared" si="2177"/>
        <v>575.09000000000015</v>
      </c>
      <c r="BH243" s="66">
        <f t="shared" si="2177"/>
        <v>589.91000000000008</v>
      </c>
      <c r="BI243" s="66">
        <f t="shared" si="2177"/>
        <v>612.97000000000014</v>
      </c>
      <c r="BJ243" s="66">
        <f t="shared" si="2177"/>
        <v>577.46999999999969</v>
      </c>
      <c r="BK243" s="66">
        <f t="shared" si="2177"/>
        <v>621.6099999999999</v>
      </c>
      <c r="BL243" s="66">
        <f t="shared" si="2177"/>
        <v>634.96999999999991</v>
      </c>
      <c r="BM243" s="66">
        <f t="shared" si="2177"/>
        <v>621.01999999999987</v>
      </c>
      <c r="BN243" s="66">
        <f t="shared" si="2177"/>
        <v>640.93999999999937</v>
      </c>
      <c r="BO243" s="66">
        <f t="shared" si="2177"/>
        <v>503.68999999999966</v>
      </c>
      <c r="BP243" s="66">
        <f t="shared" si="2177"/>
        <v>467.83999999999941</v>
      </c>
      <c r="BQ243" s="66">
        <f t="shared" si="2177"/>
        <v>509.85999999999933</v>
      </c>
      <c r="BR243" s="66">
        <f t="shared" ref="BR243:CW243" si="2178">SUM(BO57:BR57)</f>
        <v>589.76000000000022</v>
      </c>
      <c r="BS243" s="66">
        <f t="shared" si="2178"/>
        <v>649.32000000000016</v>
      </c>
      <c r="BT243" s="66">
        <f t="shared" si="2178"/>
        <v>685.78000000000031</v>
      </c>
      <c r="BU243" s="66">
        <f t="shared" si="2178"/>
        <v>665.6400000000001</v>
      </c>
      <c r="BV243" s="66">
        <f t="shared" si="2178"/>
        <v>616.3099999999996</v>
      </c>
      <c r="BW243" s="66">
        <f t="shared" si="2178"/>
        <v>603.77</v>
      </c>
      <c r="BX243" s="66">
        <f t="shared" si="2178"/>
        <v>609.88999999999976</v>
      </c>
      <c r="BY243" s="66">
        <f t="shared" si="2178"/>
        <v>540.8499999999998</v>
      </c>
      <c r="BZ243" s="66">
        <f t="shared" si="2178"/>
        <v>500.69000000000011</v>
      </c>
      <c r="CA243" s="66">
        <f t="shared" si="2178"/>
        <v>520.68000000000006</v>
      </c>
      <c r="CB243" s="66">
        <f t="shared" si="2178"/>
        <v>460.19</v>
      </c>
      <c r="CC243" s="66">
        <f t="shared" si="2178"/>
        <v>409.16000000000014</v>
      </c>
      <c r="CD243" s="66">
        <f t="shared" si="2178"/>
        <v>386.72000000000014</v>
      </c>
      <c r="CE243" s="66">
        <f t="shared" si="2178"/>
        <v>590.60999999999922</v>
      </c>
      <c r="CF243" s="66">
        <f t="shared" si="2178"/>
        <v>686.8899999999993</v>
      </c>
      <c r="CG243" s="66">
        <f t="shared" si="2178"/>
        <v>841.57999999999959</v>
      </c>
      <c r="CH243" s="66">
        <f t="shared" si="2178"/>
        <v>960.27999999999929</v>
      </c>
      <c r="CI243" s="66">
        <f t="shared" si="2178"/>
        <v>762.41999999999985</v>
      </c>
      <c r="CJ243" s="66">
        <f t="shared" si="2178"/>
        <v>665.34999999999934</v>
      </c>
      <c r="CK243" s="50">
        <f t="shared" si="2178"/>
        <v>645.27999999999906</v>
      </c>
      <c r="CL243" s="66">
        <f t="shared" si="2178"/>
        <v>527.05999999999904</v>
      </c>
      <c r="CM243" s="50">
        <f t="shared" si="2178"/>
        <v>535.09550763135326</v>
      </c>
      <c r="CN243" s="50">
        <f t="shared" si="2178"/>
        <v>566.19682534639969</v>
      </c>
      <c r="CO243" s="50">
        <f t="shared" si="2178"/>
        <v>561.81799798531404</v>
      </c>
      <c r="CP243" s="50">
        <f t="shared" si="2178"/>
        <v>663.63624056377898</v>
      </c>
      <c r="CQ243" s="50">
        <f t="shared" si="2178"/>
        <v>730.47877603285951</v>
      </c>
      <c r="CR243" s="50">
        <f t="shared" si="2178"/>
        <v>760.48786479999785</v>
      </c>
      <c r="CS243" s="50">
        <f t="shared" si="2178"/>
        <v>780.1175087881802</v>
      </c>
      <c r="CT243" s="50">
        <f t="shared" si="2178"/>
        <v>821.56610048376615</v>
      </c>
      <c r="CU243" s="50">
        <f t="shared" si="2178"/>
        <v>863.16019584113201</v>
      </c>
      <c r="CV243" s="50">
        <f t="shared" si="2178"/>
        <v>884.74969951931132</v>
      </c>
      <c r="CW243" s="50">
        <f t="shared" si="2178"/>
        <v>906.46370760022717</v>
      </c>
      <c r="CX243" s="50">
        <f t="shared" ref="CX243:DB243" si="2179">SUM(CU57:CX57)</f>
        <v>944.88489836342387</v>
      </c>
      <c r="CY243" s="50">
        <f t="shared" si="2179"/>
        <v>988.14333285503665</v>
      </c>
      <c r="CZ243" s="50">
        <f t="shared" si="2179"/>
        <v>1009.878741199287</v>
      </c>
      <c r="DA243" s="50">
        <f t="shared" si="2179"/>
        <v>1035.0049576341362</v>
      </c>
      <c r="DB243" s="50">
        <f t="shared" si="2179"/>
        <v>1082.6661351641642</v>
      </c>
      <c r="DE243" s="138"/>
      <c r="DF243" s="66">
        <v>681.30777650372193</v>
      </c>
    </row>
    <row r="244" spans="1:110" s="93" customFormat="1" x14ac:dyDescent="0.2">
      <c r="AB244" s="30"/>
      <c r="AC244" s="30"/>
      <c r="AD244" s="30"/>
      <c r="AE244" s="30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11" customFormat="1" x14ac:dyDescent="0.2">
      <c r="AB245" s="63"/>
      <c r="AC245" s="63"/>
      <c r="AD245" s="63"/>
      <c r="AE245" s="63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246" s="61" t="s">
        <v>339</v>
      </c>
      <c r="AB246" s="63"/>
      <c r="AC246" s="63"/>
      <c r="AD246" s="63"/>
      <c r="AE246" s="63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474</v>
      </c>
      <c r="B247" s="64">
        <f t="shared" ref="B247:Z247" si="2180">B24-B253</f>
        <v>853.71659999999997</v>
      </c>
      <c r="C247" s="64">
        <f t="shared" si="2180"/>
        <v>956.76239999999996</v>
      </c>
      <c r="D247" s="64">
        <f t="shared" si="2180"/>
        <v>1342.1175000000001</v>
      </c>
      <c r="E247" s="64">
        <f t="shared" si="2180"/>
        <v>1437.5206000000001</v>
      </c>
      <c r="F247" s="64">
        <f t="shared" si="2180"/>
        <v>1550.7879</v>
      </c>
      <c r="G247" s="64">
        <f t="shared" si="2180"/>
        <v>2022.7089000000001</v>
      </c>
      <c r="H247" s="64">
        <f t="shared" si="2180"/>
        <v>2598.3009999999999</v>
      </c>
      <c r="I247" s="64">
        <f t="shared" si="2180"/>
        <v>3264.3878</v>
      </c>
      <c r="J247" s="64">
        <f t="shared" si="2180"/>
        <v>4373.9093999999996</v>
      </c>
      <c r="K247" s="64">
        <f t="shared" si="2180"/>
        <v>4781.8289000000004</v>
      </c>
      <c r="L247" s="64">
        <f t="shared" si="2180"/>
        <v>5225.9672</v>
      </c>
      <c r="M247" s="64">
        <f t="shared" si="2180"/>
        <v>5219.0048999999999</v>
      </c>
      <c r="N247" s="64">
        <f t="shared" si="2180"/>
        <v>5583.5321999999996</v>
      </c>
      <c r="O247" s="64">
        <f t="shared" si="2180"/>
        <v>5302.8548000000001</v>
      </c>
      <c r="P247" s="64">
        <f t="shared" si="2180"/>
        <v>5204.7966999999999</v>
      </c>
      <c r="Q247" s="64">
        <f t="shared" si="2180"/>
        <v>5746.6529</v>
      </c>
      <c r="R247" s="64">
        <f t="shared" si="2180"/>
        <v>6095.02</v>
      </c>
      <c r="S247" s="64">
        <f t="shared" si="2180"/>
        <v>6427.87</v>
      </c>
      <c r="T247" s="64">
        <f t="shared" si="2180"/>
        <v>7124.07</v>
      </c>
      <c r="U247" s="64">
        <f t="shared" si="2180"/>
        <v>7658.08</v>
      </c>
      <c r="V247" s="64">
        <f t="shared" si="2180"/>
        <v>7555.78</v>
      </c>
      <c r="W247" s="64">
        <f t="shared" si="2180"/>
        <v>7934.45</v>
      </c>
      <c r="X247" s="64">
        <f t="shared" si="2180"/>
        <v>9498.77</v>
      </c>
      <c r="Y247" s="64">
        <f t="shared" si="2180"/>
        <v>12481.21</v>
      </c>
      <c r="Z247" s="64">
        <f t="shared" si="2180"/>
        <v>15412.79</v>
      </c>
      <c r="AA247" s="64">
        <f t="shared" ref="AA247" si="2181">AA24-AA253</f>
        <v>14244.5</v>
      </c>
      <c r="AB247" s="30"/>
      <c r="AC247" s="30"/>
      <c r="AD247" s="30"/>
      <c r="AE247" s="30"/>
      <c r="AI247" s="64">
        <f t="shared" ref="AI247:BN247" si="2182">AI24-AI253</f>
        <v>1616.82</v>
      </c>
      <c r="AJ247" s="64">
        <f t="shared" si="2182"/>
        <v>1164.49</v>
      </c>
      <c r="AK247" s="64">
        <f t="shared" si="2182"/>
        <v>1152.54</v>
      </c>
      <c r="AL247" s="64">
        <f t="shared" si="2182"/>
        <v>1597.1100000000001</v>
      </c>
      <c r="AM247" s="64">
        <f t="shared" si="2182"/>
        <v>1603.3</v>
      </c>
      <c r="AN247" s="64">
        <f t="shared" si="2182"/>
        <v>1080.53</v>
      </c>
      <c r="AO247" s="64">
        <f t="shared" si="2182"/>
        <v>1119.4000000000001</v>
      </c>
      <c r="AP247" s="64">
        <f t="shared" si="2182"/>
        <v>1462.81</v>
      </c>
      <c r="AQ247" s="64">
        <f t="shared" si="2182"/>
        <v>1757.34</v>
      </c>
      <c r="AR247" s="64">
        <f t="shared" si="2182"/>
        <v>984.65</v>
      </c>
      <c r="AS247" s="64">
        <f t="shared" si="2182"/>
        <v>951.13</v>
      </c>
      <c r="AT247" s="64">
        <f t="shared" si="2182"/>
        <v>1489.97</v>
      </c>
      <c r="AU247" s="64">
        <f t="shared" si="2182"/>
        <v>1564.27</v>
      </c>
      <c r="AV247" s="64">
        <f t="shared" si="2182"/>
        <v>1046.68</v>
      </c>
      <c r="AW247" s="64">
        <f t="shared" si="2182"/>
        <v>1272.3499999999999</v>
      </c>
      <c r="AX247" s="64">
        <f t="shared" si="2182"/>
        <v>1863.3600000000001</v>
      </c>
      <c r="AY247" s="64">
        <f t="shared" si="2182"/>
        <v>1855.1799999999998</v>
      </c>
      <c r="AZ247" s="64">
        <f t="shared" si="2182"/>
        <v>981.45999999999992</v>
      </c>
      <c r="BA247" s="64">
        <f t="shared" si="2182"/>
        <v>1200.1200000000001</v>
      </c>
      <c r="BB247" s="64">
        <f t="shared" si="2182"/>
        <v>2058.2600000000002</v>
      </c>
      <c r="BC247" s="64">
        <f t="shared" si="2182"/>
        <v>1968.11</v>
      </c>
      <c r="BD247" s="64">
        <f t="shared" si="2182"/>
        <v>1036.71</v>
      </c>
      <c r="BE247" s="64">
        <f t="shared" si="2182"/>
        <v>1374.67</v>
      </c>
      <c r="BF247" s="64">
        <f t="shared" si="2182"/>
        <v>2048.38</v>
      </c>
      <c r="BG247" s="64">
        <f t="shared" si="2182"/>
        <v>2148.0899999999997</v>
      </c>
      <c r="BH247" s="64">
        <f t="shared" si="2182"/>
        <v>1421.3600000000001</v>
      </c>
      <c r="BI247" s="64">
        <f t="shared" si="2182"/>
        <v>1491.78</v>
      </c>
      <c r="BJ247" s="64">
        <f t="shared" si="2182"/>
        <v>2062.84</v>
      </c>
      <c r="BK247" s="64">
        <f t="shared" si="2182"/>
        <v>2654</v>
      </c>
      <c r="BL247" s="64">
        <f t="shared" si="2182"/>
        <v>1421.94</v>
      </c>
      <c r="BM247" s="64">
        <f t="shared" si="2182"/>
        <v>1492.51</v>
      </c>
      <c r="BN247" s="64">
        <f t="shared" si="2182"/>
        <v>2089.6299999999997</v>
      </c>
      <c r="BO247" s="64">
        <f t="shared" ref="BO247:CT247" si="2183">BO24-BO253</f>
        <v>1296.94</v>
      </c>
      <c r="BP247" s="64">
        <f t="shared" si="2183"/>
        <v>1612.54</v>
      </c>
      <c r="BQ247" s="64">
        <f t="shared" si="2183"/>
        <v>1994.64</v>
      </c>
      <c r="BR247" s="64">
        <f t="shared" si="2183"/>
        <v>2651.6600000000003</v>
      </c>
      <c r="BS247" s="64">
        <f t="shared" si="2183"/>
        <v>1785.1999999999998</v>
      </c>
      <c r="BT247" s="64">
        <f t="shared" si="2183"/>
        <v>1689.0800000000002</v>
      </c>
      <c r="BU247" s="64">
        <f t="shared" si="2183"/>
        <v>1793.59</v>
      </c>
      <c r="BV247" s="64">
        <f t="shared" si="2183"/>
        <v>2666.58</v>
      </c>
      <c r="BW247" s="64">
        <f t="shared" si="2183"/>
        <v>2768</v>
      </c>
      <c r="BX247" s="64">
        <f t="shared" si="2183"/>
        <v>1768.36</v>
      </c>
      <c r="BY247" s="64">
        <f t="shared" si="2183"/>
        <v>2005.61</v>
      </c>
      <c r="BZ247" s="64">
        <f t="shared" si="2183"/>
        <v>2956.8</v>
      </c>
      <c r="CA247" s="64">
        <f t="shared" si="2183"/>
        <v>3359.86</v>
      </c>
      <c r="CB247" s="64">
        <f t="shared" si="2183"/>
        <v>2292.75</v>
      </c>
      <c r="CC247" s="64">
        <f t="shared" si="2183"/>
        <v>2625.72</v>
      </c>
      <c r="CD247" s="64">
        <f t="shared" si="2183"/>
        <v>4202.88</v>
      </c>
      <c r="CE247" s="64">
        <f t="shared" si="2183"/>
        <v>4921.0199999999995</v>
      </c>
      <c r="CF247" s="64">
        <f t="shared" si="2183"/>
        <v>2619.11</v>
      </c>
      <c r="CG247" s="64">
        <f t="shared" si="2183"/>
        <v>3105.11</v>
      </c>
      <c r="CH247" s="64">
        <f t="shared" si="2183"/>
        <v>4767.5600000000004</v>
      </c>
      <c r="CI247" s="64">
        <f t="shared" si="2183"/>
        <v>3938.58</v>
      </c>
      <c r="CJ247" s="64">
        <f t="shared" si="2183"/>
        <v>2347.3199999999997</v>
      </c>
      <c r="CK247" s="30">
        <f t="shared" si="2183"/>
        <v>3070.77</v>
      </c>
      <c r="CL247" s="64">
        <f t="shared" ref="CL247" si="2184">CL24-CL253</f>
        <v>4887.83</v>
      </c>
      <c r="CM247" s="30">
        <f t="shared" si="2183"/>
        <v>4726.2960000000003</v>
      </c>
      <c r="CN247" s="30">
        <f t="shared" si="2183"/>
        <v>2816.7839999999997</v>
      </c>
      <c r="CO247" s="30">
        <f t="shared" si="2183"/>
        <v>3684.924</v>
      </c>
      <c r="CP247" s="30">
        <f t="shared" si="2183"/>
        <v>5865.3959999999997</v>
      </c>
      <c r="CQ247" s="30">
        <f t="shared" si="2183"/>
        <v>5435.2404000000006</v>
      </c>
      <c r="CR247" s="30">
        <f t="shared" si="2183"/>
        <v>3239.3015999999998</v>
      </c>
      <c r="CS247" s="30">
        <f t="shared" si="2183"/>
        <v>4237.6625999999997</v>
      </c>
      <c r="CT247" s="30">
        <f t="shared" si="2183"/>
        <v>6745.2053999999998</v>
      </c>
      <c r="CU247" s="30">
        <f t="shared" ref="CU247:DB247" si="2185">CU24-CU253</f>
        <v>6250.526460000001</v>
      </c>
      <c r="CV247" s="30">
        <f t="shared" si="2185"/>
        <v>3725.1968399999996</v>
      </c>
      <c r="CW247" s="30">
        <f t="shared" si="2185"/>
        <v>4873.3119899999992</v>
      </c>
      <c r="CX247" s="30">
        <f t="shared" si="2185"/>
        <v>7756.98621</v>
      </c>
      <c r="CY247" s="30">
        <f t="shared" si="2185"/>
        <v>7188.1054290000011</v>
      </c>
      <c r="CZ247" s="30">
        <f t="shared" si="2185"/>
        <v>4283.9763659999999</v>
      </c>
      <c r="DA247" s="30">
        <f t="shared" si="2185"/>
        <v>5604.3087884999986</v>
      </c>
      <c r="DB247" s="30">
        <f t="shared" si="2185"/>
        <v>8920.5341415000003</v>
      </c>
      <c r="DE247" s="139"/>
      <c r="DF247" s="64">
        <v>5268.1538</v>
      </c>
    </row>
    <row r="248" spans="1:110" s="64" customFormat="1" hidden="1" outlineLevel="1" x14ac:dyDescent="0.2">
      <c r="A248" s="64" t="s">
        <v>475</v>
      </c>
      <c r="B248" s="64">
        <f t="shared" ref="B248:Z248" si="2186">B44-B254</f>
        <v>27.489599999999982</v>
      </c>
      <c r="C248" s="64">
        <f t="shared" si="2186"/>
        <v>22.230499999999893</v>
      </c>
      <c r="D248" s="64">
        <f t="shared" si="2186"/>
        <v>34.868400000000094</v>
      </c>
      <c r="E248" s="64">
        <f t="shared" si="2186"/>
        <v>41.011799999999937</v>
      </c>
      <c r="F248" s="64">
        <f t="shared" si="2186"/>
        <v>52.776499999999999</v>
      </c>
      <c r="G248" s="64">
        <f t="shared" si="2186"/>
        <v>111.57999999999987</v>
      </c>
      <c r="H248" s="64">
        <f t="shared" si="2186"/>
        <v>128.06730000000016</v>
      </c>
      <c r="I248" s="64">
        <f t="shared" si="2186"/>
        <v>253.00190000000009</v>
      </c>
      <c r="J248" s="64">
        <f t="shared" si="2186"/>
        <v>283.0550999999997</v>
      </c>
      <c r="K248" s="64">
        <f t="shared" si="2186"/>
        <v>459.57070000000101</v>
      </c>
      <c r="L248" s="64">
        <f t="shared" si="2186"/>
        <v>454.97679999999946</v>
      </c>
      <c r="M248" s="64">
        <f t="shared" si="2186"/>
        <v>336.46939999999995</v>
      </c>
      <c r="N248" s="64">
        <f t="shared" si="2186"/>
        <v>238.01089999999976</v>
      </c>
      <c r="O248" s="64">
        <f t="shared" si="2186"/>
        <v>265.6115999999995</v>
      </c>
      <c r="P248" s="64">
        <f t="shared" si="2186"/>
        <v>410.03779999999961</v>
      </c>
      <c r="Q248" s="64">
        <f t="shared" si="2186"/>
        <v>432.96160000000032</v>
      </c>
      <c r="R248" s="64">
        <f t="shared" si="2186"/>
        <v>566.88999999999987</v>
      </c>
      <c r="S248" s="64">
        <f t="shared" si="2186"/>
        <v>651.65000000000055</v>
      </c>
      <c r="T248" s="64">
        <f t="shared" si="2186"/>
        <v>600.54000000000019</v>
      </c>
      <c r="U248" s="64">
        <f t="shared" si="2186"/>
        <v>685.9500000000005</v>
      </c>
      <c r="V248" s="64">
        <f t="shared" si="2186"/>
        <v>641.35999999999967</v>
      </c>
      <c r="W248" s="64">
        <f t="shared" si="2186"/>
        <v>681.54999999999973</v>
      </c>
      <c r="X248" s="64">
        <f t="shared" si="2186"/>
        <v>572.37000000000103</v>
      </c>
      <c r="Y248" s="64">
        <f t="shared" si="2186"/>
        <v>472.87999999999829</v>
      </c>
      <c r="Z248" s="64">
        <f t="shared" si="2186"/>
        <v>1116.1800000000017</v>
      </c>
      <c r="AA248" s="64">
        <f t="shared" ref="AA248" si="2187">AA44-AA254</f>
        <v>602.09999999999945</v>
      </c>
      <c r="AB248" s="30"/>
      <c r="AC248" s="30"/>
      <c r="AD248" s="30"/>
      <c r="AE248" s="30"/>
      <c r="AI248" s="64">
        <f t="shared" ref="AI248:BN248" si="2188">AI44-AI254</f>
        <v>93.910000000000082</v>
      </c>
      <c r="AJ248" s="64">
        <f t="shared" si="2188"/>
        <v>43.979999999999961</v>
      </c>
      <c r="AK248" s="64">
        <f t="shared" si="2188"/>
        <v>24.259999999999934</v>
      </c>
      <c r="AL248" s="64">
        <f t="shared" si="2188"/>
        <v>81.790000000000134</v>
      </c>
      <c r="AM248" s="64">
        <f t="shared" si="2188"/>
        <v>50.46999999999997</v>
      </c>
      <c r="AN248" s="64">
        <f t="shared" si="2188"/>
        <v>42.270000000000095</v>
      </c>
      <c r="AO248" s="64">
        <f t="shared" si="2188"/>
        <v>67.499999999999943</v>
      </c>
      <c r="AP248" s="64">
        <f t="shared" si="2188"/>
        <v>105.36999999999983</v>
      </c>
      <c r="AQ248" s="64">
        <f t="shared" si="2188"/>
        <v>131.88999999999993</v>
      </c>
      <c r="AR248" s="64">
        <f t="shared" si="2188"/>
        <v>77.739999999999952</v>
      </c>
      <c r="AS248" s="64">
        <f t="shared" si="2188"/>
        <v>57.39999999999992</v>
      </c>
      <c r="AT248" s="64">
        <f t="shared" si="2188"/>
        <v>143.01000000000005</v>
      </c>
      <c r="AU248" s="64">
        <f t="shared" si="2188"/>
        <v>131.2999999999999</v>
      </c>
      <c r="AV248" s="64">
        <f t="shared" si="2188"/>
        <v>64.520000000000152</v>
      </c>
      <c r="AW248" s="64">
        <f t="shared" si="2188"/>
        <v>56.299999999999727</v>
      </c>
      <c r="AX248" s="64">
        <f t="shared" si="2188"/>
        <v>180.84000000000015</v>
      </c>
      <c r="AY248" s="64">
        <f t="shared" si="2188"/>
        <v>199.53999999999979</v>
      </c>
      <c r="AZ248" s="64">
        <f t="shared" si="2188"/>
        <v>68.669999999999902</v>
      </c>
      <c r="BA248" s="64">
        <f t="shared" si="2188"/>
        <v>88.959999999999923</v>
      </c>
      <c r="BB248" s="64">
        <f t="shared" si="2188"/>
        <v>221.1700000000003</v>
      </c>
      <c r="BC248" s="64">
        <f t="shared" si="2188"/>
        <v>208.32999999999981</v>
      </c>
      <c r="BD248" s="64">
        <f t="shared" si="2188"/>
        <v>86.960000000000008</v>
      </c>
      <c r="BE248" s="64">
        <f t="shared" si="2188"/>
        <v>114.19000000000005</v>
      </c>
      <c r="BF248" s="64">
        <f t="shared" si="2188"/>
        <v>253.16000000000025</v>
      </c>
      <c r="BG248" s="64">
        <f t="shared" si="2188"/>
        <v>243.18999999999971</v>
      </c>
      <c r="BH248" s="64">
        <f t="shared" si="2188"/>
        <v>108.54000000000008</v>
      </c>
      <c r="BI248" s="64">
        <f t="shared" si="2188"/>
        <v>115.67000000000002</v>
      </c>
      <c r="BJ248" s="64">
        <f t="shared" si="2188"/>
        <v>144.30999999999995</v>
      </c>
      <c r="BK248" s="64">
        <f t="shared" si="2188"/>
        <v>291.20999999999981</v>
      </c>
      <c r="BL248" s="64">
        <f t="shared" si="2188"/>
        <v>105.88000000000022</v>
      </c>
      <c r="BM248" s="64">
        <f t="shared" si="2188"/>
        <v>97.549999999999955</v>
      </c>
      <c r="BN248" s="64">
        <f t="shared" si="2188"/>
        <v>192.01999999999941</v>
      </c>
      <c r="BO248" s="64">
        <f t="shared" ref="BO248:CT248" si="2189">BO44-BO254</f>
        <v>66.75</v>
      </c>
      <c r="BP248" s="64">
        <f t="shared" si="2189"/>
        <v>97.990000000000009</v>
      </c>
      <c r="BQ248" s="64">
        <f t="shared" si="2189"/>
        <v>145.88999999999987</v>
      </c>
      <c r="BR248" s="64">
        <f t="shared" si="2189"/>
        <v>330.73000000000042</v>
      </c>
      <c r="BS248" s="64">
        <f t="shared" si="2189"/>
        <v>135.7799999999998</v>
      </c>
      <c r="BT248" s="64">
        <f t="shared" si="2189"/>
        <v>129.12000000000018</v>
      </c>
      <c r="BU248" s="64">
        <f t="shared" si="2189"/>
        <v>155.63999999999965</v>
      </c>
      <c r="BV248" s="64">
        <f t="shared" si="2189"/>
        <v>261.00999999999993</v>
      </c>
      <c r="BW248" s="64">
        <f t="shared" si="2189"/>
        <v>176.99000000000012</v>
      </c>
      <c r="BX248" s="64">
        <f t="shared" si="2189"/>
        <v>100.83999999999997</v>
      </c>
      <c r="BY248" s="64">
        <f t="shared" si="2189"/>
        <v>76.369999999999777</v>
      </c>
      <c r="BZ248" s="64">
        <f t="shared" si="2189"/>
        <v>218.17000000000024</v>
      </c>
      <c r="CA248" s="64">
        <f t="shared" si="2189"/>
        <v>185.35000000000002</v>
      </c>
      <c r="CB248" s="64">
        <f t="shared" si="2189"/>
        <v>70.269999999999868</v>
      </c>
      <c r="CC248" s="64">
        <f t="shared" si="2189"/>
        <v>28.419999999999959</v>
      </c>
      <c r="CD248" s="64">
        <f t="shared" si="2189"/>
        <v>190.58000000000027</v>
      </c>
      <c r="CE248" s="64">
        <f t="shared" si="2189"/>
        <v>423.79999999999905</v>
      </c>
      <c r="CF248" s="64">
        <f t="shared" si="2189"/>
        <v>162.21000000000004</v>
      </c>
      <c r="CG248" s="64">
        <f t="shared" si="2189"/>
        <v>197.39000000000021</v>
      </c>
      <c r="CH248" s="64">
        <f t="shared" si="2189"/>
        <v>332.78</v>
      </c>
      <c r="CI248" s="64">
        <f t="shared" si="2189"/>
        <v>178.52999999999975</v>
      </c>
      <c r="CJ248" s="64">
        <f t="shared" si="2189"/>
        <v>70.4099999999994</v>
      </c>
      <c r="CK248" s="30">
        <f t="shared" si="2189"/>
        <v>177.29000000000008</v>
      </c>
      <c r="CL248" s="64">
        <f t="shared" ref="CL248" si="2190">CL44-CL254</f>
        <v>220.66999999999985</v>
      </c>
      <c r="CM248" s="30">
        <f t="shared" si="2189"/>
        <v>259.94302456655521</v>
      </c>
      <c r="CN248" s="30">
        <f t="shared" si="2189"/>
        <v>162.41461851332554</v>
      </c>
      <c r="CO248" s="30">
        <f t="shared" si="2189"/>
        <v>237.90313162063057</v>
      </c>
      <c r="CP248" s="30">
        <f t="shared" si="2189"/>
        <v>389.14671023315282</v>
      </c>
      <c r="CQ248" s="30">
        <f t="shared" si="2189"/>
        <v>350.69722416217871</v>
      </c>
      <c r="CR248" s="30">
        <f t="shared" si="2189"/>
        <v>210.79421086608568</v>
      </c>
      <c r="CS248" s="30">
        <f t="shared" si="2189"/>
        <v>283.53216030692727</v>
      </c>
      <c r="CT248" s="30">
        <f t="shared" si="2189"/>
        <v>455.2311710049737</v>
      </c>
      <c r="CU248" s="30">
        <f t="shared" ref="CU248:DB248" si="2191">CU44-CU254</f>
        <v>412.52551662386736</v>
      </c>
      <c r="CV248" s="30">
        <f t="shared" si="2191"/>
        <v>247.23178016913835</v>
      </c>
      <c r="CW248" s="30">
        <f t="shared" si="2191"/>
        <v>325.00511734802774</v>
      </c>
      <c r="CX248" s="30">
        <f t="shared" si="2191"/>
        <v>516.89912177207043</v>
      </c>
      <c r="CY248" s="30">
        <f t="shared" si="2191"/>
        <v>477.45797841769854</v>
      </c>
      <c r="CZ248" s="30">
        <f t="shared" si="2191"/>
        <v>285.0110004407295</v>
      </c>
      <c r="DA248" s="30">
        <f t="shared" si="2191"/>
        <v>373.07923775714551</v>
      </c>
      <c r="DB248" s="30">
        <f t="shared" si="2191"/>
        <v>593.57133766907418</v>
      </c>
      <c r="DE248" s="139"/>
      <c r="DF248" s="64">
        <v>365.23308483341236</v>
      </c>
    </row>
    <row r="249" spans="1:110" s="89" customFormat="1" hidden="1" outlineLevel="1" x14ac:dyDescent="0.2">
      <c r="A249" s="86" t="s">
        <v>476</v>
      </c>
      <c r="B249" s="86">
        <f>+B248/B247</f>
        <v>3.2199912711079977E-2</v>
      </c>
      <c r="C249" s="86">
        <f t="shared" ref="C249" si="2192">+C248/C247</f>
        <v>2.3235131313688637E-2</v>
      </c>
      <c r="D249" s="86">
        <f t="shared" ref="D249" si="2193">+D248/D247</f>
        <v>2.5980139592844956E-2</v>
      </c>
      <c r="E249" s="86">
        <f t="shared" ref="E249" si="2194">+E248/E247</f>
        <v>2.8529538985389104E-2</v>
      </c>
      <c r="F249" s="86">
        <f t="shared" ref="F249" si="2195">+F248/F247</f>
        <v>3.4032055576394424E-2</v>
      </c>
      <c r="G249" s="86">
        <f t="shared" ref="G249" si="2196">+G248/G247</f>
        <v>5.5163647126880128E-2</v>
      </c>
      <c r="H249" s="86">
        <f t="shared" ref="H249" si="2197">+H248/H247</f>
        <v>4.9288862221890446E-2</v>
      </c>
      <c r="I249" s="86">
        <f t="shared" ref="I249" si="2198">+I248/I247</f>
        <v>7.7503628704898381E-2</v>
      </c>
      <c r="J249" s="86">
        <f t="shared" ref="J249" si="2199">+J248/J247</f>
        <v>6.4714440587178082E-2</v>
      </c>
      <c r="K249" s="86">
        <f t="shared" ref="K249" si="2200">+K248/K247</f>
        <v>9.6107725644470662E-2</v>
      </c>
      <c r="L249" s="86">
        <f t="shared" ref="L249" si="2201">+L248/L247</f>
        <v>8.7060783695695504E-2</v>
      </c>
      <c r="M249" s="86">
        <f t="shared" ref="M249" si="2202">+M248/M247</f>
        <v>6.447002952612671E-2</v>
      </c>
      <c r="N249" s="86">
        <f t="shared" ref="N249" si="2203">+N248/N247</f>
        <v>4.2627299615107403E-2</v>
      </c>
      <c r="O249" s="86">
        <f t="shared" ref="O249" si="2204">+O248/O247</f>
        <v>5.0088416526132204E-2</v>
      </c>
      <c r="P249" s="86">
        <f t="shared" ref="P249" si="2205">+P248/P247</f>
        <v>7.8780752377897792E-2</v>
      </c>
      <c r="Q249" s="86">
        <f t="shared" ref="Q249" si="2206">+Q248/Q247</f>
        <v>7.5341526195187511E-2</v>
      </c>
      <c r="R249" s="86">
        <f t="shared" ref="R249" si="2207">+R248/R247</f>
        <v>9.3008718593212136E-2</v>
      </c>
      <c r="S249" s="86">
        <f t="shared" ref="S249" si="2208">+S248/S247</f>
        <v>0.10137883933558092</v>
      </c>
      <c r="T249" s="86">
        <f t="shared" ref="T249" si="2209">+T248/T247</f>
        <v>8.4297318807928651E-2</v>
      </c>
      <c r="U249" s="86">
        <f t="shared" ref="U249" si="2210">+U248/U247</f>
        <v>8.9572059837452797E-2</v>
      </c>
      <c r="V249" s="86">
        <f t="shared" ref="V249" si="2211">+V248/V247</f>
        <v>8.4883360817810963E-2</v>
      </c>
      <c r="W249" s="86">
        <f t="shared" ref="W249" si="2212">+W248/W247</f>
        <v>8.5897573240741293E-2</v>
      </c>
      <c r="X249" s="86">
        <f t="shared" ref="X249:Y249" si="2213">+X248/X247</f>
        <v>6.0257275415659187E-2</v>
      </c>
      <c r="Y249" s="86">
        <f t="shared" si="2213"/>
        <v>3.7887352267929018E-2</v>
      </c>
      <c r="Z249" s="86">
        <f t="shared" ref="Z249:AA249" si="2214">+Z248/Z247</f>
        <v>7.24190753264011E-2</v>
      </c>
      <c r="AA249" s="86">
        <f t="shared" si="2214"/>
        <v>4.2268945908947274E-2</v>
      </c>
      <c r="AB249" s="87"/>
      <c r="AC249" s="87"/>
      <c r="AD249" s="87"/>
      <c r="AE249" s="87"/>
      <c r="AF249" s="86"/>
      <c r="AG249" s="86"/>
      <c r="AH249" s="86"/>
      <c r="AI249" s="86">
        <f t="shared" ref="AI249" si="2215">+AI248/AI247</f>
        <v>5.8083150876411777E-2</v>
      </c>
      <c r="AJ249" s="86">
        <f t="shared" ref="AJ249" si="2216">+AJ248/AJ247</f>
        <v>3.7767606419977812E-2</v>
      </c>
      <c r="AK249" s="86">
        <f t="shared" ref="AK249" si="2217">+AK248/AK247</f>
        <v>2.1049160983566673E-2</v>
      </c>
      <c r="AL249" s="86">
        <f t="shared" ref="AL249" si="2218">+AL248/AL247</f>
        <v>5.1211250320892195E-2</v>
      </c>
      <c r="AM249" s="86">
        <f t="shared" ref="AM249" si="2219">+AM248/AM247</f>
        <v>3.1478824923595071E-2</v>
      </c>
      <c r="AN249" s="86">
        <f t="shared" ref="AN249" si="2220">+AN248/AN247</f>
        <v>3.9119691262621208E-2</v>
      </c>
      <c r="AO249" s="86">
        <f t="shared" ref="AO249" si="2221">+AO248/AO247</f>
        <v>6.0300160800428743E-2</v>
      </c>
      <c r="AP249" s="86">
        <f t="shared" ref="AP249" si="2222">+AP248/AP247</f>
        <v>7.2032594800418265E-2</v>
      </c>
      <c r="AQ249" s="86">
        <f t="shared" ref="AQ249" si="2223">+AQ248/AQ247</f>
        <v>7.505092924533667E-2</v>
      </c>
      <c r="AR249" s="86">
        <f t="shared" ref="AR249" si="2224">+AR248/AR247</f>
        <v>7.895191184684909E-2</v>
      </c>
      <c r="AS249" s="86">
        <f t="shared" ref="AS249" si="2225">+AS248/AS247</f>
        <v>6.0349268764522117E-2</v>
      </c>
      <c r="AT249" s="86">
        <f t="shared" ref="AT249" si="2226">+AT248/AT247</f>
        <v>9.5981798291240789E-2</v>
      </c>
      <c r="AU249" s="86">
        <f t="shared" ref="AU249" si="2227">+AU248/AU247</f>
        <v>8.3936916261259181E-2</v>
      </c>
      <c r="AV249" s="86">
        <f t="shared" ref="AV249" si="2228">+AV248/AV247</f>
        <v>6.1642526846791904E-2</v>
      </c>
      <c r="AW249" s="86">
        <f t="shared" ref="AW249" si="2229">+AW248/AW247</f>
        <v>4.4248830903446168E-2</v>
      </c>
      <c r="AX249" s="86">
        <f t="shared" ref="AX249" si="2230">+AX248/AX247</f>
        <v>9.7050489438433862E-2</v>
      </c>
      <c r="AY249" s="86">
        <f t="shared" ref="AY249" si="2231">+AY248/AY247</f>
        <v>0.10755829623001531</v>
      </c>
      <c r="AZ249" s="86">
        <f t="shared" ref="AZ249" si="2232">+AZ248/AZ247</f>
        <v>6.9967191734762402E-2</v>
      </c>
      <c r="BA249" s="86">
        <f t="shared" ref="BA249" si="2233">+BA248/BA247</f>
        <v>7.4125920741259135E-2</v>
      </c>
      <c r="BB249" s="86">
        <f t="shared" ref="BB249" si="2234">+BB248/BB247</f>
        <v>0.1074548404963417</v>
      </c>
      <c r="BC249" s="86">
        <f t="shared" ref="BC249" si="2235">+BC248/BC247</f>
        <v>0.10585282326699211</v>
      </c>
      <c r="BD249" s="86">
        <f t="shared" ref="BD249" si="2236">+BD248/BD247</f>
        <v>8.388073810419501E-2</v>
      </c>
      <c r="BE249" s="86">
        <f t="shared" ref="BE249" si="2237">+BE248/BE247</f>
        <v>8.3067208857398545E-2</v>
      </c>
      <c r="BF249" s="86">
        <f t="shared" ref="BF249" si="2238">+BF248/BF247</f>
        <v>0.12359034944688009</v>
      </c>
      <c r="BG249" s="86">
        <f t="shared" ref="BG249" si="2239">+BG248/BG247</f>
        <v>0.11321220246823911</v>
      </c>
      <c r="BH249" s="86">
        <f t="shared" ref="BH249" si="2240">+BH248/BH247</f>
        <v>7.6363482861484824E-2</v>
      </c>
      <c r="BI249" s="86">
        <f t="shared" ref="BI249" si="2241">+BI248/BI247</f>
        <v>7.7538242904449731E-2</v>
      </c>
      <c r="BJ249" s="86">
        <f t="shared" ref="BJ249" si="2242">+BJ248/BJ247</f>
        <v>6.9956952550852186E-2</v>
      </c>
      <c r="BK249" s="86">
        <f t="shared" ref="BK249" si="2243">+BK248/BK247</f>
        <v>0.10972494348153723</v>
      </c>
      <c r="BL249" s="86">
        <f t="shared" ref="BL249" si="2244">+BL248/BL247</f>
        <v>7.446165098386727E-2</v>
      </c>
      <c r="BM249" s="86">
        <f t="shared" ref="BM249" si="2245">+BM248/BM247</f>
        <v>6.5359696082438273E-2</v>
      </c>
      <c r="BN249" s="86">
        <f t="shared" ref="BN249" si="2246">+BN248/BN247</f>
        <v>9.189186602412841E-2</v>
      </c>
      <c r="BO249" s="86">
        <f t="shared" ref="BO249" si="2247">+BO248/BO247</f>
        <v>5.1467299952195164E-2</v>
      </c>
      <c r="BP249" s="86">
        <f t="shared" ref="BP249" si="2248">+BP248/BP247</f>
        <v>6.0767484837585428E-2</v>
      </c>
      <c r="BQ249" s="86">
        <f t="shared" ref="BQ249" si="2249">+BQ248/BQ247</f>
        <v>7.31410179280471E-2</v>
      </c>
      <c r="BR249" s="86">
        <f t="shared" ref="BR249" si="2250">+BR248/BR247</f>
        <v>0.12472564355912914</v>
      </c>
      <c r="BS249" s="86">
        <f t="shared" ref="BS249" si="2251">+BS248/BS247</f>
        <v>7.6058704907013122E-2</v>
      </c>
      <c r="BT249" s="86">
        <f t="shared" ref="BT249" si="2252">+BT248/BT247</f>
        <v>7.6443981338953845E-2</v>
      </c>
      <c r="BU249" s="86">
        <f t="shared" ref="BU249" si="2253">+BU248/BU247</f>
        <v>8.6775684520988439E-2</v>
      </c>
      <c r="BV249" s="86">
        <f t="shared" ref="BV249" si="2254">+BV248/BV247</f>
        <v>9.7881931162762767E-2</v>
      </c>
      <c r="BW249" s="86">
        <f t="shared" ref="BW249" si="2255">+BW248/BW247</f>
        <v>6.3941473988439357E-2</v>
      </c>
      <c r="BX249" s="86">
        <f t="shared" ref="BX249" si="2256">+BX248/BX247</f>
        <v>5.7024587753624817E-2</v>
      </c>
      <c r="BY249" s="86">
        <f t="shared" ref="BY249" si="2257">+BY248/BY247</f>
        <v>3.8078190675156075E-2</v>
      </c>
      <c r="BZ249" s="86">
        <f t="shared" ref="BZ249" si="2258">+BZ248/BZ247</f>
        <v>7.3785849567099646E-2</v>
      </c>
      <c r="CA249" s="86">
        <f t="shared" ref="CA249" si="2259">+CA248/CA247</f>
        <v>5.5165989059067944E-2</v>
      </c>
      <c r="CB249" s="86">
        <f t="shared" ref="CB249:CC249" si="2260">+CB248/CB247</f>
        <v>3.064878421110015E-2</v>
      </c>
      <c r="CC249" s="86">
        <f t="shared" si="2260"/>
        <v>1.0823697880962159E-2</v>
      </c>
      <c r="CD249" s="86">
        <f t="shared" ref="CD249" si="2261">+CD248/CD247</f>
        <v>4.5345096695599274E-2</v>
      </c>
      <c r="CE249" s="86">
        <f t="shared" ref="CE249:CF249" si="2262">+CE248/CE247</f>
        <v>8.6120357161726446E-2</v>
      </c>
      <c r="CF249" s="86">
        <f t="shared" si="2262"/>
        <v>6.1933252135267333E-2</v>
      </c>
      <c r="CG249" s="86">
        <f t="shared" ref="CG249:CH249" si="2263">+CG248/CG247</f>
        <v>6.3569406558865935E-2</v>
      </c>
      <c r="CH249" s="86">
        <f t="shared" si="2263"/>
        <v>6.9800904445880066E-2</v>
      </c>
      <c r="CI249" s="86">
        <f t="shared" ref="CI249:CJ249" si="2264">+CI248/CI247</f>
        <v>4.5328519415626885E-2</v>
      </c>
      <c r="CJ249" s="86">
        <f t="shared" si="2264"/>
        <v>2.9995910229538115E-2</v>
      </c>
      <c r="CK249" s="47">
        <f t="shared" ref="CK249:DB249" si="2265">+CK248/CK247</f>
        <v>5.7734704976276335E-2</v>
      </c>
      <c r="CL249" s="86">
        <f t="shared" si="2265"/>
        <v>4.5146823846164828E-2</v>
      </c>
      <c r="CM249" s="47">
        <f t="shared" si="2265"/>
        <v>5.4999311208302482E-2</v>
      </c>
      <c r="CN249" s="47">
        <f t="shared" si="2265"/>
        <v>5.7659592824059476E-2</v>
      </c>
      <c r="CO249" s="47">
        <f t="shared" si="2265"/>
        <v>6.4561204415784584E-2</v>
      </c>
      <c r="CP249" s="47">
        <f t="shared" si="2265"/>
        <v>6.6346195590741494E-2</v>
      </c>
      <c r="CQ249" s="47">
        <f t="shared" si="2265"/>
        <v>6.4522854253544829E-2</v>
      </c>
      <c r="CR249" s="47">
        <f t="shared" si="2265"/>
        <v>6.5073968680806282E-2</v>
      </c>
      <c r="CS249" s="47">
        <f t="shared" si="2265"/>
        <v>6.6907676960154233E-2</v>
      </c>
      <c r="CT249" s="47">
        <f t="shared" si="2265"/>
        <v>6.7489593571898307E-2</v>
      </c>
      <c r="CU249" s="47">
        <f t="shared" si="2265"/>
        <v>6.599852336660092E-2</v>
      </c>
      <c r="CV249" s="47">
        <f t="shared" si="2265"/>
        <v>6.6367440644864925E-2</v>
      </c>
      <c r="CW249" s="47">
        <f t="shared" si="2265"/>
        <v>6.6690808635879645E-2</v>
      </c>
      <c r="CX249" s="47">
        <f t="shared" si="2265"/>
        <v>6.6636591554810873E-2</v>
      </c>
      <c r="CY249" s="47">
        <f t="shared" si="2265"/>
        <v>6.642334105053907E-2</v>
      </c>
      <c r="CZ249" s="47">
        <f t="shared" si="2265"/>
        <v>6.6529545471523621E-2</v>
      </c>
      <c r="DA249" s="47">
        <f t="shared" si="2265"/>
        <v>6.6570071678188292E-2</v>
      </c>
      <c r="DB249" s="47">
        <f t="shared" si="2265"/>
        <v>6.6539887438765447E-2</v>
      </c>
      <c r="DE249" s="130"/>
      <c r="DF249" s="89">
        <v>6.9328478001802515E-2</v>
      </c>
    </row>
    <row r="250" spans="1:110" s="64" customFormat="1" hidden="1" outlineLevel="1" x14ac:dyDescent="0.2">
      <c r="A250" s="64" t="s">
        <v>477</v>
      </c>
      <c r="B250" s="64">
        <f t="shared" ref="B250:Z250" si="2266">B57-B256</f>
        <v>17.046099999999981</v>
      </c>
      <c r="C250" s="64">
        <f t="shared" si="2266"/>
        <v>20.299499999999892</v>
      </c>
      <c r="D250" s="64">
        <f t="shared" si="2266"/>
        <v>24.469300000000093</v>
      </c>
      <c r="E250" s="64">
        <f t="shared" si="2266"/>
        <v>31.969899999999932</v>
      </c>
      <c r="F250" s="64">
        <f t="shared" si="2266"/>
        <v>47.111499999999999</v>
      </c>
      <c r="G250" s="64">
        <f t="shared" si="2266"/>
        <v>99.877099999999871</v>
      </c>
      <c r="H250" s="64">
        <f t="shared" si="2266"/>
        <v>132.07250000000016</v>
      </c>
      <c r="I250" s="64">
        <f t="shared" si="2266"/>
        <v>176.00760000000008</v>
      </c>
      <c r="J250" s="64">
        <f t="shared" si="2266"/>
        <v>228.40629999999973</v>
      </c>
      <c r="K250" s="64">
        <f t="shared" si="2266"/>
        <v>359.54020000000094</v>
      </c>
      <c r="L250" s="64">
        <f t="shared" si="2266"/>
        <v>311.39849999999944</v>
      </c>
      <c r="M250" s="64">
        <f t="shared" si="2266"/>
        <v>312.47059999999999</v>
      </c>
      <c r="N250" s="64">
        <f t="shared" si="2266"/>
        <v>194.98769999999973</v>
      </c>
      <c r="O250" s="64">
        <f t="shared" si="2266"/>
        <v>224.26729999999947</v>
      </c>
      <c r="P250" s="64">
        <f t="shared" si="2266"/>
        <v>339.84179999999958</v>
      </c>
      <c r="Q250" s="64">
        <f t="shared" si="2266"/>
        <v>357.95130000000029</v>
      </c>
      <c r="R250" s="64">
        <f t="shared" si="2266"/>
        <v>538.00999999999988</v>
      </c>
      <c r="S250" s="64">
        <f t="shared" si="2266"/>
        <v>573.49000000000058</v>
      </c>
      <c r="T250" s="64">
        <f t="shared" si="2266"/>
        <v>577.47000000000014</v>
      </c>
      <c r="U250" s="64">
        <f t="shared" si="2266"/>
        <v>640.9400000000004</v>
      </c>
      <c r="V250" s="64">
        <f t="shared" si="2266"/>
        <v>589.75999999999976</v>
      </c>
      <c r="W250" s="64">
        <f t="shared" si="2266"/>
        <v>616.30999999999972</v>
      </c>
      <c r="X250" s="64">
        <f t="shared" si="2266"/>
        <v>500.69000000000096</v>
      </c>
      <c r="Y250" s="64">
        <f t="shared" si="2266"/>
        <v>386.71999999999827</v>
      </c>
      <c r="Z250" s="64">
        <f t="shared" si="2266"/>
        <v>960.28000000000179</v>
      </c>
      <c r="AA250" s="64">
        <f t="shared" ref="AA250" si="2267">AA57-AA256</f>
        <v>527.05999999999938</v>
      </c>
      <c r="AB250" s="30"/>
      <c r="AC250" s="30"/>
      <c r="AD250" s="30"/>
      <c r="AE250" s="30"/>
      <c r="AI250" s="64">
        <f t="shared" ref="AI250:BN250" si="2268">AI57-AI256</f>
        <v>77.86000000000007</v>
      </c>
      <c r="AJ250" s="64">
        <f t="shared" si="2268"/>
        <v>28.429999999999961</v>
      </c>
      <c r="AK250" s="64">
        <f t="shared" si="2268"/>
        <v>16.389999999999937</v>
      </c>
      <c r="AL250" s="64">
        <f t="shared" si="2268"/>
        <v>72.310000000000116</v>
      </c>
      <c r="AM250" s="64">
        <f t="shared" si="2268"/>
        <v>40.609999999999971</v>
      </c>
      <c r="AN250" s="64">
        <f t="shared" si="2268"/>
        <v>42.380000000000095</v>
      </c>
      <c r="AO250" s="64">
        <f t="shared" si="2268"/>
        <v>57.669999999999938</v>
      </c>
      <c r="AP250" s="64">
        <f t="shared" si="2268"/>
        <v>83.609999999999843</v>
      </c>
      <c r="AQ250" s="64">
        <f t="shared" si="2268"/>
        <v>109.80999999999995</v>
      </c>
      <c r="AR250" s="64">
        <f t="shared" si="2268"/>
        <v>50.149999999999942</v>
      </c>
      <c r="AS250" s="64">
        <f t="shared" si="2268"/>
        <v>61.77999999999993</v>
      </c>
      <c r="AT250" s="64">
        <f t="shared" si="2268"/>
        <v>118.10000000000002</v>
      </c>
      <c r="AU250" s="64">
        <f t="shared" si="2268"/>
        <v>101.66999999999989</v>
      </c>
      <c r="AV250" s="64">
        <f t="shared" si="2268"/>
        <v>64.700000000000159</v>
      </c>
      <c r="AW250" s="64">
        <f t="shared" si="2268"/>
        <v>51.489999999999725</v>
      </c>
      <c r="AX250" s="64">
        <f t="shared" si="2268"/>
        <v>140.09000000000012</v>
      </c>
      <c r="AY250" s="64">
        <f t="shared" si="2268"/>
        <v>158.81999999999977</v>
      </c>
      <c r="AZ250" s="64">
        <f t="shared" si="2268"/>
        <v>82.839999999999904</v>
      </c>
      <c r="BA250" s="64">
        <f t="shared" si="2268"/>
        <v>96.779999999999916</v>
      </c>
      <c r="BB250" s="64">
        <f t="shared" si="2268"/>
        <v>199.57000000000028</v>
      </c>
      <c r="BC250" s="64">
        <f t="shared" si="2268"/>
        <v>184.95999999999978</v>
      </c>
      <c r="BD250" s="64">
        <f t="shared" si="2268"/>
        <v>94.390000000000015</v>
      </c>
      <c r="BE250" s="64">
        <f t="shared" si="2268"/>
        <v>97.570000000000064</v>
      </c>
      <c r="BF250" s="64">
        <f t="shared" si="2268"/>
        <v>196.57000000000031</v>
      </c>
      <c r="BG250" s="64">
        <f t="shared" si="2268"/>
        <v>186.55999999999966</v>
      </c>
      <c r="BH250" s="64">
        <f t="shared" si="2268"/>
        <v>109.21000000000009</v>
      </c>
      <c r="BI250" s="64">
        <f t="shared" si="2268"/>
        <v>120.63000000000002</v>
      </c>
      <c r="BJ250" s="64">
        <f t="shared" si="2268"/>
        <v>161.06999999999994</v>
      </c>
      <c r="BK250" s="64">
        <f t="shared" si="2268"/>
        <v>230.69999999999976</v>
      </c>
      <c r="BL250" s="64">
        <f t="shared" si="2268"/>
        <v>122.57000000000025</v>
      </c>
      <c r="BM250" s="64">
        <f t="shared" si="2268"/>
        <v>106.67999999999998</v>
      </c>
      <c r="BN250" s="64">
        <f t="shared" si="2268"/>
        <v>180.98999999999941</v>
      </c>
      <c r="BO250" s="64">
        <f t="shared" ref="BO250:CT250" si="2269">BO57-BO256</f>
        <v>93.45</v>
      </c>
      <c r="BP250" s="64">
        <f t="shared" si="2269"/>
        <v>86.720000000000013</v>
      </c>
      <c r="BQ250" s="64">
        <f t="shared" si="2269"/>
        <v>148.69999999999987</v>
      </c>
      <c r="BR250" s="64">
        <f t="shared" si="2269"/>
        <v>260.89000000000038</v>
      </c>
      <c r="BS250" s="64">
        <f t="shared" si="2269"/>
        <v>153.00999999999982</v>
      </c>
      <c r="BT250" s="64">
        <f t="shared" si="2269"/>
        <v>123.18000000000018</v>
      </c>
      <c r="BU250" s="64">
        <f t="shared" si="2269"/>
        <v>128.55999999999966</v>
      </c>
      <c r="BV250" s="64">
        <f t="shared" si="2269"/>
        <v>211.55999999999995</v>
      </c>
      <c r="BW250" s="64">
        <f t="shared" si="2269"/>
        <v>140.47000000000014</v>
      </c>
      <c r="BX250" s="64">
        <f t="shared" si="2269"/>
        <v>129.29999999999998</v>
      </c>
      <c r="BY250" s="64">
        <f t="shared" si="2269"/>
        <v>59.519999999999783</v>
      </c>
      <c r="BZ250" s="64">
        <f t="shared" si="2269"/>
        <v>171.40000000000026</v>
      </c>
      <c r="CA250" s="64">
        <f t="shared" si="2269"/>
        <v>160.46000000000004</v>
      </c>
      <c r="CB250" s="64">
        <f t="shared" si="2269"/>
        <v>68.809999999999874</v>
      </c>
      <c r="CC250" s="64">
        <f t="shared" si="2269"/>
        <v>8.4899999999999523</v>
      </c>
      <c r="CD250" s="64">
        <f t="shared" si="2269"/>
        <v>148.96000000000029</v>
      </c>
      <c r="CE250" s="64">
        <f t="shared" si="2269"/>
        <v>364.34999999999906</v>
      </c>
      <c r="CF250" s="64">
        <f t="shared" si="2269"/>
        <v>165.09000000000003</v>
      </c>
      <c r="CG250" s="64">
        <f t="shared" si="2269"/>
        <v>163.18000000000021</v>
      </c>
      <c r="CH250" s="64">
        <f t="shared" si="2269"/>
        <v>267.65999999999997</v>
      </c>
      <c r="CI250" s="64">
        <f t="shared" si="2269"/>
        <v>166.48999999999972</v>
      </c>
      <c r="CJ250" s="64">
        <f t="shared" si="2269"/>
        <v>68.019999999999385</v>
      </c>
      <c r="CK250" s="30">
        <f t="shared" si="2269"/>
        <v>143.11000000000007</v>
      </c>
      <c r="CL250" s="64">
        <f t="shared" ref="CL250" si="2270">CL57-CL256</f>
        <v>149.43999999999986</v>
      </c>
      <c r="CM250" s="30">
        <f t="shared" si="2269"/>
        <v>174.52550763135397</v>
      </c>
      <c r="CN250" s="30">
        <f t="shared" si="2269"/>
        <v>99.12131771504572</v>
      </c>
      <c r="CO250" s="30">
        <f t="shared" si="2269"/>
        <v>138.7311726389145</v>
      </c>
      <c r="CP250" s="30">
        <f t="shared" si="2269"/>
        <v>251.25824257846483</v>
      </c>
      <c r="CQ250" s="30">
        <f t="shared" si="2269"/>
        <v>241.36804310043442</v>
      </c>
      <c r="CR250" s="30">
        <f t="shared" si="2269"/>
        <v>129.13040648218413</v>
      </c>
      <c r="CS250" s="30">
        <f t="shared" si="2269"/>
        <v>158.36081662709677</v>
      </c>
      <c r="CT250" s="30">
        <f t="shared" si="2269"/>
        <v>292.70683427405078</v>
      </c>
      <c r="CU250" s="30">
        <f t="shared" ref="CU250:DB250" si="2271">CU57-CU256</f>
        <v>282.96213845780045</v>
      </c>
      <c r="CV250" s="30">
        <f t="shared" si="2271"/>
        <v>150.71991016036338</v>
      </c>
      <c r="CW250" s="30">
        <f t="shared" si="2271"/>
        <v>180.07482470801256</v>
      </c>
      <c r="CX250" s="30">
        <f t="shared" si="2271"/>
        <v>331.12802503724737</v>
      </c>
      <c r="CY250" s="30">
        <f t="shared" si="2271"/>
        <v>326.22057294941339</v>
      </c>
      <c r="CZ250" s="30">
        <f t="shared" si="2271"/>
        <v>172.45531850461373</v>
      </c>
      <c r="DA250" s="30">
        <f t="shared" si="2271"/>
        <v>205.20104114286167</v>
      </c>
      <c r="DB250" s="30">
        <f t="shared" si="2271"/>
        <v>378.78920256727554</v>
      </c>
      <c r="DE250" s="139"/>
      <c r="DF250" s="64">
        <v>303.68777650372266</v>
      </c>
    </row>
    <row r="251" spans="1:110" s="64" customFormat="1" hidden="1" outlineLevel="1" x14ac:dyDescent="0.2">
      <c r="AB251" s="30"/>
      <c r="AC251" s="30"/>
      <c r="AD251" s="30"/>
      <c r="AE251" s="30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5" t="s">
        <v>352</v>
      </c>
      <c r="AB252" s="30"/>
      <c r="AC252" s="30"/>
      <c r="AD252" s="30"/>
      <c r="AE252" s="30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4" customFormat="1" hidden="1" outlineLevel="1" x14ac:dyDescent="0.2">
      <c r="A253" s="64" t="s">
        <v>478</v>
      </c>
      <c r="AB253" s="30"/>
      <c r="AC253" s="30"/>
      <c r="AD253" s="30"/>
      <c r="AE253" s="30"/>
      <c r="CK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4" t="s">
        <v>479</v>
      </c>
      <c r="AB254" s="30"/>
      <c r="AC254" s="30"/>
      <c r="AD254" s="30"/>
      <c r="AE254" s="30"/>
      <c r="CK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89" customFormat="1" hidden="1" outlineLevel="1" x14ac:dyDescent="0.2">
      <c r="A255" s="86" t="s">
        <v>480</v>
      </c>
      <c r="B255" s="86" t="e">
        <f>+B254/B253</f>
        <v>#DIV/0!</v>
      </c>
      <c r="C255" s="86" t="e">
        <f t="shared" ref="C255:X255" si="2272">+C254/C253</f>
        <v>#DIV/0!</v>
      </c>
      <c r="D255" s="86" t="e">
        <f t="shared" si="2272"/>
        <v>#DIV/0!</v>
      </c>
      <c r="E255" s="86" t="e">
        <f t="shared" si="2272"/>
        <v>#DIV/0!</v>
      </c>
      <c r="F255" s="86" t="e">
        <f t="shared" si="2272"/>
        <v>#DIV/0!</v>
      </c>
      <c r="G255" s="86" t="e">
        <f t="shared" si="2272"/>
        <v>#DIV/0!</v>
      </c>
      <c r="H255" s="86" t="e">
        <f t="shared" si="2272"/>
        <v>#DIV/0!</v>
      </c>
      <c r="I255" s="86" t="e">
        <f t="shared" si="2272"/>
        <v>#DIV/0!</v>
      </c>
      <c r="J255" s="86" t="e">
        <f t="shared" si="2272"/>
        <v>#DIV/0!</v>
      </c>
      <c r="K255" s="86" t="e">
        <f t="shared" si="2272"/>
        <v>#DIV/0!</v>
      </c>
      <c r="L255" s="86" t="e">
        <f t="shared" si="2272"/>
        <v>#DIV/0!</v>
      </c>
      <c r="M255" s="86" t="e">
        <f t="shared" si="2272"/>
        <v>#DIV/0!</v>
      </c>
      <c r="N255" s="86" t="e">
        <f t="shared" si="2272"/>
        <v>#DIV/0!</v>
      </c>
      <c r="O255" s="86" t="e">
        <f t="shared" si="2272"/>
        <v>#DIV/0!</v>
      </c>
      <c r="P255" s="86" t="e">
        <f t="shared" si="2272"/>
        <v>#DIV/0!</v>
      </c>
      <c r="Q255" s="86" t="e">
        <f t="shared" si="2272"/>
        <v>#DIV/0!</v>
      </c>
      <c r="R255" s="86" t="e">
        <f t="shared" si="2272"/>
        <v>#DIV/0!</v>
      </c>
      <c r="S255" s="86" t="e">
        <f t="shared" si="2272"/>
        <v>#DIV/0!</v>
      </c>
      <c r="T255" s="86" t="e">
        <f t="shared" si="2272"/>
        <v>#DIV/0!</v>
      </c>
      <c r="U255" s="86" t="e">
        <f t="shared" si="2272"/>
        <v>#DIV/0!</v>
      </c>
      <c r="V255" s="86" t="e">
        <f t="shared" si="2272"/>
        <v>#DIV/0!</v>
      </c>
      <c r="W255" s="86" t="e">
        <f t="shared" si="2272"/>
        <v>#DIV/0!</v>
      </c>
      <c r="X255" s="86" t="e">
        <f t="shared" si="2272"/>
        <v>#DIV/0!</v>
      </c>
      <c r="Y255" s="86" t="e">
        <f t="shared" ref="Y255:Z255" si="2273">+Y254/Y253</f>
        <v>#DIV/0!</v>
      </c>
      <c r="Z255" s="86" t="e">
        <f t="shared" si="2273"/>
        <v>#DIV/0!</v>
      </c>
      <c r="AA255" s="86" t="e">
        <f t="shared" ref="AA255" si="2274">+AA254/AA253</f>
        <v>#DIV/0!</v>
      </c>
      <c r="AB255" s="87"/>
      <c r="AC255" s="87"/>
      <c r="AD255" s="87"/>
      <c r="AE255" s="87"/>
      <c r="AF255" s="86"/>
      <c r="AG255" s="86"/>
      <c r="AH255" s="86"/>
      <c r="AI255" s="86" t="e">
        <f t="shared" ref="AI255" si="2275">+AI254/AI253</f>
        <v>#DIV/0!</v>
      </c>
      <c r="AJ255" s="86" t="e">
        <f t="shared" ref="AJ255" si="2276">+AJ254/AJ253</f>
        <v>#DIV/0!</v>
      </c>
      <c r="AK255" s="86" t="e">
        <f t="shared" ref="AK255" si="2277">+AK254/AK253</f>
        <v>#DIV/0!</v>
      </c>
      <c r="AL255" s="86" t="e">
        <f t="shared" ref="AL255" si="2278">+AL254/AL253</f>
        <v>#DIV/0!</v>
      </c>
      <c r="AM255" s="86" t="e">
        <f t="shared" ref="AM255" si="2279">+AM254/AM253</f>
        <v>#DIV/0!</v>
      </c>
      <c r="AN255" s="86" t="e">
        <f t="shared" ref="AN255" si="2280">+AN254/AN253</f>
        <v>#DIV/0!</v>
      </c>
      <c r="AO255" s="86" t="e">
        <f t="shared" ref="AO255" si="2281">+AO254/AO253</f>
        <v>#DIV/0!</v>
      </c>
      <c r="AP255" s="86" t="e">
        <f t="shared" ref="AP255" si="2282">+AP254/AP253</f>
        <v>#DIV/0!</v>
      </c>
      <c r="AQ255" s="86" t="e">
        <f t="shared" ref="AQ255" si="2283">+AQ254/AQ253</f>
        <v>#DIV/0!</v>
      </c>
      <c r="AR255" s="86" t="e">
        <f t="shared" ref="AR255" si="2284">+AR254/AR253</f>
        <v>#DIV/0!</v>
      </c>
      <c r="AS255" s="86" t="e">
        <f t="shared" ref="AS255" si="2285">+AS254/AS253</f>
        <v>#DIV/0!</v>
      </c>
      <c r="AT255" s="86" t="e">
        <f t="shared" ref="AT255" si="2286">+AT254/AT253</f>
        <v>#DIV/0!</v>
      </c>
      <c r="AU255" s="86" t="e">
        <f t="shared" ref="AU255" si="2287">+AU254/AU253</f>
        <v>#DIV/0!</v>
      </c>
      <c r="AV255" s="86" t="e">
        <f t="shared" ref="AV255" si="2288">+AV254/AV253</f>
        <v>#DIV/0!</v>
      </c>
      <c r="AW255" s="86" t="e">
        <f t="shared" ref="AW255" si="2289">+AW254/AW253</f>
        <v>#DIV/0!</v>
      </c>
      <c r="AX255" s="86" t="e">
        <f t="shared" ref="AX255" si="2290">+AX254/AX253</f>
        <v>#DIV/0!</v>
      </c>
      <c r="AY255" s="86" t="e">
        <f t="shared" ref="AY255" si="2291">+AY254/AY253</f>
        <v>#DIV/0!</v>
      </c>
      <c r="AZ255" s="86" t="e">
        <f t="shared" ref="AZ255" si="2292">+AZ254/AZ253</f>
        <v>#DIV/0!</v>
      </c>
      <c r="BA255" s="86" t="e">
        <f t="shared" ref="BA255" si="2293">+BA254/BA253</f>
        <v>#DIV/0!</v>
      </c>
      <c r="BB255" s="86" t="e">
        <f t="shared" ref="BB255" si="2294">+BB254/BB253</f>
        <v>#DIV/0!</v>
      </c>
      <c r="BC255" s="86" t="e">
        <f t="shared" ref="BC255" si="2295">+BC254/BC253</f>
        <v>#DIV/0!</v>
      </c>
      <c r="BD255" s="86" t="e">
        <f t="shared" ref="BD255" si="2296">+BD254/BD253</f>
        <v>#DIV/0!</v>
      </c>
      <c r="BE255" s="86" t="e">
        <f t="shared" ref="BE255" si="2297">+BE254/BE253</f>
        <v>#DIV/0!</v>
      </c>
      <c r="BF255" s="86" t="e">
        <f t="shared" ref="BF255" si="2298">+BF254/BF253</f>
        <v>#DIV/0!</v>
      </c>
      <c r="BG255" s="86" t="e">
        <f t="shared" ref="BG255" si="2299">+BG254/BG253</f>
        <v>#DIV/0!</v>
      </c>
      <c r="BH255" s="86" t="e">
        <f t="shared" ref="BH255" si="2300">+BH254/BH253</f>
        <v>#DIV/0!</v>
      </c>
      <c r="BI255" s="86" t="e">
        <f t="shared" ref="BI255" si="2301">+BI254/BI253</f>
        <v>#DIV/0!</v>
      </c>
      <c r="BJ255" s="86" t="e">
        <f t="shared" ref="BJ255" si="2302">+BJ254/BJ253</f>
        <v>#DIV/0!</v>
      </c>
      <c r="BK255" s="86" t="e">
        <f t="shared" ref="BK255" si="2303">+BK254/BK253</f>
        <v>#DIV/0!</v>
      </c>
      <c r="BL255" s="86" t="e">
        <f t="shared" ref="BL255" si="2304">+BL254/BL253</f>
        <v>#DIV/0!</v>
      </c>
      <c r="BM255" s="86" t="e">
        <f t="shared" ref="BM255" si="2305">+BM254/BM253</f>
        <v>#DIV/0!</v>
      </c>
      <c r="BN255" s="86" t="e">
        <f t="shared" ref="BN255" si="2306">+BN254/BN253</f>
        <v>#DIV/0!</v>
      </c>
      <c r="BO255" s="86" t="e">
        <f t="shared" ref="BO255" si="2307">+BO254/BO253</f>
        <v>#DIV/0!</v>
      </c>
      <c r="BP255" s="86" t="e">
        <f t="shared" ref="BP255" si="2308">+BP254/BP253</f>
        <v>#DIV/0!</v>
      </c>
      <c r="BQ255" s="86" t="e">
        <f t="shared" ref="BQ255" si="2309">+BQ254/BQ253</f>
        <v>#DIV/0!</v>
      </c>
      <c r="BR255" s="86" t="e">
        <f t="shared" ref="BR255" si="2310">+BR254/BR253</f>
        <v>#DIV/0!</v>
      </c>
      <c r="BS255" s="86" t="e">
        <f t="shared" ref="BS255" si="2311">+BS254/BS253</f>
        <v>#DIV/0!</v>
      </c>
      <c r="BT255" s="86" t="e">
        <f t="shared" ref="BT255" si="2312">+BT254/BT253</f>
        <v>#DIV/0!</v>
      </c>
      <c r="BU255" s="86" t="e">
        <f t="shared" ref="BU255" si="2313">+BU254/BU253</f>
        <v>#DIV/0!</v>
      </c>
      <c r="BV255" s="86" t="e">
        <f t="shared" ref="BV255" si="2314">+BV254/BV253</f>
        <v>#DIV/0!</v>
      </c>
      <c r="BW255" s="86" t="e">
        <f t="shared" ref="BW255" si="2315">+BW254/BW253</f>
        <v>#DIV/0!</v>
      </c>
      <c r="BX255" s="86" t="e">
        <f t="shared" ref="BX255" si="2316">+BX254/BX253</f>
        <v>#DIV/0!</v>
      </c>
      <c r="BY255" s="86" t="e">
        <f t="shared" ref="BY255" si="2317">+BY254/BY253</f>
        <v>#DIV/0!</v>
      </c>
      <c r="BZ255" s="86" t="e">
        <f t="shared" ref="BZ255" si="2318">+BZ254/BZ253</f>
        <v>#DIV/0!</v>
      </c>
      <c r="CA255" s="86" t="e">
        <f t="shared" ref="CA255" si="2319">+CA254/CA253</f>
        <v>#DIV/0!</v>
      </c>
      <c r="CB255" s="86" t="e">
        <f t="shared" ref="CB255:CC255" si="2320">+CB254/CB253</f>
        <v>#DIV/0!</v>
      </c>
      <c r="CC255" s="86" t="e">
        <f t="shared" si="2320"/>
        <v>#DIV/0!</v>
      </c>
      <c r="CD255" s="86" t="e">
        <f t="shared" ref="CD255" si="2321">+CD254/CD253</f>
        <v>#DIV/0!</v>
      </c>
      <c r="CE255" s="86" t="e">
        <f t="shared" ref="CE255:CF255" si="2322">+CE254/CE253</f>
        <v>#DIV/0!</v>
      </c>
      <c r="CF255" s="86" t="e">
        <f t="shared" si="2322"/>
        <v>#DIV/0!</v>
      </c>
      <c r="CG255" s="86" t="e">
        <f t="shared" ref="CG255:CH255" si="2323">+CG254/CG253</f>
        <v>#DIV/0!</v>
      </c>
      <c r="CH255" s="86" t="e">
        <f t="shared" si="2323"/>
        <v>#DIV/0!</v>
      </c>
      <c r="CI255" s="86" t="e">
        <f t="shared" ref="CI255:CJ255" si="2324">+CI254/CI253</f>
        <v>#DIV/0!</v>
      </c>
      <c r="CJ255" s="86" t="e">
        <f t="shared" si="2324"/>
        <v>#DIV/0!</v>
      </c>
      <c r="CK255" s="47" t="e">
        <f t="shared" ref="CK255:DB255" si="2325">+CK254/CK253</f>
        <v>#DIV/0!</v>
      </c>
      <c r="CL255" s="86" t="e">
        <f t="shared" si="2325"/>
        <v>#DIV/0!</v>
      </c>
      <c r="CM255" s="47" t="e">
        <f t="shared" si="2325"/>
        <v>#DIV/0!</v>
      </c>
      <c r="CN255" s="47" t="e">
        <f t="shared" si="2325"/>
        <v>#DIV/0!</v>
      </c>
      <c r="CO255" s="47" t="e">
        <f t="shared" si="2325"/>
        <v>#DIV/0!</v>
      </c>
      <c r="CP255" s="47" t="e">
        <f t="shared" si="2325"/>
        <v>#DIV/0!</v>
      </c>
      <c r="CQ255" s="47" t="e">
        <f t="shared" si="2325"/>
        <v>#DIV/0!</v>
      </c>
      <c r="CR255" s="47" t="e">
        <f t="shared" si="2325"/>
        <v>#DIV/0!</v>
      </c>
      <c r="CS255" s="47" t="e">
        <f t="shared" si="2325"/>
        <v>#DIV/0!</v>
      </c>
      <c r="CT255" s="47" t="e">
        <f t="shared" si="2325"/>
        <v>#DIV/0!</v>
      </c>
      <c r="CU255" s="47" t="e">
        <f t="shared" si="2325"/>
        <v>#DIV/0!</v>
      </c>
      <c r="CV255" s="47" t="e">
        <f t="shared" si="2325"/>
        <v>#DIV/0!</v>
      </c>
      <c r="CW255" s="47" t="e">
        <f t="shared" si="2325"/>
        <v>#DIV/0!</v>
      </c>
      <c r="CX255" s="47" t="e">
        <f t="shared" si="2325"/>
        <v>#DIV/0!</v>
      </c>
      <c r="CY255" s="47" t="e">
        <f t="shared" si="2325"/>
        <v>#DIV/0!</v>
      </c>
      <c r="CZ255" s="47" t="e">
        <f t="shared" si="2325"/>
        <v>#DIV/0!</v>
      </c>
      <c r="DA255" s="47" t="e">
        <f t="shared" si="2325"/>
        <v>#DIV/0!</v>
      </c>
      <c r="DB255" s="47" t="e">
        <f t="shared" si="2325"/>
        <v>#DIV/0!</v>
      </c>
      <c r="DE255" s="130"/>
    </row>
    <row r="256" spans="1:110" s="64" customFormat="1" hidden="1" outlineLevel="1" x14ac:dyDescent="0.2">
      <c r="A256" s="64" t="s">
        <v>481</v>
      </c>
      <c r="AB256" s="30"/>
      <c r="AC256" s="30"/>
      <c r="AD256" s="30"/>
      <c r="AE256" s="30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hidden="1" outlineLevel="1" x14ac:dyDescent="0.2">
      <c r="AB257" s="63"/>
      <c r="AC257" s="63"/>
      <c r="AD257" s="63"/>
      <c r="AE257" s="63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11" customFormat="1" collapsed="1" x14ac:dyDescent="0.2">
      <c r="AB258" s="63"/>
      <c r="AC258" s="63"/>
      <c r="AD258" s="63"/>
      <c r="AE258" s="63"/>
      <c r="CK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x14ac:dyDescent="0.2">
      <c r="A259" s="154" t="s">
        <v>497</v>
      </c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63"/>
      <c r="AC259" s="63"/>
      <c r="AD259" s="63"/>
      <c r="AE259" s="63"/>
      <c r="AL259" s="180"/>
      <c r="CF259" s="180"/>
      <c r="CG259" s="180"/>
      <c r="CH259" s="180"/>
      <c r="CI259" s="180"/>
      <c r="CJ259" s="180"/>
      <c r="CK259" s="30"/>
      <c r="CL259" s="18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84" customFormat="1" x14ac:dyDescent="0.2">
      <c r="A260" s="84" t="s">
        <v>512</v>
      </c>
      <c r="B260" s="84">
        <f>B24/B181</f>
        <v>2.9485089890302532</v>
      </c>
      <c r="C260" s="84">
        <f>C24/C181</f>
        <v>3.1139561360170127</v>
      </c>
      <c r="D260" s="84">
        <f>D24/D181</f>
        <v>4.5380119905284904</v>
      </c>
      <c r="E260" s="84">
        <f t="shared" ref="E260:Y260" si="2326">E26/(E177+E164+E154)</f>
        <v>1.4591756470725954</v>
      </c>
      <c r="F260" s="84">
        <f t="shared" si="2326"/>
        <v>1.4013805765776741</v>
      </c>
      <c r="G260" s="84">
        <f t="shared" si="2326"/>
        <v>1.6319558665542426</v>
      </c>
      <c r="H260" s="84">
        <f t="shared" si="2326"/>
        <v>1.582708311449033</v>
      </c>
      <c r="I260" s="84">
        <f t="shared" si="2326"/>
        <v>1.5397437976902448</v>
      </c>
      <c r="J260" s="84">
        <f t="shared" si="2326"/>
        <v>1.3651446910837473</v>
      </c>
      <c r="K260" s="84">
        <f t="shared" si="2326"/>
        <v>1.4258718977745819</v>
      </c>
      <c r="L260" s="84">
        <f t="shared" si="2326"/>
        <v>1.2712728631241246</v>
      </c>
      <c r="M260" s="84">
        <f t="shared" si="2326"/>
        <v>1.2822831507759036</v>
      </c>
      <c r="N260" s="84">
        <f t="shared" si="2326"/>
        <v>1.2562191872319055</v>
      </c>
      <c r="O260" s="84">
        <f t="shared" si="2326"/>
        <v>1.1496978804869333</v>
      </c>
      <c r="P260" s="84">
        <f t="shared" si="2326"/>
        <v>1.2268801517660661</v>
      </c>
      <c r="Q260" s="84">
        <f t="shared" si="2326"/>
        <v>1.2542735509889331</v>
      </c>
      <c r="R260" s="84">
        <f t="shared" si="2326"/>
        <v>1.3771220778272115</v>
      </c>
      <c r="S260" s="84">
        <f t="shared" si="2326"/>
        <v>1.2742853959322384</v>
      </c>
      <c r="T260" s="84">
        <f t="shared" si="2326"/>
        <v>1.1369551478474029</v>
      </c>
      <c r="U260" s="84">
        <f t="shared" si="2326"/>
        <v>1.2232787937938978</v>
      </c>
      <c r="V260" s="84">
        <f t="shared" si="2326"/>
        <v>1.3021369730810326</v>
      </c>
      <c r="W260" s="84">
        <f t="shared" si="2326"/>
        <v>1.2167143827602547</v>
      </c>
      <c r="X260" s="84">
        <f t="shared" si="2326"/>
        <v>1.2763784320549532</v>
      </c>
      <c r="Y260" s="84">
        <f t="shared" si="2326"/>
        <v>1.3887082704692222</v>
      </c>
      <c r="Z260" s="84">
        <f>Z26/(Z177+Z164+Z154)</f>
        <v>1.5017674971499839</v>
      </c>
      <c r="AA260" s="84">
        <f>AA26/(AA177+AA164+AA154)</f>
        <v>1.1895744689735228</v>
      </c>
      <c r="AB260" s="50">
        <f t="shared" ref="AA260:AE260" si="2327">AB26/(AB177+AB164+AB154)</f>
        <v>1.2303046247398284</v>
      </c>
      <c r="AC260" s="50">
        <f t="shared" si="2327"/>
        <v>1.2389900863221881</v>
      </c>
      <c r="AD260" s="50">
        <f t="shared" si="2327"/>
        <v>1.2452667782115738</v>
      </c>
      <c r="AE260" s="50">
        <f t="shared" si="2327"/>
        <v>1.2498143159530373</v>
      </c>
      <c r="AL260" s="84">
        <f>SUM(AI26:AL26)/(AL177+AL164+AL154)</f>
        <v>1.2562198207528741</v>
      </c>
      <c r="AM260" s="84">
        <f t="shared" ref="AM260:CL260" si="2328">SUM(AJ26:AM26)/(AM177+AM164+AM154)</f>
        <v>1.2397981527139117</v>
      </c>
      <c r="AN260" s="84">
        <f t="shared" si="2328"/>
        <v>1.3007251147280399</v>
      </c>
      <c r="AO260" s="84">
        <f t="shared" si="2328"/>
        <v>1.2587417178302094</v>
      </c>
      <c r="AP260" s="84">
        <f t="shared" si="2328"/>
        <v>1.1496950034713278</v>
      </c>
      <c r="AQ260" s="84">
        <f t="shared" si="2328"/>
        <v>1.0803629591788519</v>
      </c>
      <c r="AR260" s="84">
        <f t="shared" si="2328"/>
        <v>1.2283308340062291</v>
      </c>
      <c r="AS260" s="84">
        <f t="shared" si="2328"/>
        <v>1.1728976615907816</v>
      </c>
      <c r="AT260" s="84">
        <f t="shared" si="2328"/>
        <v>1.2268801143774217</v>
      </c>
      <c r="AU260" s="84">
        <f t="shared" si="2328"/>
        <v>1.1332884826756877</v>
      </c>
      <c r="AV260" s="84">
        <f t="shared" si="2328"/>
        <v>1.1874241606721692</v>
      </c>
      <c r="AW260" s="84">
        <f t="shared" si="2328"/>
        <v>1.1672164137823031</v>
      </c>
      <c r="AX260" s="84">
        <f t="shared" si="2328"/>
        <v>1.2622917535624514</v>
      </c>
      <c r="AY260" s="84">
        <f t="shared" si="2328"/>
        <v>1.2854713780425713</v>
      </c>
      <c r="AZ260" s="84">
        <f t="shared" si="2328"/>
        <v>1.5748920641992594</v>
      </c>
      <c r="BA260" s="84">
        <f t="shared" si="2328"/>
        <v>1.4217876146323176</v>
      </c>
      <c r="BB260" s="84">
        <f t="shared" si="2328"/>
        <v>1.3916268941447314</v>
      </c>
      <c r="BC260" s="84">
        <f t="shared" si="2328"/>
        <v>1.3892438328293093</v>
      </c>
      <c r="BD260" s="84">
        <f t="shared" si="2328"/>
        <v>1.6111417324881832</v>
      </c>
      <c r="BE260" s="84">
        <f t="shared" si="2328"/>
        <v>1.4433094572829748</v>
      </c>
      <c r="BF260" s="84">
        <f t="shared" si="2328"/>
        <v>1.2857231763749337</v>
      </c>
      <c r="BG260" s="84">
        <f t="shared" si="2328"/>
        <v>1.2536207042040777</v>
      </c>
      <c r="BH260" s="84">
        <f t="shared" si="2328"/>
        <v>1.419353136278199</v>
      </c>
      <c r="BI260" s="84">
        <f t="shared" si="2328"/>
        <v>1.3945215700192781</v>
      </c>
      <c r="BJ260" s="84">
        <f t="shared" si="2328"/>
        <v>1.1454133271164775</v>
      </c>
      <c r="BK260" s="84">
        <f t="shared" si="2328"/>
        <v>1.0799227984636692</v>
      </c>
      <c r="BL260" s="84">
        <f t="shared" si="2328"/>
        <v>1.255241028070591</v>
      </c>
      <c r="BM260" s="84">
        <f t="shared" si="2328"/>
        <v>1.2187128023285065</v>
      </c>
      <c r="BN260" s="84">
        <f t="shared" si="2328"/>
        <v>1.2322029943925534</v>
      </c>
      <c r="BO260" s="84">
        <f t="shared" si="2328"/>
        <v>1.1942607628848663</v>
      </c>
      <c r="BP260" s="84">
        <f t="shared" si="2328"/>
        <v>1.2076084530098967</v>
      </c>
      <c r="BQ260" s="84">
        <f t="shared" si="2328"/>
        <v>1.1764808632903532</v>
      </c>
      <c r="BR260" s="84">
        <f t="shared" si="2328"/>
        <v>1.3147232058186376</v>
      </c>
      <c r="BS260" s="84">
        <f t="shared" si="2328"/>
        <v>1.5886208071904842</v>
      </c>
      <c r="BT260" s="84">
        <f t="shared" si="2328"/>
        <v>1.5306542514089683</v>
      </c>
      <c r="BU260" s="84">
        <f t="shared" si="2328"/>
        <v>1.4365561754426046</v>
      </c>
      <c r="BV260" s="84">
        <f t="shared" si="2328"/>
        <v>1.2267447343724149</v>
      </c>
      <c r="BW260" s="84">
        <f t="shared" si="2328"/>
        <v>1.3331878826746273</v>
      </c>
      <c r="BX260" s="84">
        <f t="shared" si="2328"/>
        <v>1.3318820089566601</v>
      </c>
      <c r="BY260" s="84">
        <f t="shared" si="2328"/>
        <v>1.3251061645892779</v>
      </c>
      <c r="BZ260" s="84">
        <f t="shared" si="2328"/>
        <v>1.2849094224463515</v>
      </c>
      <c r="CA260" s="84">
        <f t="shared" si="2328"/>
        <v>1.2720584776570913</v>
      </c>
      <c r="CB260" s="84">
        <f t="shared" si="2328"/>
        <v>1.5266358991027169</v>
      </c>
      <c r="CC260" s="84">
        <f t="shared" si="2328"/>
        <v>1.5413629127065551</v>
      </c>
      <c r="CD260" s="84">
        <f t="shared" si="2328"/>
        <v>1.3956854242170438</v>
      </c>
      <c r="CE260" s="84">
        <f t="shared" si="2328"/>
        <v>1.4152696415306445</v>
      </c>
      <c r="CF260" s="84">
        <f t="shared" si="2328"/>
        <v>1.7117001531970046</v>
      </c>
      <c r="CG260" s="84">
        <f t="shared" si="2328"/>
        <v>1.6297695311607647</v>
      </c>
      <c r="CH260" s="84">
        <f t="shared" si="2328"/>
        <v>1.5017684715144546</v>
      </c>
      <c r="CI260" s="84">
        <f t="shared" si="2328"/>
        <v>1.532834114475859</v>
      </c>
      <c r="CJ260" s="84">
        <f t="shared" si="2328"/>
        <v>1.3928238716347758</v>
      </c>
      <c r="CK260" s="50">
        <f t="shared" ref="CK260" si="2329">SUM(CH26:CK26)/(CK177+CK164+CK154)</f>
        <v>1.2076792018542903</v>
      </c>
      <c r="CL260" s="84">
        <f t="shared" si="2328"/>
        <v>1.1933155230289916</v>
      </c>
      <c r="CM260" s="50">
        <f t="shared" ref="CM260:DB260" si="2330">SUM(CJ26:CM26)/(CM177+CM164+CM154)</f>
        <v>1.2693425668179528</v>
      </c>
      <c r="CN260" s="50">
        <f t="shared" si="2330"/>
        <v>1.6992456722927309</v>
      </c>
      <c r="CO260" s="50">
        <f t="shared" si="2330"/>
        <v>1.5356246695736591</v>
      </c>
      <c r="CP260" s="50">
        <f t="shared" si="2330"/>
        <v>1.2303046247398284</v>
      </c>
      <c r="CQ260" s="50">
        <f t="shared" si="2330"/>
        <v>1.3212165727982417</v>
      </c>
      <c r="CR260" s="50">
        <f t="shared" si="2330"/>
        <v>1.7580497124642578</v>
      </c>
      <c r="CS260" s="50">
        <f t="shared" si="2330"/>
        <v>1.5715990177541539</v>
      </c>
      <c r="CT260" s="50">
        <f t="shared" si="2330"/>
        <v>1.2389900863221881</v>
      </c>
      <c r="CU260" s="50">
        <f t="shared" si="2330"/>
        <v>1.3299390880751367</v>
      </c>
      <c r="CV260" s="50">
        <f t="shared" si="2330"/>
        <v>1.7720846551231186</v>
      </c>
      <c r="CW260" s="50">
        <f t="shared" si="2330"/>
        <v>1.5821313173803655</v>
      </c>
      <c r="CX260" s="50">
        <f t="shared" si="2330"/>
        <v>1.2452667782115738</v>
      </c>
      <c r="CY260" s="50">
        <f t="shared" si="2330"/>
        <v>1.3364437847160342</v>
      </c>
      <c r="CZ260" s="50">
        <f t="shared" si="2330"/>
        <v>1.7828392410773413</v>
      </c>
      <c r="DA260" s="50">
        <f t="shared" si="2330"/>
        <v>1.5901286789132107</v>
      </c>
      <c r="DB260" s="50">
        <f t="shared" si="2330"/>
        <v>1.2498143159530373</v>
      </c>
      <c r="DE260" s="138"/>
      <c r="DF260" s="84">
        <v>0.89413177880598282</v>
      </c>
    </row>
    <row r="261" spans="1:110" s="84" customFormat="1" x14ac:dyDescent="0.2">
      <c r="A261" s="84" t="s">
        <v>513</v>
      </c>
      <c r="E261" s="181">
        <f>+E58</f>
        <v>2.350808145219067E-2</v>
      </c>
      <c r="F261" s="181">
        <f t="shared" ref="F261:AE261" si="2331">+F58</f>
        <v>3.1895290371273456E-2</v>
      </c>
      <c r="G261" s="181">
        <f t="shared" si="2331"/>
        <v>5.1102742006752563E-2</v>
      </c>
      <c r="H261" s="181">
        <f t="shared" si="2331"/>
        <v>5.2269982985961798E-2</v>
      </c>
      <c r="I261" s="181">
        <f t="shared" si="2331"/>
        <v>5.4952116138030908E-2</v>
      </c>
      <c r="J261" s="181">
        <f t="shared" si="2331"/>
        <v>5.2799744829847749E-2</v>
      </c>
      <c r="K261" s="181">
        <f t="shared" si="2331"/>
        <v>7.5573863615463671E-2</v>
      </c>
      <c r="L261" s="181">
        <f t="shared" si="2331"/>
        <v>5.9983784652167395E-2</v>
      </c>
      <c r="M261" s="181">
        <f t="shared" si="2331"/>
        <v>6.0255782770905653E-2</v>
      </c>
      <c r="N261" s="181">
        <f t="shared" si="2331"/>
        <v>3.5253861260000727E-2</v>
      </c>
      <c r="O261" s="181">
        <f t="shared" si="2331"/>
        <v>4.2587426476367395E-2</v>
      </c>
      <c r="P261" s="181">
        <f t="shared" si="2331"/>
        <v>6.5567455500357572E-2</v>
      </c>
      <c r="Q261" s="181">
        <f t="shared" si="2331"/>
        <v>6.2581030951561659E-2</v>
      </c>
      <c r="R261" s="181">
        <f t="shared" si="2331"/>
        <v>8.9180811563453102E-2</v>
      </c>
      <c r="S261" s="181">
        <f t="shared" si="2331"/>
        <v>8.9546529094151284E-2</v>
      </c>
      <c r="T261" s="181">
        <f t="shared" si="2331"/>
        <v>8.1059001385444016E-2</v>
      </c>
      <c r="U261" s="181">
        <f t="shared" si="2331"/>
        <v>8.369460752564617E-2</v>
      </c>
      <c r="V261" s="181">
        <f t="shared" si="2331"/>
        <v>7.8054151920781148E-2</v>
      </c>
      <c r="W261" s="181">
        <f t="shared" si="2331"/>
        <v>7.7675201179665851E-2</v>
      </c>
      <c r="X261" s="181">
        <f t="shared" si="2331"/>
        <v>5.2711035218244148E-2</v>
      </c>
      <c r="Y261" s="181">
        <f t="shared" si="2331"/>
        <v>3.0984175412479904E-2</v>
      </c>
      <c r="Z261" s="181">
        <f t="shared" si="2331"/>
        <v>6.2304099387586659E-2</v>
      </c>
      <c r="AA261" s="181">
        <f t="shared" ref="AA261" si="2332">+AA58</f>
        <v>3.7000947734213162E-2</v>
      </c>
      <c r="AB261" s="182">
        <f t="shared" si="2331"/>
        <v>3.882412162377178E-2</v>
      </c>
      <c r="AC261" s="182">
        <f t="shared" si="2331"/>
        <v>4.1794219100266393E-2</v>
      </c>
      <c r="AD261" s="182">
        <f t="shared" si="2331"/>
        <v>4.1797929740242927E-2</v>
      </c>
      <c r="AE261" s="182">
        <f t="shared" si="2331"/>
        <v>4.1645931071340035E-2</v>
      </c>
      <c r="AL261" s="181">
        <f t="shared" ref="AL261:CW261" si="2333">+AL58</f>
        <v>4.5275528924119263E-2</v>
      </c>
      <c r="AM261" s="181">
        <f t="shared" si="2333"/>
        <v>2.5329008919104331E-2</v>
      </c>
      <c r="AN261" s="181">
        <f t="shared" si="2333"/>
        <v>3.9221493156136426E-2</v>
      </c>
      <c r="AO261" s="181">
        <f t="shared" si="2333"/>
        <v>5.1518670716455182E-2</v>
      </c>
      <c r="AP261" s="181">
        <f t="shared" si="2333"/>
        <v>5.7157115414852133E-2</v>
      </c>
      <c r="AQ261" s="181">
        <f t="shared" si="2333"/>
        <v>6.2486485256125705E-2</v>
      </c>
      <c r="AR261" s="181">
        <f t="shared" si="2333"/>
        <v>5.0931803178794435E-2</v>
      </c>
      <c r="AS261" s="181">
        <f t="shared" si="2333"/>
        <v>6.4954317496030964E-2</v>
      </c>
      <c r="AT261" s="181">
        <f t="shared" si="2333"/>
        <v>7.9263340872635035E-2</v>
      </c>
      <c r="AU261" s="181">
        <f t="shared" si="2333"/>
        <v>6.5237478023176657E-2</v>
      </c>
      <c r="AV261" s="181">
        <f t="shared" si="2333"/>
        <v>6.2207351428269393E-2</v>
      </c>
      <c r="AW261" s="181">
        <f t="shared" si="2333"/>
        <v>4.0673976238624662E-2</v>
      </c>
      <c r="AX261" s="181">
        <f t="shared" si="2333"/>
        <v>7.550556226284931E-2</v>
      </c>
      <c r="AY261" s="181">
        <f t="shared" si="2333"/>
        <v>8.5846792501783634E-2</v>
      </c>
      <c r="AZ261" s="181">
        <f t="shared" si="2333"/>
        <v>8.5647525898968083E-2</v>
      </c>
      <c r="BA261" s="181">
        <f t="shared" si="2333"/>
        <v>8.1983599891569461E-2</v>
      </c>
      <c r="BB261" s="181">
        <f t="shared" si="2333"/>
        <v>9.8065904690770922E-2</v>
      </c>
      <c r="BC261" s="181">
        <f t="shared" si="2333"/>
        <v>9.5113698306095687E-2</v>
      </c>
      <c r="BD261" s="181">
        <f t="shared" si="2333"/>
        <v>9.1047641095388307E-2</v>
      </c>
      <c r="BE261" s="181">
        <f t="shared" si="2333"/>
        <v>7.0977034488277232E-2</v>
      </c>
      <c r="BF261" s="181">
        <f t="shared" si="2333"/>
        <v>9.5963639559066338E-2</v>
      </c>
      <c r="BG261" s="181">
        <f t="shared" si="2333"/>
        <v>8.6849247471008986E-2</v>
      </c>
      <c r="BH261" s="181">
        <f t="shared" si="2333"/>
        <v>7.6834862385321154E-2</v>
      </c>
      <c r="BI261" s="181">
        <f t="shared" si="2333"/>
        <v>8.0863129952137736E-2</v>
      </c>
      <c r="BJ261" s="181">
        <f t="shared" si="2333"/>
        <v>7.8081673808923585E-2</v>
      </c>
      <c r="BK261" s="181">
        <f t="shared" si="2333"/>
        <v>8.6925395629238789E-2</v>
      </c>
      <c r="BL261" s="181">
        <f t="shared" si="2333"/>
        <v>8.6199136391127792E-2</v>
      </c>
      <c r="BM261" s="181">
        <f t="shared" si="2333"/>
        <v>7.1476908027416894E-2</v>
      </c>
      <c r="BN261" s="181">
        <f t="shared" si="2333"/>
        <v>8.6613419600598887E-2</v>
      </c>
      <c r="BO261" s="181">
        <f t="shared" si="2333"/>
        <v>7.2054219933073232E-2</v>
      </c>
      <c r="BP261" s="181">
        <f t="shared" si="2333"/>
        <v>5.3778510920659342E-2</v>
      </c>
      <c r="BQ261" s="181">
        <f t="shared" si="2333"/>
        <v>7.4549793446436377E-2</v>
      </c>
      <c r="BR261" s="181">
        <f t="shared" si="2333"/>
        <v>9.8387425235512985E-2</v>
      </c>
      <c r="BS261" s="181">
        <f t="shared" si="2333"/>
        <v>8.5710284561953745E-2</v>
      </c>
      <c r="BT261" s="181">
        <f t="shared" si="2333"/>
        <v>7.2927274018992683E-2</v>
      </c>
      <c r="BU261" s="181">
        <f t="shared" si="2333"/>
        <v>7.16774736701251E-2</v>
      </c>
      <c r="BV261" s="181">
        <f t="shared" si="2333"/>
        <v>7.9337578471300296E-2</v>
      </c>
      <c r="BW261" s="181">
        <f t="shared" si="2333"/>
        <v>5.074783236994225E-2</v>
      </c>
      <c r="BX261" s="181">
        <f t="shared" si="2333"/>
        <v>7.3118595761044125E-2</v>
      </c>
      <c r="BY261" s="181">
        <f t="shared" si="2333"/>
        <v>2.9676756697463509E-2</v>
      </c>
      <c r="BZ261" s="181">
        <f t="shared" si="2333"/>
        <v>5.7968073593073675E-2</v>
      </c>
      <c r="CA261" s="181">
        <f t="shared" si="2333"/>
        <v>4.7757942295214691E-2</v>
      </c>
      <c r="CB261" s="181">
        <f t="shared" si="2333"/>
        <v>3.0011994329953058E-2</v>
      </c>
      <c r="CC261" s="181">
        <f t="shared" si="2333"/>
        <v>3.2333988391755226E-3</v>
      </c>
      <c r="CD261" s="181">
        <f t="shared" si="2333"/>
        <v>3.5442363331810639E-2</v>
      </c>
      <c r="CE261" s="181">
        <f t="shared" si="2333"/>
        <v>7.4039528390455453E-2</v>
      </c>
      <c r="CF261" s="181">
        <f t="shared" si="2333"/>
        <v>6.3032862308188664E-2</v>
      </c>
      <c r="CG261" s="181">
        <f t="shared" si="2333"/>
        <v>5.2552083501067659E-2</v>
      </c>
      <c r="CH261" s="181">
        <f t="shared" si="2333"/>
        <v>5.6141925848861879E-2</v>
      </c>
      <c r="CI261" s="181">
        <f t="shared" si="2333"/>
        <v>4.2271580112629353E-2</v>
      </c>
      <c r="CJ261" s="181">
        <f t="shared" si="2333"/>
        <v>2.8977727791694101E-2</v>
      </c>
      <c r="CK261" s="182">
        <f t="shared" si="2333"/>
        <v>4.6603946241496455E-2</v>
      </c>
      <c r="CL261" s="181">
        <f t="shared" ref="CL261" si="2334">+CL58</f>
        <v>3.0573894754932118E-2</v>
      </c>
      <c r="CM261" s="182">
        <f t="shared" si="2333"/>
        <v>3.6926486963862179E-2</v>
      </c>
      <c r="CN261" s="182">
        <f t="shared" si="2333"/>
        <v>3.5189534488638721E-2</v>
      </c>
      <c r="CO261" s="182">
        <f t="shared" si="2333"/>
        <v>3.7648313137235531E-2</v>
      </c>
      <c r="CP261" s="182">
        <f t="shared" si="2333"/>
        <v>4.2837387719169319E-2</v>
      </c>
      <c r="CQ261" s="182">
        <f t="shared" si="2333"/>
        <v>4.4407979286515901E-2</v>
      </c>
      <c r="CR261" s="182">
        <f t="shared" si="2333"/>
        <v>3.9863656561705811E-2</v>
      </c>
      <c r="CS261" s="182">
        <f t="shared" si="2333"/>
        <v>3.7369850215799812E-2</v>
      </c>
      <c r="CT261" s="182">
        <f t="shared" si="2333"/>
        <v>4.3394799256083555E-2</v>
      </c>
      <c r="CU261" s="182">
        <f t="shared" si="2333"/>
        <v>4.5270128887319419E-2</v>
      </c>
      <c r="CV261" s="182">
        <f t="shared" si="2333"/>
        <v>4.0459582844584237E-2</v>
      </c>
      <c r="CW261" s="182">
        <f t="shared" si="2333"/>
        <v>3.6951220253807836E-2</v>
      </c>
      <c r="CX261" s="182">
        <f t="shared" ref="CX261:DB261" si="2335">+CX58</f>
        <v>4.2687716088803951E-2</v>
      </c>
      <c r="CY261" s="182">
        <f t="shared" si="2335"/>
        <v>4.5383387343387468E-2</v>
      </c>
      <c r="CZ261" s="182">
        <f t="shared" si="2335"/>
        <v>4.0255898672390981E-2</v>
      </c>
      <c r="DA261" s="182">
        <f t="shared" si="2335"/>
        <v>3.6614870608830966E-2</v>
      </c>
      <c r="DB261" s="182">
        <f t="shared" si="2335"/>
        <v>4.2462614520477761E-2</v>
      </c>
      <c r="DE261" s="138"/>
      <c r="DF261" s="84">
        <v>5.7645958723475887E-2</v>
      </c>
    </row>
    <row r="262" spans="1:110" s="84" customFormat="1" x14ac:dyDescent="0.2">
      <c r="A262" s="84" t="s">
        <v>514</v>
      </c>
      <c r="E262" s="84">
        <f>(E177+E164+E154+E156)/E136</f>
        <v>4.4900617607541271</v>
      </c>
      <c r="F262" s="84">
        <f t="shared" ref="F262:AE262" si="2336">(F177+F164+F154+F156)/F136</f>
        <v>4.9361917277222194</v>
      </c>
      <c r="G262" s="84">
        <f t="shared" si="2336"/>
        <v>4.5185447917672379</v>
      </c>
      <c r="H262" s="84">
        <f t="shared" si="2336"/>
        <v>3.8367585870483278</v>
      </c>
      <c r="I262" s="84">
        <f t="shared" si="2336"/>
        <v>3.6578708201610755</v>
      </c>
      <c r="J262" s="84">
        <f t="shared" si="2336"/>
        <v>4.0527473518188541</v>
      </c>
      <c r="K262" s="84">
        <f t="shared" si="2336"/>
        <v>3.0976373625259708</v>
      </c>
      <c r="L262" s="84">
        <f t="shared" si="2336"/>
        <v>3.0310788443386891</v>
      </c>
      <c r="M262" s="84">
        <f t="shared" si="2336"/>
        <v>2.796244486559873</v>
      </c>
      <c r="N262" s="84">
        <f t="shared" si="2336"/>
        <v>2.794115298636461</v>
      </c>
      <c r="O262" s="84">
        <f t="shared" si="2336"/>
        <v>2.5942080262796927</v>
      </c>
      <c r="P262" s="84">
        <f t="shared" si="2336"/>
        <v>2.3079648883811572</v>
      </c>
      <c r="Q262" s="84">
        <f t="shared" si="2336"/>
        <v>2.0769230276675108</v>
      </c>
      <c r="R262" s="84">
        <f t="shared" si="2336"/>
        <v>1.9503480895899739</v>
      </c>
      <c r="S262" s="84">
        <f t="shared" si="2336"/>
        <v>1.8672004834567155</v>
      </c>
      <c r="T262" s="84">
        <f t="shared" si="2336"/>
        <v>1.8044058501358886</v>
      </c>
      <c r="U262" s="84">
        <f t="shared" si="2336"/>
        <v>1.888503134192014</v>
      </c>
      <c r="V262" s="84">
        <f t="shared" si="2336"/>
        <v>1.7222325693171918</v>
      </c>
      <c r="W262" s="84">
        <f t="shared" si="2336"/>
        <v>1.7642011360908874</v>
      </c>
      <c r="X262" s="84">
        <f t="shared" si="2336"/>
        <v>1.8788185037976404</v>
      </c>
      <c r="Y262" s="84">
        <f t="shared" si="2336"/>
        <v>2.0607215874924836</v>
      </c>
      <c r="Z262" s="84">
        <f t="shared" si="2336"/>
        <v>2.0124592177484359</v>
      </c>
      <c r="AA262" s="84">
        <f t="shared" ref="AA262" si="2337">(AA177+AA164+AA154+AA156)/AA136</f>
        <v>2.2676590011934987</v>
      </c>
      <c r="AB262" s="50">
        <f t="shared" si="2336"/>
        <v>2.3767558649833815</v>
      </c>
      <c r="AC262" s="50">
        <f t="shared" si="2336"/>
        <v>2.4209384020859717</v>
      </c>
      <c r="AD262" s="50">
        <f t="shared" si="2336"/>
        <v>2.4592935845919635</v>
      </c>
      <c r="AE262" s="50">
        <f t="shared" si="2336"/>
        <v>2.4926023046983348</v>
      </c>
      <c r="AL262" s="84">
        <f t="shared" ref="AL262:CW262" si="2338">(AL177+AL164+AL154+AL156)/AL136</f>
        <v>2.7941154759414877</v>
      </c>
      <c r="AM262" s="84">
        <f t="shared" si="2338"/>
        <v>2.7542399363962273</v>
      </c>
      <c r="AN262" s="84">
        <f t="shared" si="2338"/>
        <v>2.4637933922002326</v>
      </c>
      <c r="AO262" s="84">
        <f t="shared" si="2338"/>
        <v>2.4417363417887321</v>
      </c>
      <c r="AP262" s="84">
        <f t="shared" si="2338"/>
        <v>2.5942110238990388</v>
      </c>
      <c r="AQ262" s="84">
        <f t="shared" si="2338"/>
        <v>2.6739614191626373</v>
      </c>
      <c r="AR262" s="84">
        <f t="shared" si="2338"/>
        <v>2.2446932646062061</v>
      </c>
      <c r="AS262" s="84">
        <f t="shared" si="2338"/>
        <v>2.1582721575969823</v>
      </c>
      <c r="AT262" s="84">
        <f t="shared" si="2338"/>
        <v>2.3079678602520373</v>
      </c>
      <c r="AU262" s="84">
        <f t="shared" si="2338"/>
        <v>2.2792722522935396</v>
      </c>
      <c r="AV262" s="84">
        <f t="shared" si="2338"/>
        <v>2.1482461245436744</v>
      </c>
      <c r="AW262" s="84">
        <f t="shared" si="2338"/>
        <v>2.2433391031010581</v>
      </c>
      <c r="AX262" s="84">
        <f t="shared" si="2338"/>
        <v>2.0769203405084857</v>
      </c>
      <c r="AY262" s="84">
        <f t="shared" si="2338"/>
        <v>2.0155316824651122</v>
      </c>
      <c r="AZ262" s="84">
        <f t="shared" si="2338"/>
        <v>1.8286230579405169</v>
      </c>
      <c r="BA262" s="84">
        <f t="shared" si="2338"/>
        <v>1.8927701379105522</v>
      </c>
      <c r="BB262" s="84">
        <f t="shared" si="2338"/>
        <v>1.9503480895899739</v>
      </c>
      <c r="BC262" s="84">
        <f t="shared" si="2338"/>
        <v>1.8682962987097165</v>
      </c>
      <c r="BD262" s="84">
        <f t="shared" si="2338"/>
        <v>1.7836892556566648</v>
      </c>
      <c r="BE262" s="84">
        <f t="shared" si="2338"/>
        <v>1.89480378264627</v>
      </c>
      <c r="BF262" s="84">
        <f t="shared" si="2338"/>
        <v>1.8672004834567153</v>
      </c>
      <c r="BG262" s="84">
        <f t="shared" si="2338"/>
        <v>1.8541039730295497</v>
      </c>
      <c r="BH262" s="84">
        <f t="shared" si="2338"/>
        <v>1.8795623252179638</v>
      </c>
      <c r="BI262" s="84">
        <f t="shared" si="2338"/>
        <v>1.8844997633047649</v>
      </c>
      <c r="BJ262" s="84">
        <f t="shared" si="2338"/>
        <v>1.8044058501358886</v>
      </c>
      <c r="BK262" s="84">
        <f t="shared" si="2338"/>
        <v>1.9324942270258523</v>
      </c>
      <c r="BL262" s="84">
        <f t="shared" si="2338"/>
        <v>1.7349469419868104</v>
      </c>
      <c r="BM262" s="84">
        <f t="shared" si="2338"/>
        <v>1.7426075218545098</v>
      </c>
      <c r="BN262" s="84">
        <f t="shared" si="2338"/>
        <v>1.8885031341920138</v>
      </c>
      <c r="BO262" s="84">
        <f t="shared" si="2338"/>
        <v>1.6380954367102871</v>
      </c>
      <c r="BP262" s="84">
        <f t="shared" si="2338"/>
        <v>1.6903197407224102</v>
      </c>
      <c r="BQ262" s="84">
        <f t="shared" si="2338"/>
        <v>1.7685102341904058</v>
      </c>
      <c r="BR262" s="84">
        <f t="shared" si="2338"/>
        <v>1.7222325693171916</v>
      </c>
      <c r="BS262" s="84">
        <f t="shared" si="2338"/>
        <v>1.5475981840866568</v>
      </c>
      <c r="BT262" s="84">
        <f t="shared" si="2338"/>
        <v>1.5925684650297345</v>
      </c>
      <c r="BU262" s="84">
        <f t="shared" si="2338"/>
        <v>1.6030418735849612</v>
      </c>
      <c r="BV262" s="84">
        <f t="shared" si="2338"/>
        <v>1.7642011360908874</v>
      </c>
      <c r="BW262" s="84">
        <f t="shared" si="2338"/>
        <v>1.7693168070412599</v>
      </c>
      <c r="BX262" s="84">
        <f t="shared" si="2338"/>
        <v>1.6495294340689017</v>
      </c>
      <c r="BY262" s="84">
        <f t="shared" si="2338"/>
        <v>1.7182456903776748</v>
      </c>
      <c r="BZ262" s="84">
        <f t="shared" si="2338"/>
        <v>1.8788185037976401</v>
      </c>
      <c r="CA262" s="84">
        <f t="shared" si="2338"/>
        <v>1.9320399577078475</v>
      </c>
      <c r="CB262" s="84">
        <f t="shared" si="2338"/>
        <v>1.7451128280061947</v>
      </c>
      <c r="CC262" s="84">
        <f t="shared" si="2338"/>
        <v>1.813540731234355</v>
      </c>
      <c r="CD262" s="84">
        <f t="shared" si="2338"/>
        <v>2.0607215874924831</v>
      </c>
      <c r="CE262" s="84">
        <f t="shared" si="2338"/>
        <v>2.1079341671909755</v>
      </c>
      <c r="CF262" s="84">
        <f t="shared" si="2338"/>
        <v>1.8792103335138404</v>
      </c>
      <c r="CG262" s="84">
        <f t="shared" si="2338"/>
        <v>1.9521886327832856</v>
      </c>
      <c r="CH262" s="84">
        <f t="shared" si="2338"/>
        <v>2.0124592177484359</v>
      </c>
      <c r="CI262" s="84">
        <f t="shared" si="2338"/>
        <v>1.8423885906823083</v>
      </c>
      <c r="CJ262" s="84">
        <f t="shared" si="2338"/>
        <v>2.0137164605376987</v>
      </c>
      <c r="CK262" s="50">
        <f t="shared" si="2338"/>
        <v>2.2242721826584222</v>
      </c>
      <c r="CL262" s="84">
        <f t="shared" ref="CL262" si="2339">(CL177+CL164+CL154+CL156)/CL136</f>
        <v>2.2676590011934987</v>
      </c>
      <c r="CM262" s="50">
        <f t="shared" si="2338"/>
        <v>2.204025313211754</v>
      </c>
      <c r="CN262" s="50">
        <f t="shared" si="2338"/>
        <v>1.7688360082354511</v>
      </c>
      <c r="CO262" s="50">
        <f t="shared" si="2338"/>
        <v>1.9460573330158668</v>
      </c>
      <c r="CP262" s="50">
        <f t="shared" si="2338"/>
        <v>2.3767558649833815</v>
      </c>
      <c r="CQ262" s="50">
        <f t="shared" si="2338"/>
        <v>2.2482865511438961</v>
      </c>
      <c r="CR262" s="50">
        <f t="shared" si="2338"/>
        <v>1.7874174740341351</v>
      </c>
      <c r="CS262" s="50">
        <f t="shared" si="2338"/>
        <v>1.9725289097527687</v>
      </c>
      <c r="CT262" s="50">
        <f t="shared" si="2338"/>
        <v>2.4209384020859717</v>
      </c>
      <c r="CU262" s="50">
        <f t="shared" si="2338"/>
        <v>2.2837209461698365</v>
      </c>
      <c r="CV262" s="50">
        <f t="shared" si="2338"/>
        <v>1.8021039304952136</v>
      </c>
      <c r="CW262" s="50">
        <f t="shared" si="2338"/>
        <v>1.994126642720726</v>
      </c>
      <c r="CX262" s="50">
        <f t="shared" ref="CX262:DB262" si="2340">(CX177+CX164+CX154+CX156)/CX136</f>
        <v>2.4592935845919635</v>
      </c>
      <c r="CY262" s="50">
        <f t="shared" si="2340"/>
        <v>2.3147637536533558</v>
      </c>
      <c r="CZ262" s="50">
        <f t="shared" si="2340"/>
        <v>1.8147589469531318</v>
      </c>
      <c r="DA262" s="50">
        <f t="shared" si="2340"/>
        <v>2.0129641737053201</v>
      </c>
      <c r="DB262" s="50">
        <f t="shared" si="2340"/>
        <v>2.4926023046983348</v>
      </c>
      <c r="DE262" s="138"/>
      <c r="DF262" s="84">
        <v>2.8273181222853792</v>
      </c>
    </row>
    <row r="263" spans="1:110" s="84" customFormat="1" x14ac:dyDescent="0.2">
      <c r="A263" s="154" t="s">
        <v>498</v>
      </c>
      <c r="AB263" s="50"/>
      <c r="AC263" s="50"/>
      <c r="AD263" s="50"/>
      <c r="AE263" s="50"/>
      <c r="CK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E263" s="138"/>
    </row>
    <row r="264" spans="1:110" s="88" customFormat="1" x14ac:dyDescent="0.2">
      <c r="A264" s="88" t="s">
        <v>102</v>
      </c>
      <c r="B264" s="88">
        <f t="shared" ref="B264:AE264" si="2341">B177/B136</f>
        <v>0.12707201203048632</v>
      </c>
      <c r="C264" s="88">
        <f t="shared" si="2341"/>
        <v>0.39265733845351086</v>
      </c>
      <c r="D264" s="88">
        <f t="shared" si="2341"/>
        <v>0.53326774958522927</v>
      </c>
      <c r="F264" s="88">
        <f t="shared" si="2341"/>
        <v>0.74112339181153353</v>
      </c>
      <c r="G264" s="88">
        <f t="shared" si="2341"/>
        <v>0.54294259457571103</v>
      </c>
      <c r="H264" s="88">
        <f t="shared" si="2341"/>
        <v>0.62098660050658427</v>
      </c>
      <c r="I264" s="88">
        <f t="shared" si="2341"/>
        <v>0.91380457334355247</v>
      </c>
      <c r="J264" s="88">
        <f t="shared" si="2341"/>
        <v>0.73626564673157169</v>
      </c>
      <c r="K264" s="88">
        <f t="shared" si="2341"/>
        <v>0.62471914502502202</v>
      </c>
      <c r="L264" s="88">
        <f t="shared" si="2341"/>
        <v>0.52411583520309246</v>
      </c>
      <c r="M264" s="88">
        <f t="shared" si="2341"/>
        <v>0.33453454331284943</v>
      </c>
      <c r="N264" s="88">
        <f t="shared" si="2341"/>
        <v>0.38008442307006185</v>
      </c>
      <c r="O264" s="88">
        <f t="shared" si="2341"/>
        <v>0.48067891918584349</v>
      </c>
      <c r="P264" s="88">
        <f t="shared" si="2341"/>
        <v>0.34186080276740105</v>
      </c>
      <c r="Q264" s="88">
        <f t="shared" si="2341"/>
        <v>0.30348978175359465</v>
      </c>
      <c r="R264" s="88">
        <f t="shared" si="2341"/>
        <v>0.16057787105866414</v>
      </c>
      <c r="S264" s="88">
        <f t="shared" si="2341"/>
        <v>0.19751306587865952</v>
      </c>
      <c r="T264" s="88">
        <f t="shared" si="2341"/>
        <v>0.37878437660432268</v>
      </c>
      <c r="U264" s="88">
        <f t="shared" si="2341"/>
        <v>0.19363535901275872</v>
      </c>
      <c r="V264" s="88">
        <f t="shared" si="2341"/>
        <v>0.14181060810878468</v>
      </c>
      <c r="W264" s="88">
        <f t="shared" si="2341"/>
        <v>0.1829128148433693</v>
      </c>
      <c r="X264" s="88">
        <f t="shared" si="2341"/>
        <v>0.18626686744667623</v>
      </c>
      <c r="Y264" s="88">
        <f t="shared" si="2341"/>
        <v>0.23258826561291984</v>
      </c>
      <c r="Z264" s="88">
        <f t="shared" si="2341"/>
        <v>0.16533988408244732</v>
      </c>
      <c r="AA264" s="88">
        <f t="shared" ref="AA264" si="2342">AA177/AA136</f>
        <v>0.16593085861350237</v>
      </c>
      <c r="AB264" s="42">
        <f t="shared" si="2341"/>
        <v>0.1645544349369974</v>
      </c>
      <c r="AC264" s="42">
        <f t="shared" si="2341"/>
        <v>0.18676003122192283</v>
      </c>
      <c r="AD264" s="42">
        <f t="shared" si="2341"/>
        <v>0.20726649793805008</v>
      </c>
      <c r="AE264" s="42">
        <f t="shared" si="2341"/>
        <v>0.22580870959688362</v>
      </c>
      <c r="AL264" s="88">
        <f t="shared" ref="AL264:CW264" si="2343">AL177/AL136</f>
        <v>0.38008267614817731</v>
      </c>
      <c r="AM264" s="88">
        <f t="shared" si="2343"/>
        <v>0.39379780530926811</v>
      </c>
      <c r="AN264" s="88">
        <f t="shared" si="2343"/>
        <v>0.45649951778423303</v>
      </c>
      <c r="AO264" s="88">
        <f t="shared" si="2343"/>
        <v>0.46386338333830723</v>
      </c>
      <c r="AP264" s="88">
        <f t="shared" si="2343"/>
        <v>0.48067959457379683</v>
      </c>
      <c r="AQ264" s="88">
        <f t="shared" si="2343"/>
        <v>0.44640028143175986</v>
      </c>
      <c r="AR264" s="88">
        <f t="shared" si="2343"/>
        <v>0.42808511070073263</v>
      </c>
      <c r="AS264" s="88">
        <f t="shared" si="2343"/>
        <v>0.46778451413517541</v>
      </c>
      <c r="AT264" s="88">
        <f t="shared" si="2343"/>
        <v>0.34185826352119575</v>
      </c>
      <c r="AU264" s="88">
        <f t="shared" si="2343"/>
        <v>0.35862035198434411</v>
      </c>
      <c r="AV264" s="88">
        <f t="shared" si="2343"/>
        <v>0.29898329894361847</v>
      </c>
      <c r="AW264" s="88">
        <f t="shared" si="2343"/>
        <v>0.25493359784400099</v>
      </c>
      <c r="AX264" s="88">
        <f t="shared" si="2343"/>
        <v>0.30348725939048554</v>
      </c>
      <c r="AY264" s="88">
        <f t="shared" si="2343"/>
        <v>0.34129394624574177</v>
      </c>
      <c r="AZ264" s="88">
        <f t="shared" si="2343"/>
        <v>0.14038327491600791</v>
      </c>
      <c r="BA264" s="88">
        <f t="shared" si="2343"/>
        <v>0.15166599482834872</v>
      </c>
      <c r="BB264" s="88">
        <f t="shared" si="2343"/>
        <v>0.16057787105866414</v>
      </c>
      <c r="BC264" s="88">
        <f t="shared" si="2343"/>
        <v>0.21099487062173486</v>
      </c>
      <c r="BD264" s="88">
        <f t="shared" si="2343"/>
        <v>7.3078259592104261E-2</v>
      </c>
      <c r="BE264" s="88">
        <f t="shared" si="2343"/>
        <v>5.3947435543095862E-2</v>
      </c>
      <c r="BF264" s="88">
        <f t="shared" si="2343"/>
        <v>0.19751306587865952</v>
      </c>
      <c r="BG264" s="88">
        <f t="shared" si="2343"/>
        <v>0.23114466258402763</v>
      </c>
      <c r="BH264" s="88">
        <f t="shared" si="2343"/>
        <v>6.7424740911334102E-2</v>
      </c>
      <c r="BI264" s="88">
        <f t="shared" si="2343"/>
        <v>7.742864596515521E-2</v>
      </c>
      <c r="BJ264" s="88">
        <f t="shared" si="2343"/>
        <v>0.37878437660432268</v>
      </c>
      <c r="BK264" s="88">
        <f t="shared" si="2343"/>
        <v>0.3679736080406048</v>
      </c>
      <c r="BL264" s="88">
        <f t="shared" si="2343"/>
        <v>0.40579667651349116</v>
      </c>
      <c r="BM264" s="88">
        <f t="shared" si="2343"/>
        <v>0.41212843888206296</v>
      </c>
      <c r="BN264" s="88">
        <f t="shared" si="2343"/>
        <v>0.19363535901275872</v>
      </c>
      <c r="BO264" s="88">
        <f t="shared" si="2343"/>
        <v>0.26146110783915011</v>
      </c>
      <c r="BP264" s="88">
        <f t="shared" si="2343"/>
        <v>0.11299831907473845</v>
      </c>
      <c r="BQ264" s="88">
        <f t="shared" si="2343"/>
        <v>8.4816106526379331E-2</v>
      </c>
      <c r="BR264" s="88">
        <f t="shared" si="2343"/>
        <v>0.14181060810878468</v>
      </c>
      <c r="BS264" s="88">
        <f t="shared" si="2343"/>
        <v>0.20159623692139536</v>
      </c>
      <c r="BT264" s="88">
        <f t="shared" si="2343"/>
        <v>0.11751351161579617</v>
      </c>
      <c r="BU264" s="88">
        <f t="shared" si="2343"/>
        <v>0.11946566441771676</v>
      </c>
      <c r="BV264" s="88">
        <f t="shared" si="2343"/>
        <v>0.1829128148433693</v>
      </c>
      <c r="BW264" s="88">
        <f t="shared" si="2343"/>
        <v>0.19315347091859852</v>
      </c>
      <c r="BX264" s="88">
        <f t="shared" si="2343"/>
        <v>0.21941858011067511</v>
      </c>
      <c r="BY264" s="88">
        <f t="shared" si="2343"/>
        <v>0.17707092874331526</v>
      </c>
      <c r="BZ264" s="88">
        <f t="shared" si="2343"/>
        <v>0.18626686744667623</v>
      </c>
      <c r="CA264" s="88">
        <f t="shared" si="2343"/>
        <v>0.1862815231324905</v>
      </c>
      <c r="CB264" s="88">
        <f t="shared" si="2343"/>
        <v>0.15569302382556502</v>
      </c>
      <c r="CC264" s="88">
        <f t="shared" si="2343"/>
        <v>0.13608684767164106</v>
      </c>
      <c r="CD264" s="88">
        <f t="shared" si="2343"/>
        <v>0.23258826561291984</v>
      </c>
      <c r="CE264" s="88">
        <f t="shared" si="2343"/>
        <v>0.2531563359585936</v>
      </c>
      <c r="CF264" s="88">
        <f t="shared" si="2343"/>
        <v>0.1535421909342847</v>
      </c>
      <c r="CG264" s="88">
        <f t="shared" si="2343"/>
        <v>0.14598294551508231</v>
      </c>
      <c r="CH264" s="88">
        <f t="shared" si="2343"/>
        <v>0.16533988408244732</v>
      </c>
      <c r="CI264" s="88">
        <f t="shared" si="2343"/>
        <v>0.24950628171504699</v>
      </c>
      <c r="CJ264" s="88">
        <f t="shared" si="2343"/>
        <v>0.12829192697743286</v>
      </c>
      <c r="CK264" s="42">
        <f t="shared" si="2343"/>
        <v>-3.242457230542236E-2</v>
      </c>
      <c r="CL264" s="88">
        <f t="shared" ref="CL264" si="2344">CL177/CL136</f>
        <v>0.16593085861350237</v>
      </c>
      <c r="CM264" s="42">
        <f t="shared" si="2343"/>
        <v>0.20139802868300541</v>
      </c>
      <c r="CN264" s="42">
        <f t="shared" si="2343"/>
        <v>0.37399244523746938</v>
      </c>
      <c r="CO264" s="42">
        <f t="shared" si="2343"/>
        <v>0.31512597293795275</v>
      </c>
      <c r="CP264" s="42">
        <f t="shared" si="2343"/>
        <v>0.1645544349369974</v>
      </c>
      <c r="CQ264" s="42">
        <f t="shared" si="2343"/>
        <v>0.22556903052458468</v>
      </c>
      <c r="CR264" s="42">
        <f t="shared" si="2343"/>
        <v>0.40790175721247229</v>
      </c>
      <c r="CS264" s="42">
        <f t="shared" si="2343"/>
        <v>0.3451684945606045</v>
      </c>
      <c r="CT264" s="42">
        <f t="shared" si="2343"/>
        <v>0.18676003122192283</v>
      </c>
      <c r="CU264" s="42">
        <f t="shared" si="2343"/>
        <v>0.2501240769616111</v>
      </c>
      <c r="CV264" s="42">
        <f t="shared" si="2343"/>
        <v>0.43970591761622896</v>
      </c>
      <c r="CW264" s="42">
        <f t="shared" si="2343"/>
        <v>0.37346605524243298</v>
      </c>
      <c r="CX264" s="42">
        <f t="shared" ref="CX264:DB264" si="2345">CX177/CX136</f>
        <v>0.20726649793805008</v>
      </c>
      <c r="CY264" s="42">
        <f t="shared" si="2345"/>
        <v>0.2722787525003515</v>
      </c>
      <c r="CZ264" s="42">
        <f t="shared" si="2345"/>
        <v>0.46814706051588534</v>
      </c>
      <c r="DA264" s="42">
        <f t="shared" si="2345"/>
        <v>0.39874491609750035</v>
      </c>
      <c r="DB264" s="42">
        <f t="shared" si="2345"/>
        <v>0.22580870959688362</v>
      </c>
      <c r="DE264" s="125"/>
      <c r="DF264" s="88">
        <v>-0.49884513763777</v>
      </c>
    </row>
    <row r="265" spans="1:110" s="89" customFormat="1" x14ac:dyDescent="0.2">
      <c r="A265" s="89" t="s">
        <v>103</v>
      </c>
      <c r="C265" s="89">
        <f t="shared" ref="C265:AE265" si="2346">C144/B144-1</f>
        <v>-0.26730453316040637</v>
      </c>
      <c r="D265" s="89">
        <f t="shared" si="2346"/>
        <v>0.10575905177269895</v>
      </c>
      <c r="F265" s="89">
        <f t="shared" si="2346"/>
        <v>0.2290731561317807</v>
      </c>
      <c r="G265" s="89">
        <f t="shared" si="2346"/>
        <v>-0.28784809686228563</v>
      </c>
      <c r="H265" s="89">
        <f t="shared" si="2346"/>
        <v>0.23878192673974796</v>
      </c>
      <c r="I265" s="89">
        <f t="shared" si="2346"/>
        <v>-0.33912761367720223</v>
      </c>
      <c r="J265" s="89">
        <f t="shared" si="2346"/>
        <v>1.4604819571201908</v>
      </c>
      <c r="K265" s="89">
        <f>K144/J144-1</f>
        <v>-0.80615790262700726</v>
      </c>
      <c r="L265" s="89">
        <f t="shared" si="2346"/>
        <v>2.9259490935559449</v>
      </c>
      <c r="M265" s="89">
        <f t="shared" si="2346"/>
        <v>0.63070007213356005</v>
      </c>
      <c r="N265" s="89">
        <f t="shared" si="2346"/>
        <v>0.16564259146172211</v>
      </c>
      <c r="O265" s="89">
        <f t="shared" si="2346"/>
        <v>6.127052225299856E-3</v>
      </c>
      <c r="P265" s="89">
        <f t="shared" si="2346"/>
        <v>-0.53776142503174373</v>
      </c>
      <c r="Q265" s="89">
        <f t="shared" si="2346"/>
        <v>1.2180531205452967</v>
      </c>
      <c r="R265" s="89">
        <f t="shared" si="2346"/>
        <v>-0.36861933958779647</v>
      </c>
      <c r="S265" s="89">
        <f t="shared" si="2346"/>
        <v>-0.16760266760266762</v>
      </c>
      <c r="T265" s="89">
        <f t="shared" si="2346"/>
        <v>1.2113289760348582</v>
      </c>
      <c r="U265" s="89">
        <f t="shared" si="2346"/>
        <v>-0.30764341331638323</v>
      </c>
      <c r="V265" s="89">
        <f t="shared" si="2346"/>
        <v>0.19628184530640369</v>
      </c>
      <c r="W265" s="89">
        <f t="shared" si="2346"/>
        <v>0.3845593031733241</v>
      </c>
      <c r="X265" s="89">
        <f t="shared" si="2346"/>
        <v>0.7070919823739712</v>
      </c>
      <c r="Y265" s="89">
        <f t="shared" si="2346"/>
        <v>0.15802717664821331</v>
      </c>
      <c r="Z265" s="89">
        <f t="shared" si="2346"/>
        <v>0.2102732332366013</v>
      </c>
      <c r="AA265" s="89">
        <f t="shared" si="2346"/>
        <v>0.11942546044248825</v>
      </c>
      <c r="AB265" s="47">
        <f t="shared" si="2346"/>
        <v>0</v>
      </c>
      <c r="AC265" s="47">
        <f t="shared" si="2346"/>
        <v>0</v>
      </c>
      <c r="AD265" s="47">
        <f t="shared" si="2346"/>
        <v>0</v>
      </c>
      <c r="AE265" s="47">
        <f t="shared" si="2346"/>
        <v>0</v>
      </c>
      <c r="AL265" s="89">
        <f t="shared" ref="AL265:CW265" si="2347">AL144/AK144-1</f>
        <v>-0.12876438219109543</v>
      </c>
      <c r="AM265" s="89">
        <f t="shared" si="2347"/>
        <v>0</v>
      </c>
      <c r="AN265" s="89">
        <f t="shared" si="2347"/>
        <v>-7.2921451538814908E-2</v>
      </c>
      <c r="AO265" s="89">
        <f t="shared" si="2347"/>
        <v>0</v>
      </c>
      <c r="AP265" s="89">
        <f t="shared" si="2347"/>
        <v>8.5470085470085388E-2</v>
      </c>
      <c r="AQ265" s="89">
        <f t="shared" si="2347"/>
        <v>0</v>
      </c>
      <c r="AR265" s="89">
        <f t="shared" si="2347"/>
        <v>-0.23428049754650226</v>
      </c>
      <c r="AS265" s="89">
        <f t="shared" si="2347"/>
        <v>0</v>
      </c>
      <c r="AT265" s="89">
        <f t="shared" si="2347"/>
        <v>-0.39552906110283159</v>
      </c>
      <c r="AU265" s="89">
        <f t="shared" si="2347"/>
        <v>0</v>
      </c>
      <c r="AV265" s="89">
        <f t="shared" si="2347"/>
        <v>0.4178994082840235</v>
      </c>
      <c r="AW265" s="89">
        <f t="shared" si="2347"/>
        <v>0</v>
      </c>
      <c r="AX265" s="89">
        <f t="shared" si="2347"/>
        <v>0.56923433605749718</v>
      </c>
      <c r="AY265" s="89">
        <f t="shared" si="2347"/>
        <v>0</v>
      </c>
      <c r="AZ265" s="89">
        <f t="shared" si="2347"/>
        <v>-0.3746029400901234</v>
      </c>
      <c r="BA265" s="89">
        <f t="shared" si="2347"/>
        <v>0</v>
      </c>
      <c r="BB265" s="89">
        <f t="shared" si="2347"/>
        <v>9.5676824946846484E-3</v>
      </c>
      <c r="BC265" s="89">
        <f t="shared" si="2347"/>
        <v>0</v>
      </c>
      <c r="BD265" s="89">
        <f t="shared" si="2347"/>
        <v>-3.1648531648531653E-2</v>
      </c>
      <c r="BE265" s="89">
        <f t="shared" si="2347"/>
        <v>0</v>
      </c>
      <c r="BF265" s="89">
        <f t="shared" si="2347"/>
        <v>-0.14039751102519182</v>
      </c>
      <c r="BG265" s="89">
        <f t="shared" si="2347"/>
        <v>0</v>
      </c>
      <c r="BH265" s="89">
        <f t="shared" si="2347"/>
        <v>2.6210555906950597</v>
      </c>
      <c r="BI265" s="89">
        <f t="shared" si="2347"/>
        <v>0</v>
      </c>
      <c r="BJ265" s="89">
        <f t="shared" si="2347"/>
        <v>-0.38931371787904667</v>
      </c>
      <c r="BK265" s="89">
        <f t="shared" si="2347"/>
        <v>0</v>
      </c>
      <c r="BL265" s="89">
        <f t="shared" si="2347"/>
        <v>5.0119180041315881E-2</v>
      </c>
      <c r="BM265" s="89">
        <f t="shared" si="2347"/>
        <v>0</v>
      </c>
      <c r="BN265" s="89">
        <f t="shared" si="2347"/>
        <v>-0.34068760970885548</v>
      </c>
      <c r="BO265" s="89">
        <f t="shared" si="2347"/>
        <v>0</v>
      </c>
      <c r="BP265" s="89">
        <f t="shared" si="2347"/>
        <v>0.97548772090888214</v>
      </c>
      <c r="BQ265" s="89">
        <f t="shared" si="2347"/>
        <v>0</v>
      </c>
      <c r="BR265" s="89">
        <f t="shared" si="2347"/>
        <v>-0.41583790315085034</v>
      </c>
      <c r="BS265" s="89">
        <f t="shared" si="2347"/>
        <v>0</v>
      </c>
      <c r="BT265" s="89">
        <f t="shared" si="2347"/>
        <v>0.64542561654733488</v>
      </c>
      <c r="BU265" s="89">
        <f t="shared" si="2347"/>
        <v>0</v>
      </c>
      <c r="BV265" s="89">
        <f t="shared" si="2347"/>
        <v>-0.17035729826427504</v>
      </c>
      <c r="BW265" s="89">
        <f t="shared" si="2347"/>
        <v>0</v>
      </c>
      <c r="BX265" s="89">
        <f t="shared" si="2347"/>
        <v>6.8650018939945712E-2</v>
      </c>
      <c r="BY265" s="89">
        <f t="shared" si="2347"/>
        <v>0</v>
      </c>
      <c r="BZ265" s="89">
        <f t="shared" si="2347"/>
        <v>0.67953646898432174</v>
      </c>
      <c r="CA265" s="89">
        <f t="shared" si="2347"/>
        <v>0</v>
      </c>
      <c r="CB265" s="89">
        <f t="shared" si="2347"/>
        <v>-0.15174440313651638</v>
      </c>
      <c r="CC265" s="89">
        <f t="shared" si="2347"/>
        <v>0</v>
      </c>
      <c r="CD265" s="89">
        <f t="shared" si="2347"/>
        <v>0.36518660287081328</v>
      </c>
      <c r="CE265" s="89">
        <f t="shared" si="2347"/>
        <v>0</v>
      </c>
      <c r="CF265" s="89">
        <f t="shared" si="2347"/>
        <v>0.16335113765403531</v>
      </c>
      <c r="CG265" s="89">
        <f t="shared" si="2347"/>
        <v>0</v>
      </c>
      <c r="CH265" s="89">
        <f t="shared" si="2347"/>
        <v>4.0333562295892023E-2</v>
      </c>
      <c r="CI265" s="89">
        <f t="shared" si="2347"/>
        <v>0</v>
      </c>
      <c r="CJ265" s="89">
        <f t="shared" si="2347"/>
        <v>1.0004170045175491</v>
      </c>
      <c r="CK265" s="47">
        <f t="shared" si="2347"/>
        <v>0</v>
      </c>
      <c r="CL265" s="89">
        <f t="shared" si="2347"/>
        <v>-0.44040394681984518</v>
      </c>
      <c r="CM265" s="47">
        <f t="shared" si="2347"/>
        <v>0</v>
      </c>
      <c r="CN265" s="47">
        <f t="shared" si="2347"/>
        <v>0</v>
      </c>
      <c r="CO265" s="47">
        <f t="shared" si="2347"/>
        <v>0</v>
      </c>
      <c r="CP265" s="47">
        <f t="shared" si="2347"/>
        <v>0</v>
      </c>
      <c r="CQ265" s="47">
        <f t="shared" si="2347"/>
        <v>0</v>
      </c>
      <c r="CR265" s="47">
        <f t="shared" si="2347"/>
        <v>0</v>
      </c>
      <c r="CS265" s="47">
        <f t="shared" si="2347"/>
        <v>0</v>
      </c>
      <c r="CT265" s="47">
        <f t="shared" si="2347"/>
        <v>0</v>
      </c>
      <c r="CU265" s="47">
        <f t="shared" si="2347"/>
        <v>0</v>
      </c>
      <c r="CV265" s="47">
        <f t="shared" si="2347"/>
        <v>0</v>
      </c>
      <c r="CW265" s="47">
        <f t="shared" si="2347"/>
        <v>0</v>
      </c>
      <c r="CX265" s="47">
        <f t="shared" ref="CX265:DB265" si="2348">CX144/CW144-1</f>
        <v>0</v>
      </c>
      <c r="CY265" s="47">
        <f t="shared" si="2348"/>
        <v>0</v>
      </c>
      <c r="CZ265" s="47">
        <f t="shared" si="2348"/>
        <v>0</v>
      </c>
      <c r="DA265" s="47">
        <f t="shared" si="2348"/>
        <v>0</v>
      </c>
      <c r="DB265" s="47">
        <f t="shared" si="2348"/>
        <v>0</v>
      </c>
      <c r="DE265" s="130"/>
      <c r="DF265" s="89">
        <v>0</v>
      </c>
    </row>
    <row r="266" spans="1:110" s="89" customFormat="1" x14ac:dyDescent="0.2">
      <c r="A266" s="89" t="s">
        <v>104</v>
      </c>
      <c r="C266" s="89">
        <f>C44/B44-1</f>
        <v>-0.19131235085268949</v>
      </c>
      <c r="D266" s="89">
        <f>D44/C44-1</f>
        <v>0.56849373608332066</v>
      </c>
      <c r="F266" s="89">
        <f t="shared" ref="F266:AE266" si="2349">F44/E44-1</f>
        <v>0.28686134234537564</v>
      </c>
      <c r="G266" s="89">
        <f t="shared" si="2349"/>
        <v>1.1141985542807853</v>
      </c>
      <c r="H266" s="89">
        <f t="shared" si="2349"/>
        <v>0.14776214375336361</v>
      </c>
      <c r="I266" s="89">
        <f t="shared" si="2349"/>
        <v>0.97553864257308298</v>
      </c>
      <c r="J266" s="89">
        <f t="shared" si="2349"/>
        <v>0.11878645970642743</v>
      </c>
      <c r="K266" s="89">
        <f t="shared" si="2349"/>
        <v>0.62360861895793973</v>
      </c>
      <c r="L266" s="89">
        <f t="shared" si="2349"/>
        <v>-9.996068069617059E-3</v>
      </c>
      <c r="M266" s="89">
        <f t="shared" si="2349"/>
        <v>-0.26046910523789268</v>
      </c>
      <c r="N266" s="89">
        <f t="shared" si="2349"/>
        <v>-0.29262244947088856</v>
      </c>
      <c r="O266" s="89">
        <f t="shared" si="2349"/>
        <v>0.11596401677402079</v>
      </c>
      <c r="P266" s="89">
        <f t="shared" si="2349"/>
        <v>0.54374959527370192</v>
      </c>
      <c r="Q266" s="89">
        <f t="shared" si="2349"/>
        <v>5.5906553005602655E-2</v>
      </c>
      <c r="R266" s="89">
        <f t="shared" si="2349"/>
        <v>0.30933089678160708</v>
      </c>
      <c r="S266" s="89">
        <f t="shared" si="2349"/>
        <v>0.14951754308596144</v>
      </c>
      <c r="T266" s="89">
        <f t="shared" si="2349"/>
        <v>-7.8431673444334105E-2</v>
      </c>
      <c r="U266" s="89">
        <f t="shared" si="2349"/>
        <v>0.14222200019982068</v>
      </c>
      <c r="V266" s="89">
        <f t="shared" si="2349"/>
        <v>-6.500473795466255E-2</v>
      </c>
      <c r="W266" s="89">
        <f t="shared" si="2349"/>
        <v>6.2663714606461474E-2</v>
      </c>
      <c r="X266" s="89">
        <f t="shared" si="2349"/>
        <v>-0.16019367617929536</v>
      </c>
      <c r="Y266" s="89">
        <f t="shared" si="2349"/>
        <v>-0.17382112968884211</v>
      </c>
      <c r="Z266" s="89">
        <f t="shared" si="2349"/>
        <v>1.3603874132972544</v>
      </c>
      <c r="AA266" s="89">
        <f t="shared" si="2349"/>
        <v>-0.46057087566521659</v>
      </c>
      <c r="AB266" s="47">
        <f t="shared" si="2349"/>
        <v>0.74291228190278469</v>
      </c>
      <c r="AC266" s="47">
        <f t="shared" si="2349"/>
        <v>0.23903706139694392</v>
      </c>
      <c r="AD266" s="47">
        <f t="shared" si="2349"/>
        <v>0.15489792830356985</v>
      </c>
      <c r="AE266" s="47">
        <f t="shared" si="2349"/>
        <v>0.15147089602534147</v>
      </c>
      <c r="AL266" s="89">
        <f t="shared" ref="AL266:CW266" si="2350">AL44/AK44-1</f>
        <v>2.3713932399010864</v>
      </c>
      <c r="AM266" s="89">
        <f t="shared" si="2350"/>
        <v>-0.38293189876513156</v>
      </c>
      <c r="AN266" s="89">
        <f t="shared" si="2350"/>
        <v>-0.16247275609272593</v>
      </c>
      <c r="AO266" s="89">
        <f t="shared" si="2350"/>
        <v>0.59687721788501991</v>
      </c>
      <c r="AP266" s="89">
        <f t="shared" si="2350"/>
        <v>0.56103703703703589</v>
      </c>
      <c r="AQ266" s="89">
        <f t="shared" si="2350"/>
        <v>0.25168454019170672</v>
      </c>
      <c r="AR266" s="89">
        <f t="shared" si="2350"/>
        <v>-0.41056941390552737</v>
      </c>
      <c r="AS266" s="89">
        <f t="shared" si="2350"/>
        <v>-0.2616413686647806</v>
      </c>
      <c r="AT266" s="89">
        <f t="shared" si="2350"/>
        <v>1.4914634146341506</v>
      </c>
      <c r="AU266" s="89">
        <f t="shared" si="2350"/>
        <v>-8.1882385847144579E-2</v>
      </c>
      <c r="AV266" s="89">
        <f t="shared" si="2350"/>
        <v>-0.50860624523990705</v>
      </c>
      <c r="AW266" s="89">
        <f t="shared" si="2350"/>
        <v>-0.12740235585865478</v>
      </c>
      <c r="AX266" s="89">
        <f t="shared" si="2350"/>
        <v>2.2120781527531266</v>
      </c>
      <c r="AY266" s="89">
        <f t="shared" si="2350"/>
        <v>0.10340632603406119</v>
      </c>
      <c r="AZ266" s="89">
        <f t="shared" si="2350"/>
        <v>-0.65585847449133017</v>
      </c>
      <c r="BA266" s="89">
        <f t="shared" si="2350"/>
        <v>0.29547109363623192</v>
      </c>
      <c r="BB266" s="89">
        <f t="shared" si="2350"/>
        <v>1.4861735611510847</v>
      </c>
      <c r="BC266" s="89">
        <f t="shared" si="2350"/>
        <v>-5.8054889903696116E-2</v>
      </c>
      <c r="BD266" s="89">
        <f t="shared" si="2350"/>
        <v>-0.58258532136514141</v>
      </c>
      <c r="BE266" s="89">
        <f t="shared" si="2350"/>
        <v>0.31313247470101246</v>
      </c>
      <c r="BF266" s="89">
        <f t="shared" si="2350"/>
        <v>1.2170067431473872</v>
      </c>
      <c r="BG266" s="89">
        <f t="shared" si="2350"/>
        <v>-3.938220887976196E-2</v>
      </c>
      <c r="BH266" s="89">
        <f t="shared" si="2350"/>
        <v>-0.55368230601587154</v>
      </c>
      <c r="BI266" s="89">
        <f t="shared" si="2350"/>
        <v>6.569006817762979E-2</v>
      </c>
      <c r="BJ266" s="89">
        <f t="shared" si="2350"/>
        <v>0.24760093369067104</v>
      </c>
      <c r="BK266" s="89">
        <f t="shared" si="2350"/>
        <v>1.0179474741875123</v>
      </c>
      <c r="BL266" s="89">
        <f t="shared" si="2350"/>
        <v>-0.63641358469832665</v>
      </c>
      <c r="BM266" s="89">
        <f t="shared" si="2350"/>
        <v>-7.8673970532680881E-2</v>
      </c>
      <c r="BN266" s="89">
        <f t="shared" si="2350"/>
        <v>0.96842644797539212</v>
      </c>
      <c r="BO266" s="89">
        <f t="shared" si="2350"/>
        <v>-0.6523799604207885</v>
      </c>
      <c r="BP266" s="89">
        <f t="shared" si="2350"/>
        <v>0.46801498127340846</v>
      </c>
      <c r="BQ266" s="89">
        <f t="shared" si="2350"/>
        <v>0.48882539034595229</v>
      </c>
      <c r="BR266" s="89">
        <f t="shared" si="2350"/>
        <v>1.2669819727191767</v>
      </c>
      <c r="BS266" s="89">
        <f t="shared" si="2350"/>
        <v>-0.58945363287273711</v>
      </c>
      <c r="BT266" s="89">
        <f t="shared" si="2350"/>
        <v>-4.9049933716303062E-2</v>
      </c>
      <c r="BU266" s="89">
        <f t="shared" si="2350"/>
        <v>0.20539033457248634</v>
      </c>
      <c r="BV266" s="89">
        <f t="shared" si="2350"/>
        <v>0.67701105114366822</v>
      </c>
      <c r="BW266" s="89">
        <f t="shared" si="2350"/>
        <v>-0.32190337534960278</v>
      </c>
      <c r="BX266" s="89">
        <f t="shared" si="2350"/>
        <v>-0.4302502966269286</v>
      </c>
      <c r="BY266" s="89">
        <f t="shared" si="2350"/>
        <v>-0.24266164220547604</v>
      </c>
      <c r="BZ266" s="89">
        <f t="shared" si="2350"/>
        <v>1.8567500327353788</v>
      </c>
      <c r="CA266" s="89">
        <f t="shared" si="2350"/>
        <v>-0.15043314846220923</v>
      </c>
      <c r="CB266" s="89">
        <f t="shared" si="2350"/>
        <v>-0.6208794173185872</v>
      </c>
      <c r="CC266" s="89">
        <f t="shared" si="2350"/>
        <v>-0.59555998292301104</v>
      </c>
      <c r="CD266" s="89">
        <f t="shared" si="2350"/>
        <v>5.7058409570725033</v>
      </c>
      <c r="CE266" s="89">
        <f t="shared" si="2350"/>
        <v>1.2237380627557899</v>
      </c>
      <c r="CF266" s="89">
        <f t="shared" si="2350"/>
        <v>-0.61724870221802641</v>
      </c>
      <c r="CG266" s="89">
        <f t="shared" si="2350"/>
        <v>0.21687935392392688</v>
      </c>
      <c r="CH266" s="89">
        <f t="shared" si="2350"/>
        <v>0.68590100815643962</v>
      </c>
      <c r="CI266" s="89">
        <f t="shared" si="2350"/>
        <v>-0.46351944227417585</v>
      </c>
      <c r="CJ266" s="89">
        <f t="shared" si="2350"/>
        <v>-0.60561250210049011</v>
      </c>
      <c r="CK266" s="47">
        <f t="shared" si="2350"/>
        <v>1.5179661979832635</v>
      </c>
      <c r="CL266" s="89">
        <f t="shared" si="2350"/>
        <v>0.24468385131704973</v>
      </c>
      <c r="CM266" s="47">
        <f t="shared" si="2350"/>
        <v>0.17797174317558073</v>
      </c>
      <c r="CN266" s="47">
        <f t="shared" si="2350"/>
        <v>-0.37519147211530091</v>
      </c>
      <c r="CO266" s="47">
        <f t="shared" si="2350"/>
        <v>0.46478890753981905</v>
      </c>
      <c r="CP266" s="47">
        <f t="shared" si="2350"/>
        <v>0.63573597195727971</v>
      </c>
      <c r="CQ266" s="47">
        <f t="shared" si="2350"/>
        <v>-9.8804602634151917E-2</v>
      </c>
      <c r="CR266" s="47">
        <f t="shared" si="2350"/>
        <v>-0.39892820261216377</v>
      </c>
      <c r="CS266" s="47">
        <f t="shared" si="2350"/>
        <v>0.34506616259519052</v>
      </c>
      <c r="CT266" s="47">
        <f t="shared" si="2350"/>
        <v>0.6055715531958703</v>
      </c>
      <c r="CU266" s="47">
        <f t="shared" si="2350"/>
        <v>-9.3810918718129188E-2</v>
      </c>
      <c r="CV266" s="47">
        <f t="shared" si="2350"/>
        <v>-0.4006873024667722</v>
      </c>
      <c r="CW266" s="47">
        <f t="shared" si="2350"/>
        <v>0.3145766176406708</v>
      </c>
      <c r="CX266" s="47">
        <f t="shared" ref="CX266:DB266" si="2351">CX44/CW44-1</f>
        <v>0.59043379375025462</v>
      </c>
      <c r="CY266" s="47">
        <f t="shared" si="2351"/>
        <v>-7.6303366930005501E-2</v>
      </c>
      <c r="CZ266" s="47">
        <f t="shared" si="2351"/>
        <v>-0.4030657914959147</v>
      </c>
      <c r="DA266" s="47">
        <f t="shared" si="2351"/>
        <v>0.3089994322332501</v>
      </c>
      <c r="DB266" s="47">
        <f t="shared" si="2351"/>
        <v>0.59100608556367096</v>
      </c>
      <c r="DE266" s="130"/>
      <c r="DF266" s="89">
        <v>1.0600884699273068</v>
      </c>
    </row>
    <row r="267" spans="1:110" s="103" customFormat="1" x14ac:dyDescent="0.2">
      <c r="A267" s="147" t="s">
        <v>105</v>
      </c>
      <c r="C267" s="103">
        <f>IF(C265&gt;C266,"RF",0)</f>
        <v>0</v>
      </c>
      <c r="D267" s="103">
        <f t="shared" ref="D267:U267" si="2352">IF(D265&gt;D266,"RF",0)</f>
        <v>0</v>
      </c>
      <c r="F267" s="103">
        <f t="shared" si="2352"/>
        <v>0</v>
      </c>
      <c r="G267" s="103">
        <f t="shared" si="2352"/>
        <v>0</v>
      </c>
      <c r="H267" s="103" t="str">
        <f t="shared" si="2352"/>
        <v>RF</v>
      </c>
      <c r="I267" s="103">
        <f t="shared" si="2352"/>
        <v>0</v>
      </c>
      <c r="J267" s="103" t="str">
        <f t="shared" si="2352"/>
        <v>RF</v>
      </c>
      <c r="K267" s="103">
        <f t="shared" si="2352"/>
        <v>0</v>
      </c>
      <c r="L267" s="103" t="str">
        <f t="shared" si="2352"/>
        <v>RF</v>
      </c>
      <c r="M267" s="103" t="str">
        <f t="shared" si="2352"/>
        <v>RF</v>
      </c>
      <c r="N267" s="103" t="str">
        <f t="shared" si="2352"/>
        <v>RF</v>
      </c>
      <c r="O267" s="103">
        <f t="shared" si="2352"/>
        <v>0</v>
      </c>
      <c r="P267" s="103">
        <f t="shared" si="2352"/>
        <v>0</v>
      </c>
      <c r="Q267" s="103" t="str">
        <f t="shared" si="2352"/>
        <v>RF</v>
      </c>
      <c r="R267" s="103">
        <f t="shared" si="2352"/>
        <v>0</v>
      </c>
      <c r="S267" s="103">
        <f t="shared" si="2352"/>
        <v>0</v>
      </c>
      <c r="T267" s="103" t="str">
        <f t="shared" si="2352"/>
        <v>RF</v>
      </c>
      <c r="U267" s="103">
        <f t="shared" si="2352"/>
        <v>0</v>
      </c>
      <c r="V267" s="103" t="str">
        <f>IF(V265&gt;V266,"RF",0)</f>
        <v>RF</v>
      </c>
      <c r="W267" s="103" t="str">
        <f t="shared" ref="W267:AE267" si="2353">IF(W265&gt;W266,"RF",0)</f>
        <v>RF</v>
      </c>
      <c r="X267" s="103" t="str">
        <f t="shared" si="2353"/>
        <v>RF</v>
      </c>
      <c r="Y267" s="103" t="str">
        <f t="shared" si="2353"/>
        <v>RF</v>
      </c>
      <c r="Z267" s="103">
        <f t="shared" si="2353"/>
        <v>0</v>
      </c>
      <c r="AA267" s="103" t="str">
        <f t="shared" ref="AA267" si="2354">IF(AA265&gt;AA266,"RF",0)</f>
        <v>RF</v>
      </c>
      <c r="AB267" s="73">
        <f t="shared" si="2353"/>
        <v>0</v>
      </c>
      <c r="AC267" s="73">
        <f t="shared" si="2353"/>
        <v>0</v>
      </c>
      <c r="AD267" s="73">
        <f t="shared" si="2353"/>
        <v>0</v>
      </c>
      <c r="AE267" s="73">
        <f t="shared" si="2353"/>
        <v>0</v>
      </c>
      <c r="AL267" s="103">
        <f t="shared" ref="AL267:CW267" si="2355">IF(AL265&gt;AL266,"RF",0)</f>
        <v>0</v>
      </c>
      <c r="AM267" s="103" t="str">
        <f t="shared" si="2355"/>
        <v>RF</v>
      </c>
      <c r="AN267" s="103" t="str">
        <f t="shared" si="2355"/>
        <v>RF</v>
      </c>
      <c r="AO267" s="103">
        <f t="shared" si="2355"/>
        <v>0</v>
      </c>
      <c r="AP267" s="103">
        <f t="shared" si="2355"/>
        <v>0</v>
      </c>
      <c r="AQ267" s="103">
        <f t="shared" si="2355"/>
        <v>0</v>
      </c>
      <c r="AR267" s="103" t="str">
        <f t="shared" si="2355"/>
        <v>RF</v>
      </c>
      <c r="AS267" s="103" t="str">
        <f t="shared" si="2355"/>
        <v>RF</v>
      </c>
      <c r="AT267" s="103">
        <f t="shared" si="2355"/>
        <v>0</v>
      </c>
      <c r="AU267" s="103" t="str">
        <f t="shared" si="2355"/>
        <v>RF</v>
      </c>
      <c r="AV267" s="103" t="str">
        <f t="shared" si="2355"/>
        <v>RF</v>
      </c>
      <c r="AW267" s="103" t="str">
        <f t="shared" si="2355"/>
        <v>RF</v>
      </c>
      <c r="AX267" s="103">
        <f t="shared" si="2355"/>
        <v>0</v>
      </c>
      <c r="AY267" s="103">
        <f t="shared" si="2355"/>
        <v>0</v>
      </c>
      <c r="AZ267" s="103" t="str">
        <f t="shared" si="2355"/>
        <v>RF</v>
      </c>
      <c r="BA267" s="103">
        <f t="shared" si="2355"/>
        <v>0</v>
      </c>
      <c r="BB267" s="103">
        <f t="shared" si="2355"/>
        <v>0</v>
      </c>
      <c r="BC267" s="103" t="str">
        <f t="shared" si="2355"/>
        <v>RF</v>
      </c>
      <c r="BD267" s="103" t="str">
        <f t="shared" si="2355"/>
        <v>RF</v>
      </c>
      <c r="BE267" s="103">
        <f t="shared" si="2355"/>
        <v>0</v>
      </c>
      <c r="BF267" s="103">
        <f t="shared" si="2355"/>
        <v>0</v>
      </c>
      <c r="BG267" s="103" t="str">
        <f t="shared" si="2355"/>
        <v>RF</v>
      </c>
      <c r="BH267" s="103" t="str">
        <f t="shared" si="2355"/>
        <v>RF</v>
      </c>
      <c r="BI267" s="103">
        <f t="shared" si="2355"/>
        <v>0</v>
      </c>
      <c r="BJ267" s="103">
        <f t="shared" si="2355"/>
        <v>0</v>
      </c>
      <c r="BK267" s="103">
        <f t="shared" si="2355"/>
        <v>0</v>
      </c>
      <c r="BL267" s="103" t="str">
        <f t="shared" si="2355"/>
        <v>RF</v>
      </c>
      <c r="BM267" s="103" t="str">
        <f t="shared" si="2355"/>
        <v>RF</v>
      </c>
      <c r="BN267" s="103">
        <f t="shared" si="2355"/>
        <v>0</v>
      </c>
      <c r="BO267" s="103" t="str">
        <f t="shared" si="2355"/>
        <v>RF</v>
      </c>
      <c r="BP267" s="103" t="str">
        <f t="shared" si="2355"/>
        <v>RF</v>
      </c>
      <c r="BQ267" s="103">
        <f t="shared" si="2355"/>
        <v>0</v>
      </c>
      <c r="BR267" s="103">
        <f t="shared" si="2355"/>
        <v>0</v>
      </c>
      <c r="BS267" s="103" t="str">
        <f t="shared" si="2355"/>
        <v>RF</v>
      </c>
      <c r="BT267" s="103" t="str">
        <f t="shared" si="2355"/>
        <v>RF</v>
      </c>
      <c r="BU267" s="103">
        <f t="shared" si="2355"/>
        <v>0</v>
      </c>
      <c r="BV267" s="103">
        <f t="shared" si="2355"/>
        <v>0</v>
      </c>
      <c r="BW267" s="103" t="str">
        <f t="shared" si="2355"/>
        <v>RF</v>
      </c>
      <c r="BX267" s="103" t="str">
        <f t="shared" si="2355"/>
        <v>RF</v>
      </c>
      <c r="BY267" s="103" t="str">
        <f t="shared" si="2355"/>
        <v>RF</v>
      </c>
      <c r="BZ267" s="103">
        <f t="shared" si="2355"/>
        <v>0</v>
      </c>
      <c r="CA267" s="103" t="str">
        <f t="shared" si="2355"/>
        <v>RF</v>
      </c>
      <c r="CB267" s="103" t="str">
        <f t="shared" si="2355"/>
        <v>RF</v>
      </c>
      <c r="CC267" s="103" t="str">
        <f t="shared" si="2355"/>
        <v>RF</v>
      </c>
      <c r="CD267" s="103">
        <f t="shared" si="2355"/>
        <v>0</v>
      </c>
      <c r="CE267" s="103">
        <f t="shared" si="2355"/>
        <v>0</v>
      </c>
      <c r="CF267" s="103" t="str">
        <f t="shared" si="2355"/>
        <v>RF</v>
      </c>
      <c r="CG267" s="103">
        <f t="shared" si="2355"/>
        <v>0</v>
      </c>
      <c r="CH267" s="103">
        <f t="shared" si="2355"/>
        <v>0</v>
      </c>
      <c r="CI267" s="103" t="str">
        <f t="shared" si="2355"/>
        <v>RF</v>
      </c>
      <c r="CJ267" s="103" t="str">
        <f t="shared" si="2355"/>
        <v>RF</v>
      </c>
      <c r="CK267" s="73">
        <f t="shared" si="2355"/>
        <v>0</v>
      </c>
      <c r="CL267" s="103">
        <f t="shared" ref="CL267" si="2356">IF(CL265&gt;CL266,"RF",0)</f>
        <v>0</v>
      </c>
      <c r="CM267" s="73">
        <f t="shared" si="2355"/>
        <v>0</v>
      </c>
      <c r="CN267" s="73" t="str">
        <f t="shared" si="2355"/>
        <v>RF</v>
      </c>
      <c r="CO267" s="73">
        <f t="shared" si="2355"/>
        <v>0</v>
      </c>
      <c r="CP267" s="73">
        <f t="shared" si="2355"/>
        <v>0</v>
      </c>
      <c r="CQ267" s="73" t="str">
        <f t="shared" si="2355"/>
        <v>RF</v>
      </c>
      <c r="CR267" s="73" t="str">
        <f t="shared" si="2355"/>
        <v>RF</v>
      </c>
      <c r="CS267" s="73">
        <f t="shared" si="2355"/>
        <v>0</v>
      </c>
      <c r="CT267" s="73">
        <f t="shared" si="2355"/>
        <v>0</v>
      </c>
      <c r="CU267" s="73" t="str">
        <f t="shared" si="2355"/>
        <v>RF</v>
      </c>
      <c r="CV267" s="73" t="str">
        <f t="shared" si="2355"/>
        <v>RF</v>
      </c>
      <c r="CW267" s="73">
        <f t="shared" si="2355"/>
        <v>0</v>
      </c>
      <c r="CX267" s="73">
        <f t="shared" ref="CX267:DB267" si="2357">IF(CX265&gt;CX266,"RF",0)</f>
        <v>0</v>
      </c>
      <c r="CY267" s="73" t="str">
        <f t="shared" si="2357"/>
        <v>RF</v>
      </c>
      <c r="CZ267" s="73" t="str">
        <f t="shared" si="2357"/>
        <v>RF</v>
      </c>
      <c r="DA267" s="73">
        <f t="shared" si="2357"/>
        <v>0</v>
      </c>
      <c r="DB267" s="73">
        <f t="shared" si="2357"/>
        <v>0</v>
      </c>
      <c r="DE267" s="142"/>
      <c r="DF267" s="103">
        <v>0</v>
      </c>
    </row>
    <row r="268" spans="1:110" s="86" customFormat="1" x14ac:dyDescent="0.2">
      <c r="A268" s="86" t="s">
        <v>432</v>
      </c>
      <c r="B268" s="86">
        <f>B52/B24</f>
        <v>1.7073932965576633E-2</v>
      </c>
      <c r="C268" s="86">
        <f>C52/C24</f>
        <v>1.2761789133853924E-2</v>
      </c>
      <c r="D268" s="86">
        <f>D52/D24</f>
        <v>7.2717180127671371E-3</v>
      </c>
      <c r="F268" s="86">
        <f t="shared" ref="F268:AE268" si="2358">F52/F24</f>
        <v>5.6349420833113279E-3</v>
      </c>
      <c r="G268" s="86">
        <f t="shared" si="2358"/>
        <v>3.1872604110260256E-3</v>
      </c>
      <c r="H268" s="86">
        <f t="shared" si="2358"/>
        <v>3.796673287659898E-3</v>
      </c>
      <c r="I268" s="86">
        <f t="shared" si="2358"/>
        <v>2.7493669716569828E-3</v>
      </c>
      <c r="J268" s="86">
        <f t="shared" si="2358"/>
        <v>2.9154467625689732E-3</v>
      </c>
      <c r="K268" s="86">
        <f t="shared" si="2358"/>
        <v>2.0586265644092785E-3</v>
      </c>
      <c r="L268" s="86">
        <f t="shared" si="2358"/>
        <v>3.1640267470488524E-3</v>
      </c>
      <c r="M268" s="86">
        <f t="shared" si="2358"/>
        <v>6.0201897875206056E-3</v>
      </c>
      <c r="N268" s="86">
        <f t="shared" si="2358"/>
        <v>5.829159541696563E-3</v>
      </c>
      <c r="O268" s="86">
        <f t="shared" si="2358"/>
        <v>4.2516155637525657E-3</v>
      </c>
      <c r="P268" s="86">
        <f t="shared" si="2358"/>
        <v>4.4684742441525142E-3</v>
      </c>
      <c r="Q268" s="86">
        <f t="shared" si="2358"/>
        <v>2.7492873286291573E-3</v>
      </c>
      <c r="R268" s="86">
        <f t="shared" si="2358"/>
        <v>2.6316566639650071E-3</v>
      </c>
      <c r="S268" s="86">
        <f t="shared" si="2358"/>
        <v>1.8544245605464952E-3</v>
      </c>
      <c r="T268" s="86">
        <f t="shared" si="2358"/>
        <v>4.629376185242424E-3</v>
      </c>
      <c r="U268" s="86">
        <f t="shared" si="2358"/>
        <v>2.7552598040239853E-3</v>
      </c>
      <c r="V268" s="86">
        <f t="shared" si="2358"/>
        <v>3.4609266018862379E-3</v>
      </c>
      <c r="W268" s="86">
        <f t="shared" si="2358"/>
        <v>3.2604654386882521E-3</v>
      </c>
      <c r="X268" s="86">
        <f t="shared" si="2358"/>
        <v>3.1151401707800062E-3</v>
      </c>
      <c r="Y268" s="86">
        <f t="shared" si="2358"/>
        <v>4.4771300218488441E-3</v>
      </c>
      <c r="Z268" s="86">
        <f t="shared" si="2358"/>
        <v>4.029770080562961E-3</v>
      </c>
      <c r="AA268" s="86">
        <f t="shared" ref="AA268" si="2359">AA52/AA24</f>
        <v>6.0921759275509848E-3</v>
      </c>
      <c r="AB268" s="87">
        <f t="shared" si="2358"/>
        <v>3.5978238203285299E-3</v>
      </c>
      <c r="AC268" s="87">
        <f t="shared" si="2358"/>
        <v>5.5313215449039679E-3</v>
      </c>
      <c r="AD268" s="87">
        <f t="shared" si="2358"/>
        <v>6.6849933525769999E-3</v>
      </c>
      <c r="AE268" s="87">
        <f t="shared" si="2358"/>
        <v>7.6711923854983844E-3</v>
      </c>
      <c r="AL268" s="86">
        <f t="shared" ref="AL268:CW268" si="2360">AL52/AL24</f>
        <v>6.705862464075737E-3</v>
      </c>
      <c r="AM268" s="86">
        <f t="shared" si="2360"/>
        <v>4.3472837273124182E-3</v>
      </c>
      <c r="AN268" s="86">
        <f t="shared" si="2360"/>
        <v>4.2201512220854578E-3</v>
      </c>
      <c r="AO268" s="86">
        <f t="shared" si="2360"/>
        <v>4.0736108629623007E-3</v>
      </c>
      <c r="AP268" s="86">
        <f t="shared" si="2360"/>
        <v>4.4161579425899466E-3</v>
      </c>
      <c r="AQ268" s="86">
        <f t="shared" si="2360"/>
        <v>4.9506640718358424E-3</v>
      </c>
      <c r="AR268" s="86">
        <f t="shared" si="2360"/>
        <v>4.4584370080739347E-3</v>
      </c>
      <c r="AS268" s="86">
        <f t="shared" si="2360"/>
        <v>4.5735073018409681E-3</v>
      </c>
      <c r="AT268" s="86">
        <f t="shared" si="2360"/>
        <v>3.9061189151459426E-3</v>
      </c>
      <c r="AU268" s="86">
        <f t="shared" si="2360"/>
        <v>2.1479667832279593E-3</v>
      </c>
      <c r="AV268" s="86">
        <f t="shared" si="2360"/>
        <v>3.1910421523292693E-3</v>
      </c>
      <c r="AW268" s="86">
        <f t="shared" si="2360"/>
        <v>2.8844264549848708E-3</v>
      </c>
      <c r="AX268" s="86">
        <f t="shared" si="2360"/>
        <v>2.9140906749098401E-3</v>
      </c>
      <c r="AY268" s="86">
        <f t="shared" si="2360"/>
        <v>2.6089112646751262E-3</v>
      </c>
      <c r="AZ268" s="86">
        <f t="shared" si="2360"/>
        <v>3.3215821327410187E-3</v>
      </c>
      <c r="BA268" s="86">
        <f t="shared" si="2360"/>
        <v>1.8081525180815249E-3</v>
      </c>
      <c r="BB268" s="86">
        <f t="shared" si="2360"/>
        <v>2.8033387424329283E-3</v>
      </c>
      <c r="BC268" s="86">
        <f t="shared" si="2360"/>
        <v>1.7986799518319608E-3</v>
      </c>
      <c r="BD268" s="86">
        <f t="shared" si="2360"/>
        <v>2.0738682948944253E-3</v>
      </c>
      <c r="BE268" s="86">
        <f t="shared" si="2360"/>
        <v>1.3748754246473698E-3</v>
      </c>
      <c r="BF268" s="86">
        <f t="shared" si="2360"/>
        <v>2.1187474980228277E-3</v>
      </c>
      <c r="BG268" s="86">
        <f t="shared" si="2360"/>
        <v>1.2708964708182621E-3</v>
      </c>
      <c r="BH268" s="86">
        <f t="shared" si="2360"/>
        <v>4.4956942646479422E-3</v>
      </c>
      <c r="BI268" s="86">
        <f t="shared" si="2360"/>
        <v>8.8685999276032663E-3</v>
      </c>
      <c r="BJ268" s="86">
        <f t="shared" si="2360"/>
        <v>5.1530899148746392E-3</v>
      </c>
      <c r="BK268" s="86">
        <f t="shared" si="2360"/>
        <v>1.6503391107761869E-3</v>
      </c>
      <c r="BL268" s="86">
        <f t="shared" si="2360"/>
        <v>3.4741268970561348E-3</v>
      </c>
      <c r="BM268" s="86">
        <f t="shared" si="2360"/>
        <v>3.8391702568157E-3</v>
      </c>
      <c r="BN268" s="86">
        <f t="shared" si="2360"/>
        <v>2.8952493982188237E-3</v>
      </c>
      <c r="BO268" s="86">
        <f t="shared" si="2360"/>
        <v>5.181427051367064E-3</v>
      </c>
      <c r="BP268" s="86">
        <f t="shared" si="2360"/>
        <v>3.6030113981668668E-3</v>
      </c>
      <c r="BQ268" s="86">
        <f t="shared" si="2360"/>
        <v>1.604299522720892E-3</v>
      </c>
      <c r="BR268" s="86">
        <f t="shared" si="2360"/>
        <v>3.9296139022348261E-3</v>
      </c>
      <c r="BS268" s="86">
        <f t="shared" si="2360"/>
        <v>1.9605646426170738E-3</v>
      </c>
      <c r="BT268" s="86">
        <f t="shared" si="2360"/>
        <v>3.6943188007672813E-3</v>
      </c>
      <c r="BU268" s="86">
        <f t="shared" si="2360"/>
        <v>2.0182984963118661E-3</v>
      </c>
      <c r="BV268" s="86">
        <f t="shared" si="2360"/>
        <v>4.6914024705802942E-3</v>
      </c>
      <c r="BW268" s="86">
        <f t="shared" si="2360"/>
        <v>1.4378612716763005E-3</v>
      </c>
      <c r="BX268" s="86">
        <f t="shared" si="2360"/>
        <v>3.8114411092763922E-3</v>
      </c>
      <c r="BY268" s="86">
        <f t="shared" si="2360"/>
        <v>3.2060071499444062E-3</v>
      </c>
      <c r="BZ268" s="86">
        <f t="shared" si="2360"/>
        <v>4.2072510822510822E-3</v>
      </c>
      <c r="CA268" s="86">
        <f t="shared" si="2360"/>
        <v>3.0090539486764328E-3</v>
      </c>
      <c r="CB268" s="86">
        <f t="shared" si="2360"/>
        <v>4.9940028350234427E-3</v>
      </c>
      <c r="CC268" s="86">
        <f t="shared" si="2360"/>
        <v>5.1528723550111968E-3</v>
      </c>
      <c r="CD268" s="86">
        <f t="shared" si="2360"/>
        <v>4.9466080402010048E-3</v>
      </c>
      <c r="CE268" s="86">
        <f t="shared" si="2360"/>
        <v>1.9812965604691711E-3</v>
      </c>
      <c r="CF268" s="86">
        <f t="shared" si="2360"/>
        <v>5.1773312308379567E-3</v>
      </c>
      <c r="CG268" s="86">
        <f t="shared" si="2360"/>
        <v>4.9982126237073723E-3</v>
      </c>
      <c r="CH268" s="86">
        <f t="shared" si="2360"/>
        <v>4.8830009480740674E-3</v>
      </c>
      <c r="CI268" s="86">
        <f t="shared" si="2360"/>
        <v>3.4352482366741314E-3</v>
      </c>
      <c r="CJ268" s="86">
        <f t="shared" si="2360"/>
        <v>8.5033144181449489E-3</v>
      </c>
      <c r="CK268" s="87">
        <f t="shared" si="2360"/>
        <v>1.0124496461799484E-2</v>
      </c>
      <c r="CL268" s="86">
        <f t="shared" ref="CL268" si="2361">CL52/CL24</f>
        <v>4.5418928236047491E-3</v>
      </c>
      <c r="CM268" s="87">
        <f t="shared" si="2360"/>
        <v>3.8766086592968317E-4</v>
      </c>
      <c r="CN268" s="87">
        <f t="shared" si="2360"/>
        <v>2.4581701630421401E-3</v>
      </c>
      <c r="CO268" s="87">
        <f t="shared" si="2360"/>
        <v>8.1180411706356977E-3</v>
      </c>
      <c r="CP268" s="87">
        <f t="shared" si="2360"/>
        <v>3.8920377350831273E-3</v>
      </c>
      <c r="CQ268" s="87">
        <f t="shared" si="2360"/>
        <v>7.8260382988441346E-4</v>
      </c>
      <c r="CR268" s="87">
        <f t="shared" si="2360"/>
        <v>4.927793056006706E-3</v>
      </c>
      <c r="CS268" s="87">
        <f t="shared" si="2360"/>
        <v>1.1650831675411748E-2</v>
      </c>
      <c r="CT268" s="87">
        <f t="shared" si="2360"/>
        <v>5.803072196444767E-3</v>
      </c>
      <c r="CU268" s="87">
        <f t="shared" si="2360"/>
        <v>1.8082657038896834E-3</v>
      </c>
      <c r="CV268" s="87">
        <f t="shared" si="2360"/>
        <v>6.6830831409051654E-3</v>
      </c>
      <c r="CW268" s="87">
        <f t="shared" si="2360"/>
        <v>1.3003250701593373E-2</v>
      </c>
      <c r="CX268" s="87">
        <f t="shared" ref="CX268:DB268" si="2362">CX52/CX24</f>
        <v>6.6461112189899942E-3</v>
      </c>
      <c r="CY268" s="87">
        <f t="shared" si="2362"/>
        <v>2.6993419602123468E-3</v>
      </c>
      <c r="CZ268" s="87">
        <f t="shared" si="2362"/>
        <v>8.1843511162978146E-3</v>
      </c>
      <c r="DA268" s="87">
        <f t="shared" si="2362"/>
        <v>1.4148523670945145E-2</v>
      </c>
      <c r="DB268" s="87">
        <f t="shared" si="2362"/>
        <v>7.3616661345100379E-3</v>
      </c>
      <c r="DE268" s="141"/>
      <c r="DF268" s="86">
        <v>-1.1026023447824496E-2</v>
      </c>
    </row>
    <row r="269" spans="1:110" s="86" customFormat="1" x14ac:dyDescent="0.2">
      <c r="A269" s="86" t="s">
        <v>433</v>
      </c>
      <c r="B269" s="86">
        <f>B48/B24</f>
        <v>1.7326592923225342E-2</v>
      </c>
      <c r="C269" s="86">
        <f>C48/C24</f>
        <v>1.5913146252402897E-2</v>
      </c>
      <c r="D269" s="86">
        <f>D48/D24</f>
        <v>1.3157119253716609E-2</v>
      </c>
      <c r="F269" s="86">
        <f t="shared" ref="F269:AE269" si="2363">F48/F24</f>
        <v>8.556295802927015E-3</v>
      </c>
      <c r="G269" s="86">
        <f t="shared" si="2363"/>
        <v>6.9662026008784558E-3</v>
      </c>
      <c r="H269" s="86">
        <f t="shared" si="2363"/>
        <v>5.9911457525513795E-3</v>
      </c>
      <c r="I269" s="86">
        <f t="shared" si="2363"/>
        <v>5.1135468647444393E-3</v>
      </c>
      <c r="J269" s="86">
        <f t="shared" si="2363"/>
        <v>4.7928747678221235E-3</v>
      </c>
      <c r="K269" s="86">
        <f t="shared" si="2363"/>
        <v>4.4772827400829836E-3</v>
      </c>
      <c r="L269" s="86">
        <f t="shared" si="2363"/>
        <v>4.0216670322768197E-3</v>
      </c>
      <c r="M269" s="86">
        <f t="shared" si="2363"/>
        <v>6.5066426743534958E-3</v>
      </c>
      <c r="N269" s="86">
        <f t="shared" si="2363"/>
        <v>4.9861447920010208E-3</v>
      </c>
      <c r="O269" s="86">
        <f t="shared" si="2363"/>
        <v>4.6848916172473739E-3</v>
      </c>
      <c r="P269" s="86">
        <f t="shared" si="2363"/>
        <v>5.3875687401969035E-3</v>
      </c>
      <c r="Q269" s="86">
        <f t="shared" si="2363"/>
        <v>4.5847383613511787E-3</v>
      </c>
      <c r="R269" s="86">
        <f t="shared" si="2363"/>
        <v>4.0114716604703511E-3</v>
      </c>
      <c r="S269" s="86">
        <f t="shared" si="2363"/>
        <v>3.7881911115190572E-3</v>
      </c>
      <c r="T269" s="86">
        <f t="shared" si="2363"/>
        <v>3.3660533936359415E-3</v>
      </c>
      <c r="U269" s="86">
        <f t="shared" si="2363"/>
        <v>4.1733698263794585E-3</v>
      </c>
      <c r="V269" s="86">
        <f t="shared" si="2363"/>
        <v>4.4853079364407114E-3</v>
      </c>
      <c r="W269" s="86">
        <f t="shared" si="2363"/>
        <v>4.6959776670090552E-3</v>
      </c>
      <c r="X269" s="86">
        <f t="shared" si="2363"/>
        <v>4.1710663591180749E-3</v>
      </c>
      <c r="Y269" s="86">
        <f t="shared" si="2363"/>
        <v>3.8129315987792856E-3</v>
      </c>
      <c r="Z269" s="86">
        <f t="shared" si="2363"/>
        <v>4.0083592912120384E-3</v>
      </c>
      <c r="AA269" s="86">
        <f t="shared" ref="AA269" si="2364">AA48/AA24</f>
        <v>5.9040331355961944E-3</v>
      </c>
      <c r="AB269" s="87">
        <f t="shared" si="2363"/>
        <v>5.3194424498063178E-3</v>
      </c>
      <c r="AC269" s="87">
        <f t="shared" si="2363"/>
        <v>4.1776615808416752E-3</v>
      </c>
      <c r="AD269" s="87">
        <f t="shared" si="2363"/>
        <v>3.2809559364019494E-3</v>
      </c>
      <c r="AE269" s="87">
        <f t="shared" si="2363"/>
        <v>2.5767218450572595E-3</v>
      </c>
      <c r="AL269" s="86">
        <f t="shared" ref="AL269:CW269" si="2365">AL48/AL24</f>
        <v>3.7567856941600765E-3</v>
      </c>
      <c r="AM269" s="86">
        <f t="shared" si="2365"/>
        <v>3.7734672238508076E-3</v>
      </c>
      <c r="AN269" s="86">
        <f t="shared" si="2365"/>
        <v>5.5065569674141394E-3</v>
      </c>
      <c r="AO269" s="86">
        <f t="shared" si="2365"/>
        <v>5.3242808647489719E-3</v>
      </c>
      <c r="AP269" s="86">
        <f t="shared" si="2365"/>
        <v>4.703276570436352E-3</v>
      </c>
      <c r="AQ269" s="86">
        <f t="shared" si="2365"/>
        <v>3.4483935948649664E-3</v>
      </c>
      <c r="AR269" s="86">
        <f t="shared" si="2365"/>
        <v>7.007566140252882E-3</v>
      </c>
      <c r="AS269" s="86">
        <f t="shared" si="2365"/>
        <v>7.3281254928348385E-3</v>
      </c>
      <c r="AT269" s="86">
        <f t="shared" si="2365"/>
        <v>5.4430626119988989E-3</v>
      </c>
      <c r="AU269" s="86">
        <f t="shared" si="2365"/>
        <v>3.7717273872157624E-3</v>
      </c>
      <c r="AV269" s="86">
        <f t="shared" si="2365"/>
        <v>6.1241258073145566E-3</v>
      </c>
      <c r="AW269" s="86">
        <f t="shared" si="2365"/>
        <v>5.124376154360042E-3</v>
      </c>
      <c r="AX269" s="86">
        <f t="shared" si="2365"/>
        <v>4.0357204190279916E-3</v>
      </c>
      <c r="AY269" s="86">
        <f t="shared" si="2365"/>
        <v>3.530654707359933E-3</v>
      </c>
      <c r="AZ269" s="86">
        <f t="shared" si="2365"/>
        <v>6.4393862205286007E-3</v>
      </c>
      <c r="BA269" s="86">
        <f t="shared" si="2365"/>
        <v>4.9661700496616999E-3</v>
      </c>
      <c r="BB269" s="86">
        <f t="shared" si="2365"/>
        <v>2.7304616520750532E-3</v>
      </c>
      <c r="BC269" s="86">
        <f t="shared" si="2365"/>
        <v>3.1095822896077966E-3</v>
      </c>
      <c r="BD269" s="86">
        <f t="shared" si="2365"/>
        <v>5.8743525190265355E-3</v>
      </c>
      <c r="BE269" s="86">
        <f t="shared" si="2365"/>
        <v>4.4156051997934053E-3</v>
      </c>
      <c r="BF269" s="86">
        <f t="shared" si="2365"/>
        <v>2.9633173532254758E-3</v>
      </c>
      <c r="BG269" s="86">
        <f t="shared" si="2365"/>
        <v>2.765247266175999E-3</v>
      </c>
      <c r="BH269" s="86">
        <f t="shared" si="2365"/>
        <v>4.186131592277818E-3</v>
      </c>
      <c r="BI269" s="86">
        <f t="shared" si="2365"/>
        <v>4.1292952043867062E-3</v>
      </c>
      <c r="BJ269" s="86">
        <f t="shared" si="2365"/>
        <v>2.8746776288999629E-3</v>
      </c>
      <c r="BK269" s="86">
        <f t="shared" si="2365"/>
        <v>2.908816880180859E-3</v>
      </c>
      <c r="BL269" s="86">
        <f t="shared" si="2365"/>
        <v>5.6401817235607688E-3</v>
      </c>
      <c r="BM269" s="86">
        <f t="shared" si="2365"/>
        <v>5.3734983350195303E-3</v>
      </c>
      <c r="BN269" s="86">
        <f t="shared" si="2365"/>
        <v>3.9241396802304719E-3</v>
      </c>
      <c r="BO269" s="86">
        <f t="shared" si="2365"/>
        <v>6.3379955896186412E-3</v>
      </c>
      <c r="BP269" s="86">
        <f t="shared" si="2365"/>
        <v>5.2029717092289185E-3</v>
      </c>
      <c r="BQ269" s="86">
        <f t="shared" si="2365"/>
        <v>4.2162996831508438E-3</v>
      </c>
      <c r="BR269" s="86">
        <f t="shared" si="2365"/>
        <v>3.3450744062210082E-3</v>
      </c>
      <c r="BS269" s="86">
        <f t="shared" si="2365"/>
        <v>4.8229890208380012E-3</v>
      </c>
      <c r="BT269" s="86">
        <f t="shared" si="2365"/>
        <v>5.6243635588604443E-3</v>
      </c>
      <c r="BU269" s="86">
        <f t="shared" si="2365"/>
        <v>5.408147904482072E-3</v>
      </c>
      <c r="BV269" s="86">
        <f t="shared" si="2365"/>
        <v>3.5438651756182073E-3</v>
      </c>
      <c r="BW269" s="86">
        <f t="shared" si="2365"/>
        <v>3.0671965317919077E-3</v>
      </c>
      <c r="BX269" s="86">
        <f t="shared" si="2365"/>
        <v>5.485308421362166E-3</v>
      </c>
      <c r="BY269" s="86">
        <f t="shared" si="2365"/>
        <v>5.5095457242434979E-3</v>
      </c>
      <c r="BZ269" s="86">
        <f t="shared" si="2365"/>
        <v>3.5105519480519479E-3</v>
      </c>
      <c r="CA269" s="86">
        <f t="shared" si="2365"/>
        <v>3.3513301149452656E-3</v>
      </c>
      <c r="CB269" s="86">
        <f t="shared" si="2365"/>
        <v>5.0943190491767529E-3</v>
      </c>
      <c r="CC269" s="86">
        <f t="shared" si="2365"/>
        <v>4.8900872903432204E-3</v>
      </c>
      <c r="CD269" s="86">
        <f t="shared" si="2365"/>
        <v>2.809977919902543E-3</v>
      </c>
      <c r="CE269" s="86">
        <f t="shared" si="2365"/>
        <v>2.7291090058565097E-3</v>
      </c>
      <c r="CF269" s="86">
        <f t="shared" si="2365"/>
        <v>6.2731233128810928E-3</v>
      </c>
      <c r="CG269" s="86">
        <f t="shared" si="2365"/>
        <v>5.7550296124774967E-3</v>
      </c>
      <c r="CH269" s="86">
        <f t="shared" si="2365"/>
        <v>2.9470001426306117E-3</v>
      </c>
      <c r="CI269" s="86">
        <f t="shared" si="2365"/>
        <v>4.6895073859106583E-3</v>
      </c>
      <c r="CJ269" s="86">
        <f t="shared" si="2365"/>
        <v>1.0403353611778542E-2</v>
      </c>
      <c r="CK269" s="87">
        <f t="shared" si="2365"/>
        <v>6.714928177623202E-3</v>
      </c>
      <c r="CL269" s="86">
        <f t="shared" ref="CL269" si="2366">CL48/CL24</f>
        <v>4.2125032990099898E-3</v>
      </c>
      <c r="CM269" s="87">
        <f t="shared" si="2365"/>
        <v>4.9948886549322745E-3</v>
      </c>
      <c r="CN269" s="87">
        <f t="shared" si="2365"/>
        <v>8.1702327566260669E-3</v>
      </c>
      <c r="CO269" s="87">
        <f t="shared" si="2365"/>
        <v>6.0883650543697432E-3</v>
      </c>
      <c r="CP269" s="87">
        <f t="shared" si="2365"/>
        <v>3.7288346577995699E-3</v>
      </c>
      <c r="CQ269" s="87">
        <f t="shared" si="2365"/>
        <v>3.9227709729338801E-3</v>
      </c>
      <c r="CR269" s="87">
        <f t="shared" si="2365"/>
        <v>6.4165498200161302E-3</v>
      </c>
      <c r="CS269" s="87">
        <f t="shared" si="2365"/>
        <v>4.7815403621305486E-3</v>
      </c>
      <c r="CT269" s="87">
        <f t="shared" si="2365"/>
        <v>2.9284665523108292E-3</v>
      </c>
      <c r="CU269" s="87">
        <f t="shared" si="2365"/>
        <v>3.0807758028594668E-3</v>
      </c>
      <c r="CV269" s="87">
        <f t="shared" si="2365"/>
        <v>5.0392825784991765E-3</v>
      </c>
      <c r="CW269" s="87">
        <f t="shared" si="2365"/>
        <v>3.7552163890491761E-3</v>
      </c>
      <c r="CX269" s="87">
        <f t="shared" ref="CX269:DB269" si="2367">CX48/CX24</f>
        <v>2.2998918254702192E-3</v>
      </c>
      <c r="CY269" s="87">
        <f t="shared" si="2367"/>
        <v>2.4195089677605738E-3</v>
      </c>
      <c r="CZ269" s="87">
        <f t="shared" si="2367"/>
        <v>3.9576360533738458E-3</v>
      </c>
      <c r="DA269" s="87">
        <f t="shared" si="2367"/>
        <v>2.9491856306949902E-3</v>
      </c>
      <c r="DB269" s="87">
        <f t="shared" si="2367"/>
        <v>1.8062362381058561E-3</v>
      </c>
      <c r="DE269" s="141"/>
      <c r="DF269" s="86">
        <v>3.8179528506968189E-3</v>
      </c>
    </row>
    <row r="270" spans="1:110" s="85" customFormat="1" x14ac:dyDescent="0.2">
      <c r="AB270" s="58"/>
      <c r="AC270" s="58"/>
      <c r="AD270" s="58"/>
      <c r="AE270" s="58"/>
      <c r="CK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E270" s="143"/>
    </row>
  </sheetData>
  <sortState xmlns:xlrd2="http://schemas.microsoft.com/office/spreadsheetml/2017/richdata2" ref="A36:DE41">
    <sortCondition ref="A36:A4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100575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Voltas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1611.57</v>
      </c>
      <c r="D6">
        <f>_xll.EQNXTDZ($A$1,$B6,D$1,$B$1)</f>
        <v>1160.0999999999999</v>
      </c>
      <c r="E6">
        <f>_xll.EQNXTDZ($A$1,$B6,E$1,$B$1)</f>
        <v>1150.17</v>
      </c>
      <c r="F6">
        <f>_xll.EQNXTDZ($A$1,$B6,F$1,$B$1)</f>
        <v>1592.22</v>
      </c>
      <c r="G6">
        <f>_xll.EQNXTDZ($A$1,$B6,G$1,$B$1)</f>
        <v>1601.78</v>
      </c>
      <c r="H6">
        <f>_xll.EQNXTDZ($A$1,$B6,H$1,$B$1)</f>
        <v>1076.53</v>
      </c>
      <c r="I6">
        <f>_xll.EQNXTDZ($A$1,$B6,I$1,$B$1)</f>
        <v>1114.99</v>
      </c>
      <c r="J6">
        <f>_xll.EQNXTDZ($A$1,$B6,J$1,$B$1)</f>
        <v>1450.36</v>
      </c>
      <c r="K6">
        <f>_xll.EQNXTDZ($A$1,$B6,K$1,$B$1)</f>
        <v>1752.31</v>
      </c>
      <c r="L6">
        <f>_xll.EQNXTDZ($A$1,$B6,L$1,$B$1)</f>
        <v>968.92</v>
      </c>
      <c r="M6">
        <f>_xll.EQNXTDZ($A$1,$B6,M$1,$B$1)</f>
        <v>938.97</v>
      </c>
      <c r="N6">
        <f>_xll.EQNXTDZ($A$1,$B6,N$1,$B$1)</f>
        <v>1484.09</v>
      </c>
      <c r="O6">
        <f>_xll.EQNXTDZ($A$1,$B6,O$1,$B$1)</f>
        <v>1561.17</v>
      </c>
      <c r="P6">
        <f>_xll.EQNXTDZ($A$1,$B6,P$1,$B$1)</f>
        <v>1043.6600000000001</v>
      </c>
      <c r="Q6">
        <f>_xll.EQNXTDZ($A$1,$B6,Q$1,$B$1)</f>
        <v>1265.58</v>
      </c>
      <c r="R6">
        <f>_xll.EQNXTDZ($A$1,$B6,R$1,$B$1)</f>
        <v>1849.41</v>
      </c>
      <c r="S6">
        <f>_xll.EQNXTDZ($A$1,$B6,S$1,$B$1)</f>
        <v>1844.81</v>
      </c>
      <c r="T6">
        <f>_xll.EQNXTDZ($A$1,$B6,T$1,$B$1)</f>
        <v>972.29</v>
      </c>
      <c r="U6">
        <f>_xll.EQNXTDZ($A$1,$B6,U$1,$B$1)</f>
        <v>1194.17</v>
      </c>
      <c r="V6">
        <f>_xll.EQNXTDZ($A$1,$B6,V$1,$B$1)</f>
        <v>2021.51</v>
      </c>
      <c r="W6">
        <f>_xll.EQNXTDZ($A$1,$B6,W$1,$B$1)</f>
        <v>1962.37</v>
      </c>
      <c r="X6">
        <f>_xll.EQNXTDZ($A$1,$B6,X$1,$B$1)</f>
        <v>1031.6600000000001</v>
      </c>
      <c r="Y6">
        <f>_xll.EQNXTDZ($A$1,$B6,Y$1,$B$1)</f>
        <v>1364.95</v>
      </c>
      <c r="Z6">
        <f>_xll.EQNXTDZ($A$1,$B6,Z$1,$B$1)</f>
        <v>2021.3</v>
      </c>
      <c r="AA6">
        <f>_xll.EQNXTDZ($A$1,$B6,AA$1,$B$1)</f>
        <v>2134.41</v>
      </c>
      <c r="AB6">
        <f>_xll.EQNXTDZ($A$1,$B6,AB$1,$B$1)</f>
        <v>1414.7</v>
      </c>
      <c r="AC6">
        <f>_xll.EQNXTDZ($A$1,$B6,AC$1,$B$1)</f>
        <v>1483.85</v>
      </c>
      <c r="AD6">
        <f>_xll.EQNXTDZ($A$1,$B6,AD$1,$B$1)</f>
        <v>2051.63</v>
      </c>
      <c r="AE6">
        <f>_xll.EQNXTDZ($A$1,$B6,AE$1,$B$1)</f>
        <v>2646.67</v>
      </c>
      <c r="AF6">
        <f>_xll.EQNXTDZ($A$1,$B6,AF$1,$B$1)</f>
        <v>1415.02</v>
      </c>
      <c r="AG6">
        <f>_xll.EQNXTDZ($A$1,$B6,AG$1,$B$1)</f>
        <v>1487.07</v>
      </c>
      <c r="AH6">
        <f>_xll.EQNXTDZ($A$1,$B6,AH$1,$B$1)</f>
        <v>2078.39</v>
      </c>
      <c r="AI6">
        <f>_xll.EQNXTDZ($A$1,$B6,AI$1,$B$1)</f>
        <v>1270.76</v>
      </c>
      <c r="AJ6">
        <f>_xll.EQNXTDZ($A$1,$B6,AJ$1,$B$1)</f>
        <v>1587.55</v>
      </c>
      <c r="AK6">
        <f>_xll.EQNXTDZ($A$1,$B6,AK$1,$B$1)</f>
        <v>1970.4</v>
      </c>
      <c r="AL6">
        <f>_xll.EQNXTDZ($A$1,$B6,AL$1,$B$1)</f>
        <v>2627.84</v>
      </c>
      <c r="AM6">
        <f>_xll.EQNXTDZ($A$1,$B6,AM$1,$B$1)</f>
        <v>1766.59</v>
      </c>
      <c r="AN6">
        <f>_xll.EQNXTDZ($A$1,$B6,AN$1,$B$1)</f>
        <v>1668.7</v>
      </c>
      <c r="AO6">
        <f>_xll.EQNXTDZ($A$1,$B6,AO$1,$B$1)</f>
        <v>1772.06</v>
      </c>
      <c r="AP6">
        <f>_xll.EQNXTDZ($A$1,$B6,AP$1,$B$1)</f>
        <v>2633.72</v>
      </c>
      <c r="AQ6">
        <f>_xll.EQNXTDZ($A$1,$B6,AQ$1,$B$1)</f>
        <v>2741.22</v>
      </c>
      <c r="AR6">
        <f>_xll.EQNXTDZ($A$1,$B6,AR$1,$B$1)</f>
        <v>1739.12</v>
      </c>
      <c r="AS6">
        <f>_xll.EQNXTDZ($A$1,$B6,AS$1,$B$1)</f>
        <v>1982.27</v>
      </c>
      <c r="AT6">
        <f>_xll.EQNXTDZ($A$1,$B6,AT$1,$B$1)</f>
        <v>2936.76</v>
      </c>
      <c r="AU6">
        <f>_xll.EQNXTDZ($A$1,$B6,AU$1,$B$1)</f>
        <v>3335.34</v>
      </c>
      <c r="AV6">
        <f>_xll.EQNXTDZ($A$1,$B6,AV$1,$B$1)</f>
        <v>2267.4299999999998</v>
      </c>
      <c r="AW6">
        <f>_xll.EQNXTDZ($A$1,$B6,AW$1,$B$1)</f>
        <v>2612.29</v>
      </c>
      <c r="AX6">
        <f>_xll.EQNXTDZ($A$1,$B6,AX$1,$B$1)</f>
        <v>4192.3</v>
      </c>
      <c r="AY6">
        <f>_xll.EQNXTDZ($A$1,$B6,AY$1,$B$1)</f>
        <v>4903.91</v>
      </c>
      <c r="AZ6">
        <f>_xll.EQNXTDZ($A$1,$B6,AZ$1,$B$1)</f>
        <v>2601.15</v>
      </c>
      <c r="BA6">
        <f>_xll.EQNXTDZ($A$1,$B6,BA$1,$B$1)</f>
        <v>3087.36</v>
      </c>
      <c r="BB6">
        <f>_xll.EQNXTDZ($A$1,$B6,BB$1,$B$1)</f>
        <v>4728.04</v>
      </c>
      <c r="BC6">
        <f>_xll.EQNXTDZ($A$1,$B6,BC$1,$B$1)</f>
        <v>3912.29</v>
      </c>
      <c r="BD6">
        <f>_xll.EQNXTDZ($A$1,$B6,BD$1,$B$1)</f>
        <v>2314.39</v>
      </c>
      <c r="BE6">
        <f>_xll.EQNXTDZ($A$1,$B6,BE$1,$B$1)</f>
        <v>3052.77</v>
      </c>
      <c r="BF6">
        <f>_xll.EQNXTDZ($A$1,$B6,BF$1,$B$1)</f>
        <v>4843.54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5.81</v>
      </c>
      <c r="P7">
        <f>_xll.EQNXTDZ($A$1,$B7,P$1,$B$1)</f>
        <v>6.61</v>
      </c>
      <c r="Q7">
        <f>_xll.EQNXTDZ($A$1,$B7,Q$1,$B$1)</f>
        <v>6.43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5.25</v>
      </c>
      <c r="D8">
        <f>_xll.EQNXTDZ($A$1,$B8,D$1,$B$1)</f>
        <v>4.3899999999999997</v>
      </c>
      <c r="E8">
        <f>_xll.EQNXTDZ($A$1,$B8,E$1,$B$1)</f>
        <v>2.37</v>
      </c>
      <c r="F8">
        <f>_xll.EQNXTDZ($A$1,$B8,F$1,$B$1)</f>
        <v>4.8899999999999997</v>
      </c>
      <c r="G8">
        <f>_xll.EQNXTDZ($A$1,$B8,G$1,$B$1)</f>
        <v>1.52</v>
      </c>
      <c r="H8">
        <f>_xll.EQNXTDZ($A$1,$B8,H$1,$B$1)</f>
        <v>4</v>
      </c>
      <c r="I8">
        <f>_xll.EQNXTDZ($A$1,$B8,I$1,$B$1)</f>
        <v>4.41</v>
      </c>
      <c r="J8">
        <f>_xll.EQNXTDZ($A$1,$B8,J$1,$B$1)</f>
        <v>12.45</v>
      </c>
      <c r="K8">
        <f>_xll.EQNXTDZ($A$1,$B8,K$1,$B$1)</f>
        <v>5.03</v>
      </c>
      <c r="L8">
        <f>_xll.EQNXTDZ($A$1,$B8,L$1,$B$1)</f>
        <v>15.73</v>
      </c>
      <c r="M8">
        <f>_xll.EQNXTDZ($A$1,$B8,M$1,$B$1)</f>
        <v>12.16</v>
      </c>
      <c r="N8">
        <f>_xll.EQNXTDZ($A$1,$B8,N$1,$B$1)</f>
        <v>5.88</v>
      </c>
      <c r="O8">
        <f>_xll.EQNXTDZ($A$1,$B8,O$1,$B$1)</f>
        <v>3.1</v>
      </c>
      <c r="P8">
        <f>_xll.EQNXTDZ($A$1,$B8,P$1,$B$1)</f>
        <v>3.02</v>
      </c>
      <c r="Q8">
        <f>_xll.EQNXTDZ($A$1,$B8,Q$1,$B$1)</f>
        <v>6.77</v>
      </c>
      <c r="R8">
        <f>_xll.EQNXTDZ($A$1,$B8,R$1,$B$1)</f>
        <v>13.95</v>
      </c>
      <c r="S8">
        <f>_xll.EQNXTDZ($A$1,$B8,S$1,$B$1)</f>
        <v>10.37</v>
      </c>
      <c r="T8">
        <f>_xll.EQNXTDZ($A$1,$B8,T$1,$B$1)</f>
        <v>9.17</v>
      </c>
      <c r="U8">
        <f>_xll.EQNXTDZ($A$1,$B8,U$1,$B$1)</f>
        <v>5.95</v>
      </c>
      <c r="V8">
        <f>_xll.EQNXTDZ($A$1,$B8,V$1,$B$1)</f>
        <v>36.75</v>
      </c>
      <c r="W8">
        <f>_xll.EQNXTDZ($A$1,$B8,W$1,$B$1)</f>
        <v>5.74</v>
      </c>
      <c r="X8">
        <f>_xll.EQNXTDZ($A$1,$B8,X$1,$B$1)</f>
        <v>5.05</v>
      </c>
      <c r="Y8">
        <f>_xll.EQNXTDZ($A$1,$B8,Y$1,$B$1)</f>
        <v>9.7200000000000006</v>
      </c>
      <c r="Z8">
        <f>_xll.EQNXTDZ($A$1,$B8,Z$1,$B$1)</f>
        <v>27.08</v>
      </c>
      <c r="AA8">
        <f>_xll.EQNXTDZ($A$1,$B8,AA$1,$B$1)</f>
        <v>13.68</v>
      </c>
      <c r="AB8">
        <f>_xll.EQNXTDZ($A$1,$B8,AB$1,$B$1)</f>
        <v>6.66</v>
      </c>
      <c r="AC8">
        <f>_xll.EQNXTDZ($A$1,$B8,AC$1,$B$1)</f>
        <v>7.93</v>
      </c>
      <c r="AD8">
        <f>_xll.EQNXTDZ($A$1,$B8,AD$1,$B$1)</f>
        <v>11.21</v>
      </c>
      <c r="AE8">
        <f>_xll.EQNXTDZ($A$1,$B8,AE$1,$B$1)</f>
        <v>7.33</v>
      </c>
      <c r="AF8">
        <f>_xll.EQNXTDZ($A$1,$B8,AF$1,$B$1)</f>
        <v>6.92</v>
      </c>
      <c r="AG8">
        <f>_xll.EQNXTDZ($A$1,$B8,AG$1,$B$1)</f>
        <v>5.44</v>
      </c>
      <c r="AH8">
        <f>_xll.EQNXTDZ($A$1,$B8,AH$1,$B$1)</f>
        <v>11.24</v>
      </c>
      <c r="AI8">
        <f>_xll.EQNXTDZ($A$1,$B8,AI$1,$B$1)</f>
        <v>26.18</v>
      </c>
      <c r="AJ8">
        <f>_xll.EQNXTDZ($A$1,$B8,AJ$1,$B$1)</f>
        <v>24.99</v>
      </c>
      <c r="AK8">
        <f>_xll.EQNXTDZ($A$1,$B8,AK$1,$B$1)</f>
        <v>24.24</v>
      </c>
      <c r="AL8">
        <f>_xll.EQNXTDZ($A$1,$B8,AL$1,$B$1)</f>
        <v>23.82</v>
      </c>
      <c r="AM8">
        <f>_xll.EQNXTDZ($A$1,$B8,AM$1,$B$1)</f>
        <v>18.61</v>
      </c>
      <c r="AN8">
        <f>_xll.EQNXTDZ($A$1,$B8,AN$1,$B$1)</f>
        <v>20.38</v>
      </c>
      <c r="AO8">
        <f>_xll.EQNXTDZ($A$1,$B8,AO$1,$B$1)</f>
        <v>21.53</v>
      </c>
      <c r="AP8">
        <f>_xll.EQNXTDZ($A$1,$B8,AP$1,$B$1)</f>
        <v>32.86</v>
      </c>
      <c r="AQ8">
        <f>_xll.EQNXTDZ($A$1,$B8,AQ$1,$B$1)</f>
        <v>26.78</v>
      </c>
      <c r="AR8">
        <f>_xll.EQNXTDZ($A$1,$B8,AR$1,$B$1)</f>
        <v>29.24</v>
      </c>
      <c r="AS8">
        <f>_xll.EQNXTDZ($A$1,$B8,AS$1,$B$1)</f>
        <v>23.34</v>
      </c>
      <c r="AT8">
        <f>_xll.EQNXTDZ($A$1,$B8,AT$1,$B$1)</f>
        <v>20.04</v>
      </c>
      <c r="AU8">
        <f>_xll.EQNXTDZ($A$1,$B8,AU$1,$B$1)</f>
        <v>24.52</v>
      </c>
      <c r="AV8">
        <f>_xll.EQNXTDZ($A$1,$B8,AV$1,$B$1)</f>
        <v>25.32</v>
      </c>
      <c r="AW8">
        <f>_xll.EQNXTDZ($A$1,$B8,AW$1,$B$1)</f>
        <v>13.43</v>
      </c>
      <c r="AX8">
        <f>_xll.EQNXTDZ($A$1,$B8,AX$1,$B$1)</f>
        <v>10.58</v>
      </c>
      <c r="AY8">
        <f>_xll.EQNXTDZ($A$1,$B8,AY$1,$B$1)</f>
        <v>17.11</v>
      </c>
      <c r="AZ8">
        <f>_xll.EQNXTDZ($A$1,$B8,AZ$1,$B$1)</f>
        <v>17.96</v>
      </c>
      <c r="BA8">
        <f>_xll.EQNXTDZ($A$1,$B8,BA$1,$B$1)</f>
        <v>17.75</v>
      </c>
      <c r="BB8">
        <f>_xll.EQNXTDZ($A$1,$B8,BB$1,$B$1)</f>
        <v>39.520000000000003</v>
      </c>
      <c r="BC8">
        <f>_xll.EQNXTDZ($A$1,$B8,BC$1,$B$1)</f>
        <v>26.29</v>
      </c>
      <c r="BD8">
        <f>_xll.EQNXTDZ($A$1,$B8,BD$1,$B$1)</f>
        <v>32.93</v>
      </c>
      <c r="BE8">
        <f>_xll.EQNXTDZ($A$1,$B8,BE$1,$B$1)</f>
        <v>18</v>
      </c>
      <c r="BF8">
        <f>_xll.EQNXTDZ($A$1,$B8,BF$1,$B$1)</f>
        <v>44.29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1616.82</v>
      </c>
      <c r="D9">
        <f>_xll.EQNXTDZ($A$1,$B9,D$1,$B$1)</f>
        <v>1164.49</v>
      </c>
      <c r="E9">
        <f>_xll.EQNXTDZ($A$1,$B9,E$1,$B$1)</f>
        <v>1152.54</v>
      </c>
      <c r="F9">
        <f>_xll.EQNXTDZ($A$1,$B9,F$1,$B$1)</f>
        <v>1597.11</v>
      </c>
      <c r="G9">
        <f>_xll.EQNXTDZ($A$1,$B9,G$1,$B$1)</f>
        <v>1603.3</v>
      </c>
      <c r="H9">
        <f>_xll.EQNXTDZ($A$1,$B9,H$1,$B$1)</f>
        <v>1080.53</v>
      </c>
      <c r="I9">
        <f>_xll.EQNXTDZ($A$1,$B9,I$1,$B$1)</f>
        <v>1119.4000000000001</v>
      </c>
      <c r="J9">
        <f>_xll.EQNXTDZ($A$1,$B9,J$1,$B$1)</f>
        <v>1462.81</v>
      </c>
      <c r="K9">
        <f>_xll.EQNXTDZ($A$1,$B9,K$1,$B$1)</f>
        <v>1757.34</v>
      </c>
      <c r="L9">
        <f>_xll.EQNXTDZ($A$1,$B9,L$1,$B$1)</f>
        <v>984.65</v>
      </c>
      <c r="M9">
        <f>_xll.EQNXTDZ($A$1,$B9,M$1,$B$1)</f>
        <v>951.13</v>
      </c>
      <c r="N9">
        <f>_xll.EQNXTDZ($A$1,$B9,N$1,$B$1)</f>
        <v>1489.97</v>
      </c>
      <c r="O9">
        <f>_xll.EQNXTDZ($A$1,$B9,O$1,$B$1)</f>
        <v>1558.46</v>
      </c>
      <c r="P9">
        <f>_xll.EQNXTDZ($A$1,$B9,P$1,$B$1)</f>
        <v>1040.07</v>
      </c>
      <c r="Q9">
        <f>_xll.EQNXTDZ($A$1,$B9,Q$1,$B$1)</f>
        <v>1265.92</v>
      </c>
      <c r="R9">
        <f>_xll.EQNXTDZ($A$1,$B9,R$1,$B$1)</f>
        <v>1863.36</v>
      </c>
      <c r="S9">
        <f>_xll.EQNXTDZ($A$1,$B9,S$1,$B$1)</f>
        <v>1855.18</v>
      </c>
      <c r="T9">
        <f>_xll.EQNXTDZ($A$1,$B9,T$1,$B$1)</f>
        <v>981.46</v>
      </c>
      <c r="U9">
        <f>_xll.EQNXTDZ($A$1,$B9,U$1,$B$1)</f>
        <v>1200.1199999999999</v>
      </c>
      <c r="V9">
        <f>_xll.EQNXTDZ($A$1,$B9,V$1,$B$1)</f>
        <v>2058.2600000000002</v>
      </c>
      <c r="W9">
        <f>_xll.EQNXTDZ($A$1,$B9,W$1,$B$1)</f>
        <v>1968.11</v>
      </c>
      <c r="X9">
        <f>_xll.EQNXTDZ($A$1,$B9,X$1,$B$1)</f>
        <v>1036.71</v>
      </c>
      <c r="Y9">
        <f>_xll.EQNXTDZ($A$1,$B9,Y$1,$B$1)</f>
        <v>1374.67</v>
      </c>
      <c r="Z9">
        <f>_xll.EQNXTDZ($A$1,$B9,Z$1,$B$1)</f>
        <v>2048.38</v>
      </c>
      <c r="AA9">
        <f>_xll.EQNXTDZ($A$1,$B9,AA$1,$B$1)</f>
        <v>2148.09</v>
      </c>
      <c r="AB9">
        <f>_xll.EQNXTDZ($A$1,$B9,AB$1,$B$1)</f>
        <v>1421.36</v>
      </c>
      <c r="AC9">
        <f>_xll.EQNXTDZ($A$1,$B9,AC$1,$B$1)</f>
        <v>1491.78</v>
      </c>
      <c r="AD9">
        <f>_xll.EQNXTDZ($A$1,$B9,AD$1,$B$1)</f>
        <v>2062.84</v>
      </c>
      <c r="AE9">
        <f>_xll.EQNXTDZ($A$1,$B9,AE$1,$B$1)</f>
        <v>2654</v>
      </c>
      <c r="AF9">
        <f>_xll.EQNXTDZ($A$1,$B9,AF$1,$B$1)</f>
        <v>1421.94</v>
      </c>
      <c r="AG9">
        <f>_xll.EQNXTDZ($A$1,$B9,AG$1,$B$1)</f>
        <v>1492.51</v>
      </c>
      <c r="AH9">
        <f>_xll.EQNXTDZ($A$1,$B9,AH$1,$B$1)</f>
        <v>2089.63</v>
      </c>
      <c r="AI9">
        <f>_xll.EQNXTDZ($A$1,$B9,AI$1,$B$1)</f>
        <v>1296.94</v>
      </c>
      <c r="AJ9">
        <f>_xll.EQNXTDZ($A$1,$B9,AJ$1,$B$1)</f>
        <v>1612.54</v>
      </c>
      <c r="AK9">
        <f>_xll.EQNXTDZ($A$1,$B9,AK$1,$B$1)</f>
        <v>1994.64</v>
      </c>
      <c r="AL9">
        <f>_xll.EQNXTDZ($A$1,$B9,AL$1,$B$1)</f>
        <v>2651.66</v>
      </c>
      <c r="AM9">
        <f>_xll.EQNXTDZ($A$1,$B9,AM$1,$B$1)</f>
        <v>1785.2</v>
      </c>
      <c r="AN9">
        <f>_xll.EQNXTDZ($A$1,$B9,AN$1,$B$1)</f>
        <v>1689.08</v>
      </c>
      <c r="AO9">
        <f>_xll.EQNXTDZ($A$1,$B9,AO$1,$B$1)</f>
        <v>1793.59</v>
      </c>
      <c r="AP9">
        <f>_xll.EQNXTDZ($A$1,$B9,AP$1,$B$1)</f>
        <v>2666.58</v>
      </c>
      <c r="AQ9">
        <f>_xll.EQNXTDZ($A$1,$B9,AQ$1,$B$1)</f>
        <v>2768</v>
      </c>
      <c r="AR9">
        <f>_xll.EQNXTDZ($A$1,$B9,AR$1,$B$1)</f>
        <v>1768.36</v>
      </c>
      <c r="AS9">
        <f>_xll.EQNXTDZ($A$1,$B9,AS$1,$B$1)</f>
        <v>2005.61</v>
      </c>
      <c r="AT9">
        <f>_xll.EQNXTDZ($A$1,$B9,AT$1,$B$1)</f>
        <v>2956.8</v>
      </c>
      <c r="AU9">
        <f>_xll.EQNXTDZ($A$1,$B9,AU$1,$B$1)</f>
        <v>3359.86</v>
      </c>
      <c r="AV9">
        <f>_xll.EQNXTDZ($A$1,$B9,AV$1,$B$1)</f>
        <v>2292.75</v>
      </c>
      <c r="AW9">
        <f>_xll.EQNXTDZ($A$1,$B9,AW$1,$B$1)</f>
        <v>2625.72</v>
      </c>
      <c r="AX9">
        <f>_xll.EQNXTDZ($A$1,$B9,AX$1,$B$1)</f>
        <v>4202.88</v>
      </c>
      <c r="AY9">
        <f>_xll.EQNXTDZ($A$1,$B9,AY$1,$B$1)</f>
        <v>4921.0200000000004</v>
      </c>
      <c r="AZ9">
        <f>_xll.EQNXTDZ($A$1,$B9,AZ$1,$B$1)</f>
        <v>2619.11</v>
      </c>
      <c r="BA9">
        <f>_xll.EQNXTDZ($A$1,$B9,BA$1,$B$1)</f>
        <v>3105.11</v>
      </c>
      <c r="BB9">
        <f>_xll.EQNXTDZ($A$1,$B9,BB$1,$B$1)</f>
        <v>4767.5600000000004</v>
      </c>
      <c r="BC9">
        <f>_xll.EQNXTDZ($A$1,$B9,BC$1,$B$1)</f>
        <v>3938.58</v>
      </c>
      <c r="BD9">
        <f>_xll.EQNXTDZ($A$1,$B9,BD$1,$B$1)</f>
        <v>2347.3200000000002</v>
      </c>
      <c r="BE9">
        <f>_xll.EQNXTDZ($A$1,$B9,BE$1,$B$1)</f>
        <v>3070.77</v>
      </c>
      <c r="BF9">
        <f>_xll.EQNXTDZ($A$1,$B9,BF$1,$B$1)</f>
        <v>4887.83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37.85</v>
      </c>
      <c r="D10">
        <f>_xll.EQNXTDZ($A$1,$B10,D$1,$B$1)</f>
        <v>-21.29</v>
      </c>
      <c r="E10">
        <f>_xll.EQNXTDZ($A$1,$B10,E$1,$B$1)</f>
        <v>-67.989999999999995</v>
      </c>
      <c r="F10">
        <f>_xll.EQNXTDZ($A$1,$B10,F$1,$B$1)</f>
        <v>-84.79</v>
      </c>
      <c r="G10">
        <f>_xll.EQNXTDZ($A$1,$B10,G$1,$B$1)</f>
        <v>192.03</v>
      </c>
      <c r="H10">
        <f>_xll.EQNXTDZ($A$1,$B10,H$1,$B$1)</f>
        <v>-63.66</v>
      </c>
      <c r="I10">
        <f>_xll.EQNXTDZ($A$1,$B10,I$1,$B$1)</f>
        <v>-82.12</v>
      </c>
      <c r="J10">
        <f>_xll.EQNXTDZ($A$1,$B10,J$1,$B$1)</f>
        <v>71.7</v>
      </c>
      <c r="K10">
        <f>_xll.EQNXTDZ($A$1,$B10,K$1,$B$1)</f>
        <v>144.72999999999999</v>
      </c>
      <c r="L10">
        <f>_xll.EQNXTDZ($A$1,$B10,L$1,$B$1)</f>
        <v>-131.63</v>
      </c>
      <c r="M10">
        <f>_xll.EQNXTDZ($A$1,$B10,M$1,$B$1)</f>
        <v>-7.92</v>
      </c>
      <c r="N10">
        <f>_xll.EQNXTDZ($A$1,$B10,N$1,$B$1)</f>
        <v>11.48</v>
      </c>
      <c r="O10">
        <f>_xll.EQNXTDZ($A$1,$B10,O$1,$B$1)</f>
        <v>-2.2999999999999998</v>
      </c>
      <c r="P10">
        <f>_xll.EQNXTDZ($A$1,$B10,P$1,$B$1)</f>
        <v>21.98</v>
      </c>
      <c r="Q10">
        <f>_xll.EQNXTDZ($A$1,$B10,Q$1,$B$1)</f>
        <v>-58.83</v>
      </c>
      <c r="R10">
        <f>_xll.EQNXTDZ($A$1,$B10,R$1,$B$1)</f>
        <v>98.44</v>
      </c>
      <c r="S10">
        <f>_xll.EQNXTDZ($A$1,$B10,S$1,$B$1)</f>
        <v>-16.670000000000002</v>
      </c>
      <c r="T10">
        <f>_xll.EQNXTDZ($A$1,$B10,T$1,$B$1)</f>
        <v>-12.11</v>
      </c>
      <c r="U10">
        <f>_xll.EQNXTDZ($A$1,$B10,U$1,$B$1)</f>
        <v>-232.81</v>
      </c>
      <c r="V10">
        <f>_xll.EQNXTDZ($A$1,$B10,V$1,$B$1)</f>
        <v>71.34</v>
      </c>
      <c r="W10">
        <f>_xll.EQNXTDZ($A$1,$B10,W$1,$B$1)</f>
        <v>60.51</v>
      </c>
      <c r="X10">
        <f>_xll.EQNXTDZ($A$1,$B10,X$1,$B$1)</f>
        <v>86.98</v>
      </c>
      <c r="Y10">
        <f>_xll.EQNXTDZ($A$1,$B10,Y$1,$B$1)</f>
        <v>49.26</v>
      </c>
      <c r="Z10">
        <f>_xll.EQNXTDZ($A$1,$B10,Z$1,$B$1)</f>
        <v>-91.34</v>
      </c>
      <c r="AA10">
        <f>_xll.EQNXTDZ($A$1,$B10,AA$1,$B$1)</f>
        <v>-309.89999999999998</v>
      </c>
      <c r="AB10">
        <f>_xll.EQNXTDZ($A$1,$B10,AB$1,$B$1)</f>
        <v>-22.72</v>
      </c>
      <c r="AC10">
        <f>_xll.EQNXTDZ($A$1,$B10,AC$1,$B$1)</f>
        <v>97.07</v>
      </c>
      <c r="AD10">
        <f>_xll.EQNXTDZ($A$1,$B10,AD$1,$B$1)</f>
        <v>-44</v>
      </c>
      <c r="AE10">
        <f>_xll.EQNXTDZ($A$1,$B10,AE$1,$B$1)</f>
        <v>327.08999999999997</v>
      </c>
      <c r="AF10">
        <f>_xll.EQNXTDZ($A$1,$B10,AF$1,$B$1)</f>
        <v>-74.63</v>
      </c>
      <c r="AG10">
        <f>_xll.EQNXTDZ($A$1,$B10,AG$1,$B$1)</f>
        <v>-163.21</v>
      </c>
      <c r="AH10">
        <f>_xll.EQNXTDZ($A$1,$B10,AH$1,$B$1)</f>
        <v>-391.54</v>
      </c>
      <c r="AI10">
        <f>_xll.EQNXTDZ($A$1,$B10,AI$1,$B$1)</f>
        <v>145.19999999999999</v>
      </c>
      <c r="AJ10">
        <f>_xll.EQNXTDZ($A$1,$B10,AJ$1,$B$1)</f>
        <v>68.010000000000005</v>
      </c>
      <c r="AK10">
        <f>_xll.EQNXTDZ($A$1,$B10,AK$1,$B$1)</f>
        <v>23.14</v>
      </c>
      <c r="AL10">
        <f>_xll.EQNXTDZ($A$1,$B10,AL$1,$B$1)</f>
        <v>42.95</v>
      </c>
      <c r="AM10">
        <f>_xll.EQNXTDZ($A$1,$B10,AM$1,$B$1)</f>
        <v>44.94</v>
      </c>
      <c r="AN10">
        <f>_xll.EQNXTDZ($A$1,$B10,AN$1,$B$1)</f>
        <v>18.71</v>
      </c>
      <c r="AO10">
        <f>_xll.EQNXTDZ($A$1,$B10,AO$1,$B$1)</f>
        <v>-323.92</v>
      </c>
      <c r="AP10">
        <f>_xll.EQNXTDZ($A$1,$B10,AP$1,$B$1)</f>
        <v>82.02</v>
      </c>
      <c r="AQ10">
        <f>_xll.EQNXTDZ($A$1,$B10,AQ$1,$B$1)</f>
        <v>276.68</v>
      </c>
      <c r="AR10">
        <f>_xll.EQNXTDZ($A$1,$B10,AR$1,$B$1)</f>
        <v>46.09</v>
      </c>
      <c r="AS10">
        <f>_xll.EQNXTDZ($A$1,$B10,AS$1,$B$1)</f>
        <v>28.94</v>
      </c>
      <c r="AT10">
        <f>_xll.EQNXTDZ($A$1,$B10,AT$1,$B$1)</f>
        <v>-78.150000000000006</v>
      </c>
      <c r="AU10">
        <f>_xll.EQNXTDZ($A$1,$B10,AU$1,$B$1)</f>
        <v>49.75</v>
      </c>
      <c r="AV10">
        <f>_xll.EQNXTDZ($A$1,$B10,AV$1,$B$1)</f>
        <v>-290.81</v>
      </c>
      <c r="AW10">
        <f>_xll.EQNXTDZ($A$1,$B10,AW$1,$B$1)</f>
        <v>-259.08999999999997</v>
      </c>
      <c r="AX10">
        <f>_xll.EQNXTDZ($A$1,$B10,AX$1,$B$1)</f>
        <v>109</v>
      </c>
      <c r="AY10">
        <f>_xll.EQNXTDZ($A$1,$B10,AY$1,$B$1)</f>
        <v>517.76</v>
      </c>
      <c r="AZ10">
        <f>_xll.EQNXTDZ($A$1,$B10,AZ$1,$B$1)</f>
        <v>-471.06</v>
      </c>
      <c r="BA10">
        <f>_xll.EQNXTDZ($A$1,$B10,BA$1,$B$1)</f>
        <v>-518.5</v>
      </c>
      <c r="BB10">
        <f>_xll.EQNXTDZ($A$1,$B10,BB$1,$B$1)</f>
        <v>289.26</v>
      </c>
      <c r="BC10">
        <f>_xll.EQNXTDZ($A$1,$B10,BC$1,$B$1)</f>
        <v>-247.71</v>
      </c>
      <c r="BD10">
        <f>_xll.EQNXTDZ($A$1,$B10,BD$1,$B$1)</f>
        <v>-184.49</v>
      </c>
      <c r="BE10">
        <f>_xll.EQNXTDZ($A$1,$B10,BE$1,$B$1)</f>
        <v>74.14</v>
      </c>
      <c r="BF10">
        <f>_xll.EQNXTDZ($A$1,$B10,BF$1,$B$1)</f>
        <v>88.31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990.66</v>
      </c>
      <c r="D11">
        <f>_xll.EQNXTDZ($A$1,$B11,D$1,$B$1)</f>
        <v>779.77</v>
      </c>
      <c r="E11">
        <f>_xll.EQNXTDZ($A$1,$B11,E$1,$B$1)</f>
        <v>847.57</v>
      </c>
      <c r="F11">
        <f>_xll.EQNXTDZ($A$1,$B11,F$1,$B$1)</f>
        <v>1098.75</v>
      </c>
      <c r="G11">
        <f>_xll.EQNXTDZ($A$1,$B11,G$1,$B$1)</f>
        <v>900.11</v>
      </c>
      <c r="H11">
        <f>_xll.EQNXTDZ($A$1,$B11,H$1,$B$1)</f>
        <v>673.43</v>
      </c>
      <c r="I11">
        <f>_xll.EQNXTDZ($A$1,$B11,I$1,$B$1)</f>
        <v>679.11</v>
      </c>
      <c r="J11">
        <f>_xll.EQNXTDZ($A$1,$B11,J$1,$B$1)</f>
        <v>910.44</v>
      </c>
      <c r="K11">
        <f>_xll.EQNXTDZ($A$1,$B11,K$1,$B$1)</f>
        <v>915.52</v>
      </c>
      <c r="L11">
        <f>_xll.EQNXTDZ($A$1,$B11,L$1,$B$1)</f>
        <v>611.53</v>
      </c>
      <c r="M11">
        <f>_xll.EQNXTDZ($A$1,$B11,M$1,$B$1)</f>
        <v>572.37</v>
      </c>
      <c r="N11">
        <f>_xll.EQNXTDZ($A$1,$B11,N$1,$B$1)</f>
        <v>789.18</v>
      </c>
      <c r="O11">
        <f>_xll.EQNXTDZ($A$1,$B11,O$1,$B$1)</f>
        <v>936.32</v>
      </c>
      <c r="P11">
        <f>_xll.EQNXTDZ($A$1,$B11,P$1,$B$1)</f>
        <v>630.5</v>
      </c>
      <c r="Q11">
        <f>_xll.EQNXTDZ($A$1,$B11,Q$1,$B$1)</f>
        <v>837.83</v>
      </c>
      <c r="R11">
        <f>_xll.EQNXTDZ($A$1,$B11,R$1,$B$1)</f>
        <v>950.88</v>
      </c>
      <c r="S11">
        <f>_xll.EQNXTDZ($A$1,$B11,S$1,$B$1)</f>
        <v>1010.42</v>
      </c>
      <c r="T11">
        <f>_xll.EQNXTDZ($A$1,$B11,T$1,$B$1)</f>
        <v>544.73</v>
      </c>
      <c r="U11">
        <f>_xll.EQNXTDZ($A$1,$B11,U$1,$B$1)</f>
        <v>811.11</v>
      </c>
      <c r="V11">
        <f>_xll.EQNXTDZ($A$1,$B11,V$1,$B$1)</f>
        <v>1031.78</v>
      </c>
      <c r="W11">
        <f>_xll.EQNXTDZ($A$1,$B11,W$1,$B$1)</f>
        <v>898.62</v>
      </c>
      <c r="X11">
        <f>_xll.EQNXTDZ($A$1,$B11,X$1,$B$1)</f>
        <v>455.13</v>
      </c>
      <c r="Y11">
        <f>_xll.EQNXTDZ($A$1,$B11,Y$1,$B$1)</f>
        <v>729.46</v>
      </c>
      <c r="Z11">
        <f>_xll.EQNXTDZ($A$1,$B11,Z$1,$B$1)</f>
        <v>737.01</v>
      </c>
      <c r="AA11">
        <f>_xll.EQNXTDZ($A$1,$B11,AA$1,$B$1)</f>
        <v>1030.4000000000001</v>
      </c>
      <c r="AB11">
        <f>_xll.EQNXTDZ($A$1,$B11,AB$1,$B$1)</f>
        <v>821.49</v>
      </c>
      <c r="AC11">
        <f>_xll.EQNXTDZ($A$1,$B11,AC$1,$B$1)</f>
        <v>800.08</v>
      </c>
      <c r="AD11">
        <f>_xll.EQNXTDZ($A$1,$B11,AD$1,$B$1)</f>
        <v>904.82</v>
      </c>
      <c r="AE11">
        <f>_xll.EQNXTDZ($A$1,$B11,AE$1,$B$1)</f>
        <v>885.76</v>
      </c>
      <c r="AF11">
        <f>_xll.EQNXTDZ($A$1,$B11,AF$1,$B$1)</f>
        <v>784.78</v>
      </c>
      <c r="AG11">
        <f>_xll.EQNXTDZ($A$1,$B11,AG$1,$B$1)</f>
        <v>774.6</v>
      </c>
      <c r="AH11">
        <f>_xll.EQNXTDZ($A$1,$B11,AH$1,$B$1)</f>
        <v>843.82</v>
      </c>
      <c r="AI11">
        <f>_xll.EQNXTDZ($A$1,$B11,AI$1,$B$1)</f>
        <v>389.56</v>
      </c>
      <c r="AJ11">
        <f>_xll.EQNXTDZ($A$1,$B11,AJ$1,$B$1)</f>
        <v>801.78</v>
      </c>
      <c r="AK11">
        <f>_xll.EQNXTDZ($A$1,$B11,AK$1,$B$1)</f>
        <v>908.9</v>
      </c>
      <c r="AL11">
        <f>_xll.EQNXTDZ($A$1,$B11,AL$1,$B$1)</f>
        <v>1336.66</v>
      </c>
      <c r="AM11">
        <f>_xll.EQNXTDZ($A$1,$B11,AM$1,$B$1)</f>
        <v>879.38</v>
      </c>
      <c r="AN11">
        <f>_xll.EQNXTDZ($A$1,$B11,AN$1,$B$1)</f>
        <v>804.4</v>
      </c>
      <c r="AO11">
        <f>_xll.EQNXTDZ($A$1,$B11,AO$1,$B$1)</f>
        <v>1046.67</v>
      </c>
      <c r="AP11">
        <f>_xll.EQNXTDZ($A$1,$B11,AP$1,$B$1)</f>
        <v>1301.71</v>
      </c>
      <c r="AQ11">
        <f>_xll.EQNXTDZ($A$1,$B11,AQ$1,$B$1)</f>
        <v>1155.03</v>
      </c>
      <c r="AR11">
        <f>_xll.EQNXTDZ($A$1,$B11,AR$1,$B$1)</f>
        <v>986.4</v>
      </c>
      <c r="AS11">
        <f>_xll.EQNXTDZ($A$1,$B11,AS$1,$B$1)</f>
        <v>1114.92</v>
      </c>
      <c r="AT11">
        <f>_xll.EQNXTDZ($A$1,$B11,AT$1,$B$1)</f>
        <v>1551.99</v>
      </c>
      <c r="AU11">
        <f>_xll.EQNXTDZ($A$1,$B11,AU$1,$B$1)</f>
        <v>1539.46</v>
      </c>
      <c r="AV11">
        <f>_xll.EQNXTDZ($A$1,$B11,AV$1,$B$1)</f>
        <v>1575.2</v>
      </c>
      <c r="AW11">
        <f>_xll.EQNXTDZ($A$1,$B11,AW$1,$B$1)</f>
        <v>1734.71</v>
      </c>
      <c r="AX11">
        <f>_xll.EQNXTDZ($A$1,$B11,AX$1,$B$1)</f>
        <v>1928.49</v>
      </c>
      <c r="AY11">
        <f>_xll.EQNXTDZ($A$1,$B11,AY$1,$B$1)</f>
        <v>1722.39</v>
      </c>
      <c r="AZ11">
        <f>_xll.EQNXTDZ($A$1,$B11,AZ$1,$B$1)</f>
        <v>1781.21</v>
      </c>
      <c r="BA11">
        <f>_xll.EQNXTDZ($A$1,$B11,BA$1,$B$1)</f>
        <v>2199.08</v>
      </c>
      <c r="BB11">
        <f>_xll.EQNXTDZ($A$1,$B11,BB$1,$B$1)</f>
        <v>2423.2800000000002</v>
      </c>
      <c r="BC11">
        <f>_xll.EQNXTDZ($A$1,$B11,BC$1,$B$1)</f>
        <v>2209.65</v>
      </c>
      <c r="BD11">
        <f>_xll.EQNXTDZ($A$1,$B11,BD$1,$B$1)</f>
        <v>1683.52</v>
      </c>
      <c r="BE11">
        <f>_xll.EQNXTDZ($A$1,$B11,BE$1,$B$1)</f>
        <v>1727.9</v>
      </c>
      <c r="BF11">
        <f>_xll.EQNXTDZ($A$1,$B11,BF$1,$B$1)</f>
        <v>2635.2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176.4</v>
      </c>
      <c r="D12">
        <f>_xll.EQNXTDZ($A$1,$B12,D$1,$B$1)</f>
        <v>89.98</v>
      </c>
      <c r="E12">
        <f>_xll.EQNXTDZ($A$1,$B12,E$1,$B$1)</f>
        <v>101.68</v>
      </c>
      <c r="F12">
        <f>_xll.EQNXTDZ($A$1,$B12,F$1,$B$1)</f>
        <v>218.44</v>
      </c>
      <c r="G12">
        <f>_xll.EQNXTDZ($A$1,$B12,G$1,$B$1)</f>
        <v>131.30000000000001</v>
      </c>
      <c r="H12">
        <f>_xll.EQNXTDZ($A$1,$B12,H$1,$B$1)</f>
        <v>161.37</v>
      </c>
      <c r="I12">
        <f>_xll.EQNXTDZ($A$1,$B12,I$1,$B$1)</f>
        <v>175.73</v>
      </c>
      <c r="J12">
        <f>_xll.EQNXTDZ($A$1,$B12,J$1,$B$1)</f>
        <v>104.81</v>
      </c>
      <c r="K12">
        <f>_xll.EQNXTDZ($A$1,$B12,K$1,$B$1)</f>
        <v>225.07</v>
      </c>
      <c r="L12">
        <f>_xll.EQNXTDZ($A$1,$B12,L$1,$B$1)</f>
        <v>162.21</v>
      </c>
      <c r="M12">
        <f>_xll.EQNXTDZ($A$1,$B12,M$1,$B$1)</f>
        <v>73.55</v>
      </c>
      <c r="N12">
        <f>_xll.EQNXTDZ($A$1,$B12,N$1,$B$1)</f>
        <v>231.36</v>
      </c>
      <c r="O12">
        <f>_xll.EQNXTDZ($A$1,$B12,O$1,$B$1)</f>
        <v>191.56</v>
      </c>
      <c r="P12">
        <f>_xll.EQNXTDZ($A$1,$B12,P$1,$B$1)</f>
        <v>58.26</v>
      </c>
      <c r="Q12">
        <f>_xll.EQNXTDZ($A$1,$B12,Q$1,$B$1)</f>
        <v>131.05000000000001</v>
      </c>
      <c r="R12">
        <f>_xll.EQNXTDZ($A$1,$B12,R$1,$B$1)</f>
        <v>291.45</v>
      </c>
      <c r="S12">
        <f>_xll.EQNXTDZ($A$1,$B12,S$1,$B$1)</f>
        <v>323.3</v>
      </c>
      <c r="T12">
        <f>_xll.EQNXTDZ($A$1,$B12,T$1,$B$1)</f>
        <v>83.52</v>
      </c>
      <c r="U12">
        <f>_xll.EQNXTDZ($A$1,$B12,U$1,$B$1)</f>
        <v>239.24</v>
      </c>
      <c r="V12">
        <f>_xll.EQNXTDZ($A$1,$B12,V$1,$B$1)</f>
        <v>382.04</v>
      </c>
      <c r="W12">
        <f>_xll.EQNXTDZ($A$1,$B12,W$1,$B$1)</f>
        <v>435.54</v>
      </c>
      <c r="X12">
        <f>_xll.EQNXTDZ($A$1,$B12,X$1,$B$1)</f>
        <v>162.1</v>
      </c>
      <c r="Y12">
        <f>_xll.EQNXTDZ($A$1,$B12,Y$1,$B$1)</f>
        <v>188.78</v>
      </c>
      <c r="Z12">
        <f>_xll.EQNXTDZ($A$1,$B12,Z$1,$B$1)</f>
        <v>855.47</v>
      </c>
      <c r="AA12">
        <f>_xll.EQNXTDZ($A$1,$B12,AA$1,$B$1)</f>
        <v>842.14</v>
      </c>
      <c r="AB12">
        <f>_xll.EQNXTDZ($A$1,$B12,AB$1,$B$1)</f>
        <v>231.21</v>
      </c>
      <c r="AC12">
        <f>_xll.EQNXTDZ($A$1,$B12,AC$1,$B$1)</f>
        <v>193.45</v>
      </c>
      <c r="AD12">
        <f>_xll.EQNXTDZ($A$1,$B12,AD$1,$B$1)</f>
        <v>718.19</v>
      </c>
      <c r="AE12">
        <f>_xll.EQNXTDZ($A$1,$B12,AE$1,$B$1)</f>
        <v>767.32</v>
      </c>
      <c r="AF12">
        <f>_xll.EQNXTDZ($A$1,$B12,AF$1,$B$1)</f>
        <v>307.89999999999998</v>
      </c>
      <c r="AG12">
        <f>_xll.EQNXTDZ($A$1,$B12,AG$1,$B$1)</f>
        <v>454.1</v>
      </c>
      <c r="AH12">
        <f>_xll.EQNXTDZ($A$1,$B12,AH$1,$B$1)</f>
        <v>1038.95</v>
      </c>
      <c r="AI12">
        <f>_xll.EQNXTDZ($A$1,$B12,AI$1,$B$1)</f>
        <v>373.47</v>
      </c>
      <c r="AJ12">
        <f>_xll.EQNXTDZ($A$1,$B12,AJ$1,$B$1)</f>
        <v>322.81</v>
      </c>
      <c r="AK12">
        <f>_xll.EQNXTDZ($A$1,$B12,AK$1,$B$1)</f>
        <v>572.08000000000004</v>
      </c>
      <c r="AL12">
        <f>_xll.EQNXTDZ($A$1,$B12,AL$1,$B$1)</f>
        <v>593.9</v>
      </c>
      <c r="AM12">
        <f>_xll.EQNXTDZ($A$1,$B12,AM$1,$B$1)</f>
        <v>363.33</v>
      </c>
      <c r="AN12">
        <f>_xll.EQNXTDZ($A$1,$B12,AN$1,$B$1)</f>
        <v>417.43</v>
      </c>
      <c r="AO12">
        <f>_xll.EQNXTDZ($A$1,$B12,AO$1,$B$1)</f>
        <v>586.96</v>
      </c>
      <c r="AP12">
        <f>_xll.EQNXTDZ($A$1,$B12,AP$1,$B$1)</f>
        <v>675.03</v>
      </c>
      <c r="AQ12">
        <f>_xll.EQNXTDZ($A$1,$B12,AQ$1,$B$1)</f>
        <v>767.57</v>
      </c>
      <c r="AR12">
        <f>_xll.EQNXTDZ($A$1,$B12,AR$1,$B$1)</f>
        <v>305.04000000000002</v>
      </c>
      <c r="AS12">
        <f>_xll.EQNXTDZ($A$1,$B12,AS$1,$B$1)</f>
        <v>379.32</v>
      </c>
      <c r="AT12">
        <f>_xll.EQNXTDZ($A$1,$B12,AT$1,$B$1)</f>
        <v>844.35</v>
      </c>
      <c r="AU12">
        <f>_xll.EQNXTDZ($A$1,$B12,AU$1,$B$1)</f>
        <v>1061.1600000000001</v>
      </c>
      <c r="AV12">
        <f>_xll.EQNXTDZ($A$1,$B12,AV$1,$B$1)</f>
        <v>446.11</v>
      </c>
      <c r="AW12">
        <f>_xll.EQNXTDZ($A$1,$B12,AW$1,$B$1)</f>
        <v>584.86</v>
      </c>
      <c r="AX12">
        <f>_xll.EQNXTDZ($A$1,$B12,AX$1,$B$1)</f>
        <v>1335.2</v>
      </c>
      <c r="AY12">
        <f>_xll.EQNXTDZ($A$1,$B12,AY$1,$B$1)</f>
        <v>1652.08</v>
      </c>
      <c r="AZ12">
        <f>_xll.EQNXTDZ($A$1,$B12,AZ$1,$B$1)</f>
        <v>631.96</v>
      </c>
      <c r="BA12">
        <f>_xll.EQNXTDZ($A$1,$B12,BA$1,$B$1)</f>
        <v>700.1</v>
      </c>
      <c r="BB12">
        <f>_xll.EQNXTDZ($A$1,$B12,BB$1,$B$1)</f>
        <v>1032.83</v>
      </c>
      <c r="BC12">
        <f>_xll.EQNXTDZ($A$1,$B12,BC$1,$B$1)</f>
        <v>1117.6500000000001</v>
      </c>
      <c r="BD12">
        <f>_xll.EQNXTDZ($A$1,$B12,BD$1,$B$1)</f>
        <v>265.43</v>
      </c>
      <c r="BE12">
        <f>_xll.EQNXTDZ($A$1,$B12,BE$1,$B$1)</f>
        <v>542.14</v>
      </c>
      <c r="BF12">
        <f>_xll.EQNXTDZ($A$1,$B12,BF$1,$B$1)</f>
        <v>1158.04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8</v>
      </c>
      <c r="S13">
        <f>_xll.EQNXTDZ($A$1,$B13,S$1,$B$1)</f>
        <v>5.14</v>
      </c>
      <c r="T13">
        <f>_xll.EQNXTDZ($A$1,$B13,T$1,$B$1)</f>
        <v>14.24</v>
      </c>
      <c r="U13">
        <f>_xll.EQNXTDZ($A$1,$B13,U$1,$B$1)</f>
        <v>19.64</v>
      </c>
      <c r="V13">
        <f>_xll.EQNXTDZ($A$1,$B13,V$1,$B$1)</f>
        <v>23.2</v>
      </c>
      <c r="W13">
        <f>_xll.EQNXTDZ($A$1,$B13,W$1,$B$1)</f>
        <v>23.49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153.51</v>
      </c>
      <c r="D14">
        <f>_xll.EQNXTDZ($A$1,$B14,D$1,$B$1)</f>
        <v>109.06</v>
      </c>
      <c r="E14">
        <f>_xll.EQNXTDZ($A$1,$B14,E$1,$B$1)</f>
        <v>99.76</v>
      </c>
      <c r="F14">
        <f>_xll.EQNXTDZ($A$1,$B14,F$1,$B$1)</f>
        <v>125.13</v>
      </c>
      <c r="G14">
        <f>_xll.EQNXTDZ($A$1,$B14,G$1,$B$1)</f>
        <v>164.53</v>
      </c>
      <c r="H14">
        <f>_xll.EQNXTDZ($A$1,$B14,H$1,$B$1)</f>
        <v>114.47</v>
      </c>
      <c r="I14">
        <f>_xll.EQNXTDZ($A$1,$B14,I$1,$B$1)</f>
        <v>132.71</v>
      </c>
      <c r="J14">
        <f>_xll.EQNXTDZ($A$1,$B14,J$1,$B$1)</f>
        <v>139.78</v>
      </c>
      <c r="K14">
        <f>_xll.EQNXTDZ($A$1,$B14,K$1,$B$1)</f>
        <v>189.85</v>
      </c>
      <c r="L14">
        <f>_xll.EQNXTDZ($A$1,$B14,L$1,$B$1)</f>
        <v>121.24</v>
      </c>
      <c r="M14">
        <f>_xll.EQNXTDZ($A$1,$B14,M$1,$B$1)</f>
        <v>111.49</v>
      </c>
      <c r="N14">
        <f>_xll.EQNXTDZ($A$1,$B14,N$1,$B$1)</f>
        <v>163.1</v>
      </c>
      <c r="O14">
        <f>_xll.EQNXTDZ($A$1,$B14,O$1,$B$1)</f>
        <v>152.58000000000001</v>
      </c>
      <c r="P14">
        <f>_xll.EQNXTDZ($A$1,$B14,P$1,$B$1)</f>
        <v>113.74</v>
      </c>
      <c r="Q14">
        <f>_xll.EQNXTDZ($A$1,$B14,Q$1,$B$1)</f>
        <v>138.54</v>
      </c>
      <c r="R14">
        <f>_xll.EQNXTDZ($A$1,$B14,R$1,$B$1)</f>
        <v>159.71</v>
      </c>
      <c r="S14">
        <f>_xll.EQNXTDZ($A$1,$B14,S$1,$B$1)</f>
        <v>170.69</v>
      </c>
      <c r="T14">
        <f>_xll.EQNXTDZ($A$1,$B14,T$1,$B$1)</f>
        <v>123.04</v>
      </c>
      <c r="U14">
        <f>_xll.EQNXTDZ($A$1,$B14,U$1,$B$1)</f>
        <v>126.15</v>
      </c>
      <c r="V14">
        <f>_xll.EQNXTDZ($A$1,$B14,V$1,$B$1)</f>
        <v>180.26</v>
      </c>
      <c r="W14">
        <f>_xll.EQNXTDZ($A$1,$B14,W$1,$B$1)</f>
        <v>193.83</v>
      </c>
      <c r="X14">
        <f>_xll.EQNXTDZ($A$1,$B14,X$1,$B$1)</f>
        <v>100.28</v>
      </c>
      <c r="Y14">
        <f>_xll.EQNXTDZ($A$1,$B14,Y$1,$B$1)</f>
        <v>142.72</v>
      </c>
      <c r="Z14">
        <f>_xll.EQNXTDZ($A$1,$B14,Z$1,$B$1)</f>
        <v>150.66</v>
      </c>
      <c r="AA14">
        <f>_xll.EQNXTDZ($A$1,$B14,AA$1,$B$1)</f>
        <v>199.18</v>
      </c>
      <c r="AB14">
        <f>_xll.EQNXTDZ($A$1,$B14,AB$1,$B$1)</f>
        <v>110.54</v>
      </c>
      <c r="AC14">
        <f>_xll.EQNXTDZ($A$1,$B14,AC$1,$B$1)</f>
        <v>125.4</v>
      </c>
      <c r="AD14">
        <f>_xll.EQNXTDZ($A$1,$B14,AD$1,$B$1)</f>
        <v>173.15</v>
      </c>
      <c r="AE14">
        <f>_xll.EQNXTDZ($A$1,$B14,AE$1,$B$1)</f>
        <v>219.43</v>
      </c>
      <c r="AF14">
        <f>_xll.EQNXTDZ($A$1,$B14,AF$1,$B$1)</f>
        <v>140.41</v>
      </c>
      <c r="AG14">
        <f>_xll.EQNXTDZ($A$1,$B14,AG$1,$B$1)</f>
        <v>156.11000000000001</v>
      </c>
      <c r="AH14">
        <f>_xll.EQNXTDZ($A$1,$B14,AH$1,$B$1)</f>
        <v>228.81</v>
      </c>
      <c r="AI14">
        <f>_xll.EQNXTDZ($A$1,$B14,AI$1,$B$1)</f>
        <v>164.55</v>
      </c>
      <c r="AJ14">
        <f>_xll.EQNXTDZ($A$1,$B14,AJ$1,$B$1)</f>
        <v>178.73</v>
      </c>
      <c r="AK14">
        <f>_xll.EQNXTDZ($A$1,$B14,AK$1,$B$1)</f>
        <v>189.89</v>
      </c>
      <c r="AL14">
        <f>_xll.EQNXTDZ($A$1,$B14,AL$1,$B$1)</f>
        <v>201.11</v>
      </c>
      <c r="AM14">
        <f>_xll.EQNXTDZ($A$1,$B14,AM$1,$B$1)</f>
        <v>214.33</v>
      </c>
      <c r="AN14">
        <f>_xll.EQNXTDZ($A$1,$B14,AN$1,$B$1)</f>
        <v>165.47</v>
      </c>
      <c r="AO14">
        <f>_xll.EQNXTDZ($A$1,$B14,AO$1,$B$1)</f>
        <v>172</v>
      </c>
      <c r="AP14">
        <f>_xll.EQNXTDZ($A$1,$B14,AP$1,$B$1)</f>
        <v>186.82</v>
      </c>
      <c r="AQ14">
        <f>_xll.EQNXTDZ($A$1,$B14,AQ$1,$B$1)</f>
        <v>241.25</v>
      </c>
      <c r="AR14">
        <f>_xll.EQNXTDZ($A$1,$B14,AR$1,$B$1)</f>
        <v>155.24</v>
      </c>
      <c r="AS14">
        <f>_xll.EQNXTDZ($A$1,$B14,AS$1,$B$1)</f>
        <v>231.9</v>
      </c>
      <c r="AT14">
        <f>_xll.EQNXTDZ($A$1,$B14,AT$1,$B$1)</f>
        <v>252.62</v>
      </c>
      <c r="AU14">
        <f>_xll.EQNXTDZ($A$1,$B14,AU$1,$B$1)</f>
        <v>343.64</v>
      </c>
      <c r="AV14">
        <f>_xll.EQNXTDZ($A$1,$B14,AV$1,$B$1)</f>
        <v>297.51</v>
      </c>
      <c r="AW14">
        <f>_xll.EQNXTDZ($A$1,$B14,AW$1,$B$1)</f>
        <v>332.21</v>
      </c>
      <c r="AX14">
        <f>_xll.EQNXTDZ($A$1,$B14,AX$1,$B$1)</f>
        <v>440.43</v>
      </c>
      <c r="AY14">
        <f>_xll.EQNXTDZ($A$1,$B14,AY$1,$B$1)</f>
        <v>402.72</v>
      </c>
      <c r="AZ14">
        <f>_xll.EQNXTDZ($A$1,$B14,AZ$1,$B$1)</f>
        <v>276.63</v>
      </c>
      <c r="BA14">
        <f>_xll.EQNXTDZ($A$1,$B14,BA$1,$B$1)</f>
        <v>295.89999999999998</v>
      </c>
      <c r="BB14">
        <f>_xll.EQNXTDZ($A$1,$B14,BB$1,$B$1)</f>
        <v>470.91</v>
      </c>
      <c r="BC14">
        <f>_xll.EQNXTDZ($A$1,$B14,BC$1,$B$1)</f>
        <v>449.95</v>
      </c>
      <c r="BD14">
        <f>_xll.EQNXTDZ($A$1,$B14,BD$1,$B$1)</f>
        <v>271.69</v>
      </c>
      <c r="BE14">
        <f>_xll.EQNXTDZ($A$1,$B14,BE$1,$B$1)</f>
        <v>324.66000000000003</v>
      </c>
      <c r="BF14">
        <f>_xll.EQNXTDZ($A$1,$B14,BF$1,$B$1)</f>
        <v>542.92999999999995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164.49</v>
      </c>
      <c r="D16">
        <f>_xll.EQNXTDZ($A$1,$B16,D$1,$B$1)</f>
        <v>162.99</v>
      </c>
      <c r="E16">
        <f>_xll.EQNXTDZ($A$1,$B16,E$1,$B$1)</f>
        <v>147.26</v>
      </c>
      <c r="F16">
        <f>_xll.EQNXTDZ($A$1,$B16,F$1,$B$1)</f>
        <v>157.79</v>
      </c>
      <c r="G16">
        <f>_xll.EQNXTDZ($A$1,$B16,G$1,$B$1)</f>
        <v>164.86</v>
      </c>
      <c r="H16">
        <f>_xll.EQNXTDZ($A$1,$B16,H$1,$B$1)</f>
        <v>152.65</v>
      </c>
      <c r="I16">
        <f>_xll.EQNXTDZ($A$1,$B16,I$1,$B$1)</f>
        <v>146.47</v>
      </c>
      <c r="J16">
        <f>_xll.EQNXTDZ($A$1,$B16,J$1,$B$1)</f>
        <v>130.71</v>
      </c>
      <c r="K16">
        <f>_xll.EQNXTDZ($A$1,$B16,K$1,$B$1)</f>
        <v>150.28</v>
      </c>
      <c r="L16">
        <f>_xll.EQNXTDZ($A$1,$B16,L$1,$B$1)</f>
        <v>143.56</v>
      </c>
      <c r="M16">
        <f>_xll.EQNXTDZ($A$1,$B16,M$1,$B$1)</f>
        <v>144.24</v>
      </c>
      <c r="N16">
        <f>_xll.EQNXTDZ($A$1,$B16,N$1,$B$1)</f>
        <v>151.84</v>
      </c>
      <c r="O16">
        <f>_xll.EQNXTDZ($A$1,$B16,O$1,$B$1)</f>
        <v>149</v>
      </c>
      <c r="P16">
        <f>_xll.EQNXTDZ($A$1,$B16,P$1,$B$1)</f>
        <v>151.07</v>
      </c>
      <c r="Q16">
        <f>_xll.EQNXTDZ($A$1,$B16,Q$1,$B$1)</f>
        <v>161.03</v>
      </c>
      <c r="R16">
        <f>_xll.EQNXTDZ($A$1,$B16,R$1,$B$1)</f>
        <v>174.04</v>
      </c>
      <c r="S16">
        <f>_xll.EQNXTDZ($A$1,$B16,S$1,$B$1)</f>
        <v>162.76</v>
      </c>
      <c r="T16">
        <f>_xll.EQNXTDZ($A$1,$B16,T$1,$B$1)</f>
        <v>159.37</v>
      </c>
      <c r="U16">
        <f>_xll.EQNXTDZ($A$1,$B16,U$1,$B$1)</f>
        <v>147.83000000000001</v>
      </c>
      <c r="V16">
        <f>_xll.EQNXTDZ($A$1,$B16,V$1,$B$1)</f>
        <v>148.47</v>
      </c>
      <c r="W16">
        <f>_xll.EQNXTDZ($A$1,$B16,W$1,$B$1)</f>
        <v>147.79</v>
      </c>
      <c r="X16">
        <f>_xll.EQNXTDZ($A$1,$B16,X$1,$B$1)</f>
        <v>145.26</v>
      </c>
      <c r="Y16">
        <f>_xll.EQNXTDZ($A$1,$B16,Y$1,$B$1)</f>
        <v>150.26</v>
      </c>
      <c r="Z16">
        <f>_xll.EQNXTDZ($A$1,$B16,Z$1,$B$1)</f>
        <v>143.41999999999999</v>
      </c>
      <c r="AA16">
        <f>_xll.EQNXTDZ($A$1,$B16,AA$1,$B$1)</f>
        <v>143.08000000000001</v>
      </c>
      <c r="AB16">
        <f>_xll.EQNXTDZ($A$1,$B16,AB$1,$B$1)</f>
        <v>172.3</v>
      </c>
      <c r="AC16">
        <f>_xll.EQNXTDZ($A$1,$B16,AC$1,$B$1)</f>
        <v>160.11000000000001</v>
      </c>
      <c r="AD16">
        <f>_xll.EQNXTDZ($A$1,$B16,AD$1,$B$1)</f>
        <v>166.37</v>
      </c>
      <c r="AE16">
        <f>_xll.EQNXTDZ($A$1,$B16,AE$1,$B$1)</f>
        <v>163.19</v>
      </c>
      <c r="AF16">
        <f>_xll.EQNXTDZ($A$1,$B16,AF$1,$B$1)</f>
        <v>157.6</v>
      </c>
      <c r="AG16">
        <f>_xll.EQNXTDZ($A$1,$B16,AG$1,$B$1)</f>
        <v>173.36</v>
      </c>
      <c r="AH16">
        <f>_xll.EQNXTDZ($A$1,$B16,AH$1,$B$1)</f>
        <v>177.57</v>
      </c>
      <c r="AI16">
        <f>_xll.EQNXTDZ($A$1,$B16,AI$1,$B$1)</f>
        <v>157.41</v>
      </c>
      <c r="AJ16">
        <f>_xll.EQNXTDZ($A$1,$B16,AJ$1,$B$1)</f>
        <v>143.22</v>
      </c>
      <c r="AK16">
        <f>_xll.EQNXTDZ($A$1,$B16,AK$1,$B$1)</f>
        <v>154.74</v>
      </c>
      <c r="AL16">
        <f>_xll.EQNXTDZ($A$1,$B16,AL$1,$B$1)</f>
        <v>146.31</v>
      </c>
      <c r="AM16">
        <f>_xll.EQNXTDZ($A$1,$B16,AM$1,$B$1)</f>
        <v>147.44</v>
      </c>
      <c r="AN16">
        <f>_xll.EQNXTDZ($A$1,$B16,AN$1,$B$1)</f>
        <v>153.94999999999999</v>
      </c>
      <c r="AO16">
        <f>_xll.EQNXTDZ($A$1,$B16,AO$1,$B$1)</f>
        <v>156.24</v>
      </c>
      <c r="AP16">
        <f>_xll.EQNXTDZ($A$1,$B16,AP$1,$B$1)</f>
        <v>159.99</v>
      </c>
      <c r="AQ16">
        <f>_xll.EQNXTDZ($A$1,$B16,AQ$1,$B$1)</f>
        <v>150.47999999999999</v>
      </c>
      <c r="AR16">
        <f>_xll.EQNXTDZ($A$1,$B16,AR$1,$B$1)</f>
        <v>174.75</v>
      </c>
      <c r="AS16">
        <f>_xll.EQNXTDZ($A$1,$B16,AS$1,$B$1)</f>
        <v>174.16</v>
      </c>
      <c r="AT16">
        <f>_xll.EQNXTDZ($A$1,$B16,AT$1,$B$1)</f>
        <v>167.82</v>
      </c>
      <c r="AU16">
        <f>_xll.EQNXTDZ($A$1,$B16,AU$1,$B$1)</f>
        <v>180.5</v>
      </c>
      <c r="AV16">
        <f>_xll.EQNXTDZ($A$1,$B16,AV$1,$B$1)</f>
        <v>194.47</v>
      </c>
      <c r="AW16">
        <f>_xll.EQNXTDZ($A$1,$B16,AW$1,$B$1)</f>
        <v>204.61</v>
      </c>
      <c r="AX16">
        <f>_xll.EQNXTDZ($A$1,$B16,AX$1,$B$1)</f>
        <v>199.18</v>
      </c>
      <c r="AY16">
        <f>_xll.EQNXTDZ($A$1,$B16,AY$1,$B$1)</f>
        <v>202.27</v>
      </c>
      <c r="AZ16">
        <f>_xll.EQNXTDZ($A$1,$B16,AZ$1,$B$1)</f>
        <v>238.16</v>
      </c>
      <c r="BA16">
        <f>_xll.EQNXTDZ($A$1,$B16,BA$1,$B$1)</f>
        <v>231.14</v>
      </c>
      <c r="BB16">
        <f>_xll.EQNXTDZ($A$1,$B16,BB$1,$B$1)</f>
        <v>218.5</v>
      </c>
      <c r="BC16">
        <f>_xll.EQNXTDZ($A$1,$B16,BC$1,$B$1)</f>
        <v>230.51</v>
      </c>
      <c r="BD16">
        <f>_xll.EQNXTDZ($A$1,$B16,BD$1,$B$1)</f>
        <v>240.76</v>
      </c>
      <c r="BE16">
        <f>_xll.EQNXTDZ($A$1,$B16,BE$1,$B$1)</f>
        <v>224.64</v>
      </c>
      <c r="BF16">
        <f>_xll.EQNXTDZ($A$1,$B16,BF$1,$B$1)</f>
        <v>242.68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93.91</v>
      </c>
      <c r="D22">
        <f>_xll.EQNXTDZ($A$1,$B22,D$1,$B$1)</f>
        <v>43.979999999999897</v>
      </c>
      <c r="E22">
        <f>_xll.EQNXTDZ($A$1,$B22,E$1,$B$1)</f>
        <v>24.26</v>
      </c>
      <c r="F22">
        <f>_xll.EQNXTDZ($A$1,$B22,F$1,$B$1)</f>
        <v>81.790000000000006</v>
      </c>
      <c r="G22">
        <f>_xll.EQNXTDZ($A$1,$B22,G$1,$B$1)</f>
        <v>50.470000000000098</v>
      </c>
      <c r="H22">
        <f>_xll.EQNXTDZ($A$1,$B22,H$1,$B$1)</f>
        <v>42.269999999999897</v>
      </c>
      <c r="I22">
        <f>_xll.EQNXTDZ($A$1,$B22,I$1,$B$1)</f>
        <v>67.5</v>
      </c>
      <c r="J22">
        <f>_xll.EQNXTDZ($A$1,$B22,J$1,$B$1)</f>
        <v>105.37</v>
      </c>
      <c r="K22">
        <f>_xll.EQNXTDZ($A$1,$B22,K$1,$B$1)</f>
        <v>131.88999999999999</v>
      </c>
      <c r="L22">
        <f>_xll.EQNXTDZ($A$1,$B22,L$1,$B$1)</f>
        <v>77.739999999999995</v>
      </c>
      <c r="M22">
        <f>_xll.EQNXTDZ($A$1,$B22,M$1,$B$1)</f>
        <v>57.4</v>
      </c>
      <c r="N22">
        <f>_xll.EQNXTDZ($A$1,$B22,N$1,$B$1)</f>
        <v>143.01</v>
      </c>
      <c r="O22">
        <f>_xll.EQNXTDZ($A$1,$B22,O$1,$B$1)</f>
        <v>131.30000000000001</v>
      </c>
      <c r="P22">
        <f>_xll.EQNXTDZ($A$1,$B22,P$1,$B$1)</f>
        <v>64.520000000000095</v>
      </c>
      <c r="Q22">
        <f>_xll.EQNXTDZ($A$1,$B22,Q$1,$B$1)</f>
        <v>56.3</v>
      </c>
      <c r="R22">
        <f>_xll.EQNXTDZ($A$1,$B22,R$1,$B$1)</f>
        <v>180.84</v>
      </c>
      <c r="S22">
        <f>_xll.EQNXTDZ($A$1,$B22,S$1,$B$1)</f>
        <v>199.54</v>
      </c>
      <c r="T22">
        <f>_xll.EQNXTDZ($A$1,$B22,T$1,$B$1)</f>
        <v>68.670000000000101</v>
      </c>
      <c r="U22">
        <f>_xll.EQNXTDZ($A$1,$B22,U$1,$B$1)</f>
        <v>88.96</v>
      </c>
      <c r="V22">
        <f>_xll.EQNXTDZ($A$1,$B22,V$1,$B$1)</f>
        <v>221.17</v>
      </c>
      <c r="W22">
        <f>_xll.EQNXTDZ($A$1,$B22,W$1,$B$1)</f>
        <v>208.33</v>
      </c>
      <c r="X22">
        <f>_xll.EQNXTDZ($A$1,$B22,X$1,$B$1)</f>
        <v>86.96</v>
      </c>
      <c r="Y22">
        <f>_xll.EQNXTDZ($A$1,$B22,Y$1,$B$1)</f>
        <v>114.19</v>
      </c>
      <c r="Z22">
        <f>_xll.EQNXTDZ($A$1,$B22,Z$1,$B$1)</f>
        <v>253.16</v>
      </c>
      <c r="AA22">
        <f>_xll.EQNXTDZ($A$1,$B22,AA$1,$B$1)</f>
        <v>243.19</v>
      </c>
      <c r="AB22">
        <f>_xll.EQNXTDZ($A$1,$B22,AB$1,$B$1)</f>
        <v>108.54</v>
      </c>
      <c r="AC22">
        <f>_xll.EQNXTDZ($A$1,$B22,AC$1,$B$1)</f>
        <v>115.67</v>
      </c>
      <c r="AD22">
        <f>_xll.EQNXTDZ($A$1,$B22,AD$1,$B$1)</f>
        <v>144.31</v>
      </c>
      <c r="AE22">
        <f>_xll.EQNXTDZ($A$1,$B22,AE$1,$B$1)</f>
        <v>291.20999999999998</v>
      </c>
      <c r="AF22">
        <f>_xll.EQNXTDZ($A$1,$B22,AF$1,$B$1)</f>
        <v>105.88</v>
      </c>
      <c r="AG22">
        <f>_xll.EQNXTDZ($A$1,$B22,AG$1,$B$1)</f>
        <v>97.55</v>
      </c>
      <c r="AH22">
        <f>_xll.EQNXTDZ($A$1,$B22,AH$1,$B$1)</f>
        <v>192.02</v>
      </c>
      <c r="AI22">
        <f>_xll.EQNXTDZ($A$1,$B22,AI$1,$B$1)</f>
        <v>66.749999999999801</v>
      </c>
      <c r="AJ22">
        <f>_xll.EQNXTDZ($A$1,$B22,AJ$1,$B$1)</f>
        <v>97.99</v>
      </c>
      <c r="AK22">
        <f>_xll.EQNXTDZ($A$1,$B22,AK$1,$B$1)</f>
        <v>145.88999999999999</v>
      </c>
      <c r="AL22">
        <f>_xll.EQNXTDZ($A$1,$B22,AL$1,$B$1)</f>
        <v>330.73</v>
      </c>
      <c r="AM22">
        <f>_xll.EQNXTDZ($A$1,$B22,AM$1,$B$1)</f>
        <v>135.78</v>
      </c>
      <c r="AN22">
        <f>_xll.EQNXTDZ($A$1,$B22,AN$1,$B$1)</f>
        <v>129.12</v>
      </c>
      <c r="AO22">
        <f>_xll.EQNXTDZ($A$1,$B22,AO$1,$B$1)</f>
        <v>155.63999999999999</v>
      </c>
      <c r="AP22">
        <f>_xll.EQNXTDZ($A$1,$B22,AP$1,$B$1)</f>
        <v>261.01</v>
      </c>
      <c r="AQ22">
        <f>_xll.EQNXTDZ($A$1,$B22,AQ$1,$B$1)</f>
        <v>176.99</v>
      </c>
      <c r="AR22">
        <f>_xll.EQNXTDZ($A$1,$B22,AR$1,$B$1)</f>
        <v>100.84</v>
      </c>
      <c r="AS22">
        <f>_xll.EQNXTDZ($A$1,$B22,AS$1,$B$1)</f>
        <v>76.369999999999706</v>
      </c>
      <c r="AT22">
        <f>_xll.EQNXTDZ($A$1,$B22,AT$1,$B$1)</f>
        <v>218.17</v>
      </c>
      <c r="AU22">
        <f>_xll.EQNXTDZ($A$1,$B22,AU$1,$B$1)</f>
        <v>185.35</v>
      </c>
      <c r="AV22">
        <f>_xll.EQNXTDZ($A$1,$B22,AV$1,$B$1)</f>
        <v>70.269999999999698</v>
      </c>
      <c r="AW22">
        <f>_xll.EQNXTDZ($A$1,$B22,AW$1,$B$1)</f>
        <v>28.420000000000101</v>
      </c>
      <c r="AX22">
        <f>_xll.EQNXTDZ($A$1,$B22,AX$1,$B$1)</f>
        <v>190.58</v>
      </c>
      <c r="AY22">
        <f>_xll.EQNXTDZ($A$1,$B22,AY$1,$B$1)</f>
        <v>423.8</v>
      </c>
      <c r="AZ22">
        <f>_xll.EQNXTDZ($A$1,$B22,AZ$1,$B$1)</f>
        <v>162.21</v>
      </c>
      <c r="BA22">
        <f>_xll.EQNXTDZ($A$1,$B22,BA$1,$B$1)</f>
        <v>197.39</v>
      </c>
      <c r="BB22">
        <f>_xll.EQNXTDZ($A$1,$B22,BB$1,$B$1)</f>
        <v>332.78</v>
      </c>
      <c r="BC22">
        <f>_xll.EQNXTDZ($A$1,$B22,BC$1,$B$1)</f>
        <v>178.53</v>
      </c>
      <c r="BD22">
        <f>_xll.EQNXTDZ($A$1,$B22,BD$1,$B$1)</f>
        <v>70.410000000000196</v>
      </c>
      <c r="BE22">
        <f>_xll.EQNXTDZ($A$1,$B22,BE$1,$B$1)</f>
        <v>177.29</v>
      </c>
      <c r="BF22">
        <f>_xll.EQNXTDZ($A$1,$B22,BF$1,$B$1)</f>
        <v>220.67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34.94</v>
      </c>
      <c r="D23">
        <f>_xll.EQNXTDZ($A$1,$B23,D$1,$B$1)</f>
        <v>18.260000000000002</v>
      </c>
      <c r="E23">
        <f>_xll.EQNXTDZ($A$1,$B23,E$1,$B$1)</f>
        <v>24.3</v>
      </c>
      <c r="F23">
        <f>_xll.EQNXTDZ($A$1,$B23,F$1,$B$1)</f>
        <v>12.63</v>
      </c>
      <c r="G23">
        <f>_xll.EQNXTDZ($A$1,$B23,G$1,$B$1)</f>
        <v>22.11</v>
      </c>
      <c r="H23">
        <f>_xll.EQNXTDZ($A$1,$B23,H$1,$B$1)</f>
        <v>30.25</v>
      </c>
      <c r="I23">
        <f>_xll.EQNXTDZ($A$1,$B23,I$1,$B$1)</f>
        <v>17.04</v>
      </c>
      <c r="J23">
        <f>_xll.EQNXTDZ($A$1,$B23,J$1,$B$1)</f>
        <v>30.78</v>
      </c>
      <c r="K23">
        <f>_xll.EQNXTDZ($A$1,$B23,K$1,$B$1)</f>
        <v>29.21</v>
      </c>
      <c r="L23">
        <f>_xll.EQNXTDZ($A$1,$B23,L$1,$B$1)</f>
        <v>18.829999999999998</v>
      </c>
      <c r="M23">
        <f>_xll.EQNXTDZ($A$1,$B23,M$1,$B$1)</f>
        <v>30.39</v>
      </c>
      <c r="N23">
        <f>_xll.EQNXTDZ($A$1,$B23,N$1,$B$1)</f>
        <v>30.29</v>
      </c>
      <c r="O23">
        <f>_xll.EQNXTDZ($A$1,$B23,O$1,$B$1)</f>
        <v>24.8</v>
      </c>
      <c r="P23">
        <f>_xll.EQNXTDZ($A$1,$B23,P$1,$B$1)</f>
        <v>47.75</v>
      </c>
      <c r="Q23">
        <f>_xll.EQNXTDZ($A$1,$B23,Q$1,$B$1)</f>
        <v>24.9</v>
      </c>
      <c r="R23">
        <f>_xll.EQNXTDZ($A$1,$B23,R$1,$B$1)</f>
        <v>39.26</v>
      </c>
      <c r="S23">
        <f>_xll.EQNXTDZ($A$1,$B23,S$1,$B$1)</f>
        <v>35.72</v>
      </c>
      <c r="T23">
        <f>_xll.EQNXTDZ($A$1,$B23,T$1,$B$1)</f>
        <v>65.84</v>
      </c>
      <c r="U23">
        <f>_xll.EQNXTDZ($A$1,$B23,U$1,$B$1)</f>
        <v>59.66</v>
      </c>
      <c r="V23">
        <f>_xll.EQNXTDZ($A$1,$B23,V$1,$B$1)</f>
        <v>39.35</v>
      </c>
      <c r="W23">
        <f>_xll.EQNXTDZ($A$1,$B23,W$1,$B$1)</f>
        <v>58.95</v>
      </c>
      <c r="X23">
        <f>_xll.EQNXTDZ($A$1,$B23,X$1,$B$1)</f>
        <v>49.93</v>
      </c>
      <c r="Y23">
        <f>_xll.EQNXTDZ($A$1,$B23,Y$1,$B$1)</f>
        <v>21.46</v>
      </c>
      <c r="Z23">
        <f>_xll.EQNXTDZ($A$1,$B23,Z$1,$B$1)</f>
        <v>43.79</v>
      </c>
      <c r="AA23">
        <f>_xll.EQNXTDZ($A$1,$B23,AA$1,$B$1)</f>
        <v>28.21</v>
      </c>
      <c r="AB23">
        <f>_xll.EQNXTDZ($A$1,$B23,AB$1,$B$1)</f>
        <v>46.08</v>
      </c>
      <c r="AC23">
        <f>_xll.EQNXTDZ($A$1,$B23,AC$1,$B$1)</f>
        <v>54.78</v>
      </c>
      <c r="AD23">
        <f>_xll.EQNXTDZ($A$1,$B23,AD$1,$B$1)</f>
        <v>57.18</v>
      </c>
      <c r="AE23">
        <f>_xll.EQNXTDZ($A$1,$B23,AE$1,$B$1)</f>
        <v>43.27</v>
      </c>
      <c r="AF23">
        <f>_xll.EQNXTDZ($A$1,$B23,AF$1,$B$1)</f>
        <v>72.62</v>
      </c>
      <c r="AG23">
        <f>_xll.EQNXTDZ($A$1,$B23,AG$1,$B$1)</f>
        <v>54.25</v>
      </c>
      <c r="AH23">
        <f>_xll.EQNXTDZ($A$1,$B23,AH$1,$B$1)</f>
        <v>60.46</v>
      </c>
      <c r="AI23">
        <f>_xll.EQNXTDZ($A$1,$B23,AI$1,$B$1)</f>
        <v>67.400000000000006</v>
      </c>
      <c r="AJ23">
        <f>_xll.EQNXTDZ($A$1,$B23,AJ$1,$B$1)</f>
        <v>38.26</v>
      </c>
      <c r="AK23">
        <f>_xll.EQNXTDZ($A$1,$B23,AK$1,$B$1)</f>
        <v>51.62</v>
      </c>
      <c r="AL23">
        <f>_xll.EQNXTDZ($A$1,$B23,AL$1,$B$1)</f>
        <v>31.58</v>
      </c>
      <c r="AM23">
        <f>_xll.EQNXTDZ($A$1,$B23,AM$1,$B$1)</f>
        <v>74.97</v>
      </c>
      <c r="AN23">
        <f>_xll.EQNXTDZ($A$1,$B23,AN$1,$B$1)</f>
        <v>48.27</v>
      </c>
      <c r="AO23">
        <f>_xll.EQNXTDZ($A$1,$B23,AO$1,$B$1)</f>
        <v>28.75</v>
      </c>
      <c r="AP23">
        <f>_xll.EQNXTDZ($A$1,$B23,AP$1,$B$1)</f>
        <v>37.200000000000003</v>
      </c>
      <c r="AQ23">
        <f>_xll.EQNXTDZ($A$1,$B23,AQ$1,$B$1)</f>
        <v>26.75</v>
      </c>
      <c r="AR23">
        <f>_xll.EQNXTDZ($A$1,$B23,AR$1,$B$1)</f>
        <v>64.38</v>
      </c>
      <c r="AS23">
        <f>_xll.EQNXTDZ($A$1,$B23,AS$1,$B$1)</f>
        <v>30.66</v>
      </c>
      <c r="AT23">
        <f>_xll.EQNXTDZ($A$1,$B23,AT$1,$B$1)</f>
        <v>46.66</v>
      </c>
      <c r="AU23">
        <f>_xll.EQNXTDZ($A$1,$B23,AU$1,$B$1)</f>
        <v>69.97</v>
      </c>
      <c r="AV23">
        <f>_xll.EQNXTDZ($A$1,$B23,AV$1,$B$1)</f>
        <v>70.98</v>
      </c>
      <c r="AW23">
        <f>_xll.EQNXTDZ($A$1,$B23,AW$1,$B$1)</f>
        <v>57.89</v>
      </c>
      <c r="AX23">
        <f>_xll.EQNXTDZ($A$1,$B23,AX$1,$B$1)</f>
        <v>54.42</v>
      </c>
      <c r="AY23">
        <f>_xll.EQNXTDZ($A$1,$B23,AY$1,$B$1)</f>
        <v>80.25</v>
      </c>
      <c r="AZ23">
        <f>_xll.EQNXTDZ($A$1,$B23,AZ$1,$B$1)</f>
        <v>105.47</v>
      </c>
      <c r="BA23">
        <f>_xll.EQNXTDZ($A$1,$B23,BA$1,$B$1)</f>
        <v>59.05</v>
      </c>
      <c r="BB23">
        <f>_xll.EQNXTDZ($A$1,$B23,BB$1,$B$1)</f>
        <v>79.69</v>
      </c>
      <c r="BC23">
        <f>_xll.EQNXTDZ($A$1,$B23,BC$1,$B$1)</f>
        <v>82.07</v>
      </c>
      <c r="BD23">
        <f>_xll.EQNXTDZ($A$1,$B23,BD$1,$B$1)</f>
        <v>64.61</v>
      </c>
      <c r="BE23">
        <f>_xll.EQNXTDZ($A$1,$B23,BE$1,$B$1)</f>
        <v>48.84</v>
      </c>
      <c r="BF23">
        <f>_xll.EQNXTDZ($A$1,$B23,BF$1,$B$1)</f>
        <v>42.63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128.85</v>
      </c>
      <c r="D24">
        <f>_xll.EQNXTDZ($A$1,$B24,D$1,$B$1)</f>
        <v>62.24</v>
      </c>
      <c r="E24">
        <f>_xll.EQNXTDZ($A$1,$B24,E$1,$B$1)</f>
        <v>48.56</v>
      </c>
      <c r="F24">
        <f>_xll.EQNXTDZ($A$1,$B24,F$1,$B$1)</f>
        <v>94.42</v>
      </c>
      <c r="G24">
        <f>_xll.EQNXTDZ($A$1,$B24,G$1,$B$1)</f>
        <v>72.58</v>
      </c>
      <c r="H24">
        <f>_xll.EQNXTDZ($A$1,$B24,H$1,$B$1)</f>
        <v>72.52</v>
      </c>
      <c r="I24">
        <f>_xll.EQNXTDZ($A$1,$B24,I$1,$B$1)</f>
        <v>84.54</v>
      </c>
      <c r="J24">
        <f>_xll.EQNXTDZ($A$1,$B24,J$1,$B$1)</f>
        <v>136.15</v>
      </c>
      <c r="K24">
        <f>_xll.EQNXTDZ($A$1,$B24,K$1,$B$1)</f>
        <v>161.1</v>
      </c>
      <c r="L24">
        <f>_xll.EQNXTDZ($A$1,$B24,L$1,$B$1)</f>
        <v>96.57</v>
      </c>
      <c r="M24">
        <f>_xll.EQNXTDZ($A$1,$B24,M$1,$B$1)</f>
        <v>87.79</v>
      </c>
      <c r="N24">
        <f>_xll.EQNXTDZ($A$1,$B24,N$1,$B$1)</f>
        <v>173.3</v>
      </c>
      <c r="O24">
        <f>_xll.EQNXTDZ($A$1,$B24,O$1,$B$1)</f>
        <v>156.1</v>
      </c>
      <c r="P24">
        <f>_xll.EQNXTDZ($A$1,$B24,P$1,$B$1)</f>
        <v>112.27</v>
      </c>
      <c r="Q24">
        <f>_xll.EQNXTDZ($A$1,$B24,Q$1,$B$1)</f>
        <v>81.2</v>
      </c>
      <c r="R24">
        <f>_xll.EQNXTDZ($A$1,$B24,R$1,$B$1)</f>
        <v>220.1</v>
      </c>
      <c r="S24">
        <f>_xll.EQNXTDZ($A$1,$B24,S$1,$B$1)</f>
        <v>235.26</v>
      </c>
      <c r="T24">
        <f>_xll.EQNXTDZ($A$1,$B24,T$1,$B$1)</f>
        <v>134.51</v>
      </c>
      <c r="U24">
        <f>_xll.EQNXTDZ($A$1,$B24,U$1,$B$1)</f>
        <v>148.62</v>
      </c>
      <c r="V24">
        <f>_xll.EQNXTDZ($A$1,$B24,V$1,$B$1)</f>
        <v>260.52</v>
      </c>
      <c r="W24">
        <f>_xll.EQNXTDZ($A$1,$B24,W$1,$B$1)</f>
        <v>267.27999999999997</v>
      </c>
      <c r="X24">
        <f>_xll.EQNXTDZ($A$1,$B24,X$1,$B$1)</f>
        <v>136.88999999999999</v>
      </c>
      <c r="Y24">
        <f>_xll.EQNXTDZ($A$1,$B24,Y$1,$B$1)</f>
        <v>135.65</v>
      </c>
      <c r="Z24">
        <f>_xll.EQNXTDZ($A$1,$B24,Z$1,$B$1)</f>
        <v>296.95</v>
      </c>
      <c r="AA24">
        <f>_xll.EQNXTDZ($A$1,$B24,AA$1,$B$1)</f>
        <v>271.39999999999998</v>
      </c>
      <c r="AB24">
        <f>_xll.EQNXTDZ($A$1,$B24,AB$1,$B$1)</f>
        <v>154.62</v>
      </c>
      <c r="AC24">
        <f>_xll.EQNXTDZ($A$1,$B24,AC$1,$B$1)</f>
        <v>170.45</v>
      </c>
      <c r="AD24">
        <f>_xll.EQNXTDZ($A$1,$B24,AD$1,$B$1)</f>
        <v>201.49</v>
      </c>
      <c r="AE24">
        <f>_xll.EQNXTDZ($A$1,$B24,AE$1,$B$1)</f>
        <v>334.48</v>
      </c>
      <c r="AF24">
        <f>_xll.EQNXTDZ($A$1,$B24,AF$1,$B$1)</f>
        <v>178.5</v>
      </c>
      <c r="AG24">
        <f>_xll.EQNXTDZ($A$1,$B24,AG$1,$B$1)</f>
        <v>151.80000000000001</v>
      </c>
      <c r="AH24">
        <f>_xll.EQNXTDZ($A$1,$B24,AH$1,$B$1)</f>
        <v>252.48</v>
      </c>
      <c r="AI24">
        <f>_xll.EQNXTDZ($A$1,$B24,AI$1,$B$1)</f>
        <v>134.15</v>
      </c>
      <c r="AJ24">
        <f>_xll.EQNXTDZ($A$1,$B24,AJ$1,$B$1)</f>
        <v>136.25</v>
      </c>
      <c r="AK24">
        <f>_xll.EQNXTDZ($A$1,$B24,AK$1,$B$1)</f>
        <v>197.51</v>
      </c>
      <c r="AL24">
        <f>_xll.EQNXTDZ($A$1,$B24,AL$1,$B$1)</f>
        <v>362.31</v>
      </c>
      <c r="AM24">
        <f>_xll.EQNXTDZ($A$1,$B24,AM$1,$B$1)</f>
        <v>210.75</v>
      </c>
      <c r="AN24">
        <f>_xll.EQNXTDZ($A$1,$B24,AN$1,$B$1)</f>
        <v>177.39</v>
      </c>
      <c r="AO24">
        <f>_xll.EQNXTDZ($A$1,$B24,AO$1,$B$1)</f>
        <v>184.39</v>
      </c>
      <c r="AP24">
        <f>_xll.EQNXTDZ($A$1,$B24,AP$1,$B$1)</f>
        <v>298.20999999999998</v>
      </c>
      <c r="AQ24">
        <f>_xll.EQNXTDZ($A$1,$B24,AQ$1,$B$1)</f>
        <v>203.74</v>
      </c>
      <c r="AR24">
        <f>_xll.EQNXTDZ($A$1,$B24,AR$1,$B$1)</f>
        <v>165.22</v>
      </c>
      <c r="AS24">
        <f>_xll.EQNXTDZ($A$1,$B24,AS$1,$B$1)</f>
        <v>107.03</v>
      </c>
      <c r="AT24">
        <f>_xll.EQNXTDZ($A$1,$B24,AT$1,$B$1)</f>
        <v>264.83</v>
      </c>
      <c r="AU24">
        <f>_xll.EQNXTDZ($A$1,$B24,AU$1,$B$1)</f>
        <v>255.32</v>
      </c>
      <c r="AV24">
        <f>_xll.EQNXTDZ($A$1,$B24,AV$1,$B$1)</f>
        <v>141.25</v>
      </c>
      <c r="AW24">
        <f>_xll.EQNXTDZ($A$1,$B24,AW$1,$B$1)</f>
        <v>86.309999999999903</v>
      </c>
      <c r="AX24">
        <f>_xll.EQNXTDZ($A$1,$B24,AX$1,$B$1)</f>
        <v>245</v>
      </c>
      <c r="AY24">
        <f>_xll.EQNXTDZ($A$1,$B24,AY$1,$B$1)</f>
        <v>504.05</v>
      </c>
      <c r="AZ24">
        <f>_xll.EQNXTDZ($A$1,$B24,AZ$1,$B$1)</f>
        <v>267.68</v>
      </c>
      <c r="BA24">
        <f>_xll.EQNXTDZ($A$1,$B24,BA$1,$B$1)</f>
        <v>256.44</v>
      </c>
      <c r="BB24">
        <f>_xll.EQNXTDZ($A$1,$B24,BB$1,$B$1)</f>
        <v>412.47</v>
      </c>
      <c r="BC24">
        <f>_xll.EQNXTDZ($A$1,$B24,BC$1,$B$1)</f>
        <v>260.60000000000002</v>
      </c>
      <c r="BD24">
        <f>_xll.EQNXTDZ($A$1,$B24,BD$1,$B$1)</f>
        <v>135.02000000000001</v>
      </c>
      <c r="BE24">
        <f>_xll.EQNXTDZ($A$1,$B24,BE$1,$B$1)</f>
        <v>226.13</v>
      </c>
      <c r="BF24">
        <f>_xll.EQNXTDZ($A$1,$B24,BF$1,$B$1)</f>
        <v>263.3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12.09</v>
      </c>
      <c r="D25">
        <f>_xll.EQNXTDZ($A$1,$B25,D$1,$B$1)</f>
        <v>8.5299999999999994</v>
      </c>
      <c r="E25">
        <f>_xll.EQNXTDZ($A$1,$B25,E$1,$B$1)</f>
        <v>7.15</v>
      </c>
      <c r="F25">
        <f>_xll.EQNXTDZ($A$1,$B25,F$1,$B$1)</f>
        <v>10.71</v>
      </c>
      <c r="G25">
        <f>_xll.EQNXTDZ($A$1,$B25,G$1,$B$1)</f>
        <v>6.97</v>
      </c>
      <c r="H25">
        <f>_xll.EQNXTDZ($A$1,$B25,H$1,$B$1)</f>
        <v>4.5599999999999996</v>
      </c>
      <c r="I25">
        <f>_xll.EQNXTDZ($A$1,$B25,I$1,$B$1)</f>
        <v>4.5599999999999996</v>
      </c>
      <c r="J25">
        <f>_xll.EQNXTDZ($A$1,$B25,J$1,$B$1)</f>
        <v>6.46</v>
      </c>
      <c r="K25">
        <f>_xll.EQNXTDZ($A$1,$B25,K$1,$B$1)</f>
        <v>8.6999999999999993</v>
      </c>
      <c r="L25">
        <f>_xll.EQNXTDZ($A$1,$B25,L$1,$B$1)</f>
        <v>4.3899999999999997</v>
      </c>
      <c r="M25">
        <f>_xll.EQNXTDZ($A$1,$B25,M$1,$B$1)</f>
        <v>4.3499999999999996</v>
      </c>
      <c r="N25">
        <f>_xll.EQNXTDZ($A$1,$B25,N$1,$B$1)</f>
        <v>5.82</v>
      </c>
      <c r="O25">
        <f>_xll.EQNXTDZ($A$1,$B25,O$1,$B$1)</f>
        <v>3.36</v>
      </c>
      <c r="P25">
        <f>_xll.EQNXTDZ($A$1,$B25,P$1,$B$1)</f>
        <v>3.34</v>
      </c>
      <c r="Q25">
        <f>_xll.EQNXTDZ($A$1,$B25,Q$1,$B$1)</f>
        <v>3.67</v>
      </c>
      <c r="R25">
        <f>_xll.EQNXTDZ($A$1,$B25,R$1,$B$1)</f>
        <v>5.43</v>
      </c>
      <c r="S25">
        <f>_xll.EQNXTDZ($A$1,$B25,S$1,$B$1)</f>
        <v>4.84</v>
      </c>
      <c r="T25">
        <f>_xll.EQNXTDZ($A$1,$B25,T$1,$B$1)</f>
        <v>3.26</v>
      </c>
      <c r="U25">
        <f>_xll.EQNXTDZ($A$1,$B25,U$1,$B$1)</f>
        <v>2.17</v>
      </c>
      <c r="V25">
        <f>_xll.EQNXTDZ($A$1,$B25,V$1,$B$1)</f>
        <v>5.77</v>
      </c>
      <c r="W25">
        <f>_xll.EQNXTDZ($A$1,$B25,W$1,$B$1)</f>
        <v>3.54</v>
      </c>
      <c r="X25">
        <f>_xll.EQNXTDZ($A$1,$B25,X$1,$B$1)</f>
        <v>2.15</v>
      </c>
      <c r="Y25">
        <f>_xll.EQNXTDZ($A$1,$B25,Y$1,$B$1)</f>
        <v>1.89</v>
      </c>
      <c r="Z25">
        <f>_xll.EQNXTDZ($A$1,$B25,Z$1,$B$1)</f>
        <v>4.34</v>
      </c>
      <c r="AA25">
        <f>_xll.EQNXTDZ($A$1,$B25,AA$1,$B$1)</f>
        <v>2.73</v>
      </c>
      <c r="AB25">
        <f>_xll.EQNXTDZ($A$1,$B25,AB$1,$B$1)</f>
        <v>6.39</v>
      </c>
      <c r="AC25">
        <f>_xll.EQNXTDZ($A$1,$B25,AC$1,$B$1)</f>
        <v>13.23</v>
      </c>
      <c r="AD25">
        <f>_xll.EQNXTDZ($A$1,$B25,AD$1,$B$1)</f>
        <v>10.63</v>
      </c>
      <c r="AE25">
        <f>_xll.EQNXTDZ($A$1,$B25,AE$1,$B$1)</f>
        <v>4.38</v>
      </c>
      <c r="AF25">
        <f>_xll.EQNXTDZ($A$1,$B25,AF$1,$B$1)</f>
        <v>4.9400000000000004</v>
      </c>
      <c r="AG25">
        <f>_xll.EQNXTDZ($A$1,$B25,AG$1,$B$1)</f>
        <v>5.73</v>
      </c>
      <c r="AH25">
        <f>_xll.EQNXTDZ($A$1,$B25,AH$1,$B$1)</f>
        <v>6.05</v>
      </c>
      <c r="AI25">
        <f>_xll.EQNXTDZ($A$1,$B25,AI$1,$B$1)</f>
        <v>6.72</v>
      </c>
      <c r="AJ25">
        <f>_xll.EQNXTDZ($A$1,$B25,AJ$1,$B$1)</f>
        <v>5.81</v>
      </c>
      <c r="AK25">
        <f>_xll.EQNXTDZ($A$1,$B25,AK$1,$B$1)</f>
        <v>3.2</v>
      </c>
      <c r="AL25">
        <f>_xll.EQNXTDZ($A$1,$B25,AL$1,$B$1)</f>
        <v>10.42</v>
      </c>
      <c r="AM25">
        <f>_xll.EQNXTDZ($A$1,$B25,AM$1,$B$1)</f>
        <v>3.5</v>
      </c>
      <c r="AN25">
        <f>_xll.EQNXTDZ($A$1,$B25,AN$1,$B$1)</f>
        <v>6.24</v>
      </c>
      <c r="AO25">
        <f>_xll.EQNXTDZ($A$1,$B25,AO$1,$B$1)</f>
        <v>3.62</v>
      </c>
      <c r="AP25">
        <f>_xll.EQNXTDZ($A$1,$B25,AP$1,$B$1)</f>
        <v>12.51</v>
      </c>
      <c r="AQ25">
        <f>_xll.EQNXTDZ($A$1,$B25,AQ$1,$B$1)</f>
        <v>3.98</v>
      </c>
      <c r="AR25">
        <f>_xll.EQNXTDZ($A$1,$B25,AR$1,$B$1)</f>
        <v>6.74</v>
      </c>
      <c r="AS25">
        <f>_xll.EQNXTDZ($A$1,$B25,AS$1,$B$1)</f>
        <v>6.43</v>
      </c>
      <c r="AT25">
        <f>_xll.EQNXTDZ($A$1,$B25,AT$1,$B$1)</f>
        <v>12.44</v>
      </c>
      <c r="AU25">
        <f>_xll.EQNXTDZ($A$1,$B25,AU$1,$B$1)</f>
        <v>10.11</v>
      </c>
      <c r="AV25">
        <f>_xll.EQNXTDZ($A$1,$B25,AV$1,$B$1)</f>
        <v>11.45</v>
      </c>
      <c r="AW25">
        <f>_xll.EQNXTDZ($A$1,$B25,AW$1,$B$1)</f>
        <v>13.53</v>
      </c>
      <c r="AX25">
        <f>_xll.EQNXTDZ($A$1,$B25,AX$1,$B$1)</f>
        <v>20.79</v>
      </c>
      <c r="AY25">
        <f>_xll.EQNXTDZ($A$1,$B25,AY$1,$B$1)</f>
        <v>9.75</v>
      </c>
      <c r="AZ25">
        <f>_xll.EQNXTDZ($A$1,$B25,AZ$1,$B$1)</f>
        <v>13.56</v>
      </c>
      <c r="BA25">
        <f>_xll.EQNXTDZ($A$1,$B25,BA$1,$B$1)</f>
        <v>15.52</v>
      </c>
      <c r="BB25">
        <f>_xll.EQNXTDZ($A$1,$B25,BB$1,$B$1)</f>
        <v>23.28</v>
      </c>
      <c r="BC25">
        <f>_xll.EQNXTDZ($A$1,$B25,BC$1,$B$1)</f>
        <v>13.53</v>
      </c>
      <c r="BD25">
        <f>_xll.EQNXTDZ($A$1,$B25,BD$1,$B$1)</f>
        <v>19.96</v>
      </c>
      <c r="BE25">
        <f>_xll.EQNXTDZ($A$1,$B25,BE$1,$B$1)</f>
        <v>31.09</v>
      </c>
      <c r="BF25">
        <f>_xll.EQNXTDZ($A$1,$B25,BF$1,$B$1)</f>
        <v>22.2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1.1100000000000001</v>
      </c>
      <c r="D26">
        <f>_xll.EQNXTDZ($A$1,$B26,D$1,$B$1)</f>
        <v>14.54</v>
      </c>
      <c r="E26">
        <f>_xll.EQNXTDZ($A$1,$B26,E$1,$B$1)</f>
        <v>59.75</v>
      </c>
      <c r="F26">
        <f>_xll.EQNXTDZ($A$1,$B26,F$1,$B$1)</f>
        <v>-63.32</v>
      </c>
      <c r="G26">
        <f>_xll.EQNXTDZ($A$1,$B26,G$1,$B$1)</f>
        <v>-0.08</v>
      </c>
      <c r="H26">
        <f>_xll.EQNXTDZ($A$1,$B26,H$1,$B$1)</f>
        <v>0</v>
      </c>
      <c r="I26">
        <f>_xll.EQNXTDZ($A$1,$B26,I$1,$B$1)</f>
        <v>4.25</v>
      </c>
      <c r="J26">
        <f>_xll.EQNXTDZ($A$1,$B26,J$1,$B$1)</f>
        <v>17.37</v>
      </c>
      <c r="K26">
        <f>_xll.EQNXTDZ($A$1,$B26,K$1,$B$1)</f>
        <v>0.46</v>
      </c>
      <c r="L26">
        <f>_xll.EQNXTDZ($A$1,$B26,L$1,$B$1)</f>
        <v>0</v>
      </c>
      <c r="M26">
        <f>_xll.EQNXTDZ($A$1,$B26,M$1,$B$1)</f>
        <v>44.5</v>
      </c>
      <c r="N26">
        <f>_xll.EQNXTDZ($A$1,$B26,N$1,$B$1)</f>
        <v>1.23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2.1800000000000002</v>
      </c>
      <c r="R26">
        <f>_xll.EQNXTDZ($A$1,$B26,R$1,$B$1)</f>
        <v>26.76</v>
      </c>
      <c r="S26">
        <f>_xll.EQNXTDZ($A$1,$B26,S$1,$B$1)</f>
        <v>0.94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0.16</v>
      </c>
      <c r="W26">
        <f>_xll.EQNXTDZ($A$1,$B26,W$1,$B$1)</f>
        <v>2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-1.39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-11.77</v>
      </c>
      <c r="AD26">
        <f>_xll.EQNXTDZ($A$1,$B26,AD$1,$B$1)</f>
        <v>0</v>
      </c>
      <c r="AE26">
        <f>_xll.EQNXTDZ($A$1,$B26,AE$1,$B$1)</f>
        <v>-43.03</v>
      </c>
      <c r="AF26">
        <f>_xll.EQNXTDZ($A$1,$B26,AF$1,$B$1)</f>
        <v>-6.14</v>
      </c>
      <c r="AG26">
        <f>_xll.EQNXTDZ($A$1,$B26,AG$1,$B$1)</f>
        <v>0</v>
      </c>
      <c r="AH26">
        <f>_xll.EQNXTDZ($A$1,$B26,AH$1,$B$1)</f>
        <v>-2.02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-106.43</v>
      </c>
      <c r="AS26">
        <f>_xll.EQNXTDZ($A$1,$B26,AS$1,$B$1)</f>
        <v>-137.38999999999999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-26.49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117.87</v>
      </c>
      <c r="D27">
        <f>_xll.EQNXTDZ($A$1,$B27,D$1,$B$1)</f>
        <v>68.25</v>
      </c>
      <c r="E27">
        <f>_xll.EQNXTDZ($A$1,$B27,E$1,$B$1)</f>
        <v>101.16</v>
      </c>
      <c r="F27">
        <f>_xll.EQNXTDZ($A$1,$B27,F$1,$B$1)</f>
        <v>20.39</v>
      </c>
      <c r="G27">
        <f>_xll.EQNXTDZ($A$1,$B27,G$1,$B$1)</f>
        <v>65.53</v>
      </c>
      <c r="H27">
        <f>_xll.EQNXTDZ($A$1,$B27,H$1,$B$1)</f>
        <v>67.959999999999994</v>
      </c>
      <c r="I27">
        <f>_xll.EQNXTDZ($A$1,$B27,I$1,$B$1)</f>
        <v>84.23</v>
      </c>
      <c r="J27">
        <f>_xll.EQNXTDZ($A$1,$B27,J$1,$B$1)</f>
        <v>147.06</v>
      </c>
      <c r="K27">
        <f>_xll.EQNXTDZ($A$1,$B27,K$1,$B$1)</f>
        <v>152.86000000000001</v>
      </c>
      <c r="L27">
        <f>_xll.EQNXTDZ($A$1,$B27,L$1,$B$1)</f>
        <v>92.18</v>
      </c>
      <c r="M27">
        <f>_xll.EQNXTDZ($A$1,$B27,M$1,$B$1)</f>
        <v>127.94</v>
      </c>
      <c r="N27">
        <f>_xll.EQNXTDZ($A$1,$B27,N$1,$B$1)</f>
        <v>168.71</v>
      </c>
      <c r="O27">
        <f>_xll.EQNXTDZ($A$1,$B27,O$1,$B$1)</f>
        <v>152.74</v>
      </c>
      <c r="P27">
        <f>_xll.EQNXTDZ($A$1,$B27,P$1,$B$1)</f>
        <v>108.93</v>
      </c>
      <c r="Q27">
        <f>_xll.EQNXTDZ($A$1,$B27,Q$1,$B$1)</f>
        <v>79.709999999999994</v>
      </c>
      <c r="R27">
        <f>_xll.EQNXTDZ($A$1,$B27,R$1,$B$1)</f>
        <v>241.43</v>
      </c>
      <c r="S27">
        <f>_xll.EQNXTDZ($A$1,$B27,S$1,$B$1)</f>
        <v>231.36</v>
      </c>
      <c r="T27">
        <f>_xll.EQNXTDZ($A$1,$B27,T$1,$B$1)</f>
        <v>131.25</v>
      </c>
      <c r="U27">
        <f>_xll.EQNXTDZ($A$1,$B27,U$1,$B$1)</f>
        <v>146.44999999999999</v>
      </c>
      <c r="V27">
        <f>_xll.EQNXTDZ($A$1,$B27,V$1,$B$1)</f>
        <v>254.91</v>
      </c>
      <c r="W27">
        <f>_xll.EQNXTDZ($A$1,$B27,W$1,$B$1)</f>
        <v>265.74</v>
      </c>
      <c r="X27">
        <f>_xll.EQNXTDZ($A$1,$B27,X$1,$B$1)</f>
        <v>134.74</v>
      </c>
      <c r="Y27">
        <f>_xll.EQNXTDZ($A$1,$B27,Y$1,$B$1)</f>
        <v>133.76</v>
      </c>
      <c r="Z27">
        <f>_xll.EQNXTDZ($A$1,$B27,Z$1,$B$1)</f>
        <v>291.22000000000003</v>
      </c>
      <c r="AA27">
        <f>_xll.EQNXTDZ($A$1,$B27,AA$1,$B$1)</f>
        <v>268.67</v>
      </c>
      <c r="AB27">
        <f>_xll.EQNXTDZ($A$1,$B27,AB$1,$B$1)</f>
        <v>148.22999999999999</v>
      </c>
      <c r="AC27">
        <f>_xll.EQNXTDZ($A$1,$B27,AC$1,$B$1)</f>
        <v>145.44999999999999</v>
      </c>
      <c r="AD27">
        <f>_xll.EQNXTDZ($A$1,$B27,AD$1,$B$1)</f>
        <v>190.86</v>
      </c>
      <c r="AE27">
        <f>_xll.EQNXTDZ($A$1,$B27,AE$1,$B$1)</f>
        <v>287.07</v>
      </c>
      <c r="AF27">
        <f>_xll.EQNXTDZ($A$1,$B27,AF$1,$B$1)</f>
        <v>167.42</v>
      </c>
      <c r="AG27">
        <f>_xll.EQNXTDZ($A$1,$B27,AG$1,$B$1)</f>
        <v>146.07</v>
      </c>
      <c r="AH27">
        <f>_xll.EQNXTDZ($A$1,$B27,AH$1,$B$1)</f>
        <v>244.41</v>
      </c>
      <c r="AI27">
        <f>_xll.EQNXTDZ($A$1,$B27,AI$1,$B$1)</f>
        <v>127.43</v>
      </c>
      <c r="AJ27">
        <f>_xll.EQNXTDZ($A$1,$B27,AJ$1,$B$1)</f>
        <v>130.44</v>
      </c>
      <c r="AK27">
        <f>_xll.EQNXTDZ($A$1,$B27,AK$1,$B$1)</f>
        <v>194.31</v>
      </c>
      <c r="AL27">
        <f>_xll.EQNXTDZ($A$1,$B27,AL$1,$B$1)</f>
        <v>351.89</v>
      </c>
      <c r="AM27">
        <f>_xll.EQNXTDZ($A$1,$B27,AM$1,$B$1)</f>
        <v>207.25</v>
      </c>
      <c r="AN27">
        <f>_xll.EQNXTDZ($A$1,$B27,AN$1,$B$1)</f>
        <v>171.15</v>
      </c>
      <c r="AO27">
        <f>_xll.EQNXTDZ($A$1,$B27,AO$1,$B$1)</f>
        <v>180.77</v>
      </c>
      <c r="AP27">
        <f>_xll.EQNXTDZ($A$1,$B27,AP$1,$B$1)</f>
        <v>285.7</v>
      </c>
      <c r="AQ27">
        <f>_xll.EQNXTDZ($A$1,$B27,AQ$1,$B$1)</f>
        <v>199.76</v>
      </c>
      <c r="AR27">
        <f>_xll.EQNXTDZ($A$1,$B27,AR$1,$B$1)</f>
        <v>52.050000000000097</v>
      </c>
      <c r="AS27">
        <f>_xll.EQNXTDZ($A$1,$B27,AS$1,$B$1)</f>
        <v>-36.790000000000099</v>
      </c>
      <c r="AT27">
        <f>_xll.EQNXTDZ($A$1,$B27,AT$1,$B$1)</f>
        <v>252.39</v>
      </c>
      <c r="AU27">
        <f>_xll.EQNXTDZ($A$1,$B27,AU$1,$B$1)</f>
        <v>245.21</v>
      </c>
      <c r="AV27">
        <f>_xll.EQNXTDZ($A$1,$B27,AV$1,$B$1)</f>
        <v>129.80000000000001</v>
      </c>
      <c r="AW27">
        <f>_xll.EQNXTDZ($A$1,$B27,AW$1,$B$1)</f>
        <v>72.779999999999902</v>
      </c>
      <c r="AX27">
        <f>_xll.EQNXTDZ($A$1,$B27,AX$1,$B$1)</f>
        <v>224.21</v>
      </c>
      <c r="AY27">
        <f>_xll.EQNXTDZ($A$1,$B27,AY$1,$B$1)</f>
        <v>494.3</v>
      </c>
      <c r="AZ27">
        <f>_xll.EQNXTDZ($A$1,$B27,AZ$1,$B$1)</f>
        <v>254.12</v>
      </c>
      <c r="BA27">
        <f>_xll.EQNXTDZ($A$1,$B27,BA$1,$B$1)</f>
        <v>240.92</v>
      </c>
      <c r="BB27">
        <f>_xll.EQNXTDZ($A$1,$B27,BB$1,$B$1)</f>
        <v>389.19</v>
      </c>
      <c r="BC27">
        <f>_xll.EQNXTDZ($A$1,$B27,BC$1,$B$1)</f>
        <v>247.07</v>
      </c>
      <c r="BD27">
        <f>_xll.EQNXTDZ($A$1,$B27,BD$1,$B$1)</f>
        <v>115.06</v>
      </c>
      <c r="BE27">
        <f>_xll.EQNXTDZ($A$1,$B27,BE$1,$B$1)</f>
        <v>168.55</v>
      </c>
      <c r="BF27">
        <f>_xll.EQNXTDZ($A$1,$B27,BF$1,$B$1)</f>
        <v>241.1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7.3</v>
      </c>
      <c r="D28">
        <f>_xll.EQNXTDZ($A$1,$B28,D$1,$B$1)</f>
        <v>7.59</v>
      </c>
      <c r="E28">
        <f>_xll.EQNXTDZ($A$1,$B28,E$1,$B$1)</f>
        <v>6.95</v>
      </c>
      <c r="F28">
        <f>_xll.EQNXTDZ($A$1,$B28,F$1,$B$1)</f>
        <v>6</v>
      </c>
      <c r="G28">
        <f>_xll.EQNXTDZ($A$1,$B28,G$1,$B$1)</f>
        <v>6.05</v>
      </c>
      <c r="H28">
        <f>_xll.EQNXTDZ($A$1,$B28,H$1,$B$1)</f>
        <v>5.95</v>
      </c>
      <c r="I28">
        <f>_xll.EQNXTDZ($A$1,$B28,I$1,$B$1)</f>
        <v>5.96</v>
      </c>
      <c r="J28">
        <f>_xll.EQNXTDZ($A$1,$B28,J$1,$B$1)</f>
        <v>6.88</v>
      </c>
      <c r="K28">
        <f>_xll.EQNXTDZ($A$1,$B28,K$1,$B$1)</f>
        <v>6.06</v>
      </c>
      <c r="L28">
        <f>_xll.EQNXTDZ($A$1,$B28,L$1,$B$1)</f>
        <v>6.9</v>
      </c>
      <c r="M28">
        <f>_xll.EQNXTDZ($A$1,$B28,M$1,$B$1)</f>
        <v>6.97</v>
      </c>
      <c r="N28">
        <f>_xll.EQNXTDZ($A$1,$B28,N$1,$B$1)</f>
        <v>8.11</v>
      </c>
      <c r="O28">
        <f>_xll.EQNXTDZ($A$1,$B28,O$1,$B$1)</f>
        <v>5.9</v>
      </c>
      <c r="P28">
        <f>_xll.EQNXTDZ($A$1,$B28,P$1,$B$1)</f>
        <v>6.41</v>
      </c>
      <c r="Q28">
        <f>_xll.EQNXTDZ($A$1,$B28,Q$1,$B$1)</f>
        <v>6.52</v>
      </c>
      <c r="R28">
        <f>_xll.EQNXTDZ($A$1,$B28,R$1,$B$1)</f>
        <v>7.52</v>
      </c>
      <c r="S28">
        <f>_xll.EQNXTDZ($A$1,$B28,S$1,$B$1)</f>
        <v>6.55</v>
      </c>
      <c r="T28">
        <f>_xll.EQNXTDZ($A$1,$B28,T$1,$B$1)</f>
        <v>6.32</v>
      </c>
      <c r="U28">
        <f>_xll.EQNXTDZ($A$1,$B28,U$1,$B$1)</f>
        <v>5.96</v>
      </c>
      <c r="V28">
        <f>_xll.EQNXTDZ($A$1,$B28,V$1,$B$1)</f>
        <v>5.62</v>
      </c>
      <c r="W28">
        <f>_xll.EQNXTDZ($A$1,$B28,W$1,$B$1)</f>
        <v>6.12</v>
      </c>
      <c r="X28">
        <f>_xll.EQNXTDZ($A$1,$B28,X$1,$B$1)</f>
        <v>6.09</v>
      </c>
      <c r="Y28">
        <f>_xll.EQNXTDZ($A$1,$B28,Y$1,$B$1)</f>
        <v>6.07</v>
      </c>
      <c r="Z28">
        <f>_xll.EQNXTDZ($A$1,$B28,Z$1,$B$1)</f>
        <v>6.07</v>
      </c>
      <c r="AA28">
        <f>_xll.EQNXTDZ($A$1,$B28,AA$1,$B$1)</f>
        <v>5.94</v>
      </c>
      <c r="AB28">
        <f>_xll.EQNXTDZ($A$1,$B28,AB$1,$B$1)</f>
        <v>5.95</v>
      </c>
      <c r="AC28">
        <f>_xll.EQNXTDZ($A$1,$B28,AC$1,$B$1)</f>
        <v>6.16</v>
      </c>
      <c r="AD28">
        <f>_xll.EQNXTDZ($A$1,$B28,AD$1,$B$1)</f>
        <v>5.93</v>
      </c>
      <c r="AE28">
        <f>_xll.EQNXTDZ($A$1,$B28,AE$1,$B$1)</f>
        <v>7.72</v>
      </c>
      <c r="AF28">
        <f>_xll.EQNXTDZ($A$1,$B28,AF$1,$B$1)</f>
        <v>8.02</v>
      </c>
      <c r="AG28">
        <f>_xll.EQNXTDZ($A$1,$B28,AG$1,$B$1)</f>
        <v>8.02</v>
      </c>
      <c r="AH28">
        <f>_xll.EQNXTDZ($A$1,$B28,AH$1,$B$1)</f>
        <v>8.1999999999999993</v>
      </c>
      <c r="AI28">
        <f>_xll.EQNXTDZ($A$1,$B28,AI$1,$B$1)</f>
        <v>8.2200000000000006</v>
      </c>
      <c r="AJ28">
        <f>_xll.EQNXTDZ($A$1,$B28,AJ$1,$B$1)</f>
        <v>8.39</v>
      </c>
      <c r="AK28">
        <f>_xll.EQNXTDZ($A$1,$B28,AK$1,$B$1)</f>
        <v>8.41</v>
      </c>
      <c r="AL28">
        <f>_xll.EQNXTDZ($A$1,$B28,AL$1,$B$1)</f>
        <v>8.8699999999999992</v>
      </c>
      <c r="AM28">
        <f>_xll.EQNXTDZ($A$1,$B28,AM$1,$B$1)</f>
        <v>8.61</v>
      </c>
      <c r="AN28">
        <f>_xll.EQNXTDZ($A$1,$B28,AN$1,$B$1)</f>
        <v>9.5</v>
      </c>
      <c r="AO28">
        <f>_xll.EQNXTDZ($A$1,$B28,AO$1,$B$1)</f>
        <v>9.6999999999999993</v>
      </c>
      <c r="AP28">
        <f>_xll.EQNXTDZ($A$1,$B28,AP$1,$B$1)</f>
        <v>9.4499999999999993</v>
      </c>
      <c r="AQ28">
        <f>_xll.EQNXTDZ($A$1,$B28,AQ$1,$B$1)</f>
        <v>8.49</v>
      </c>
      <c r="AR28">
        <f>_xll.EQNXTDZ($A$1,$B28,AR$1,$B$1)</f>
        <v>9.6999999999999993</v>
      </c>
      <c r="AS28">
        <f>_xll.EQNXTDZ($A$1,$B28,AS$1,$B$1)</f>
        <v>11.05</v>
      </c>
      <c r="AT28">
        <f>_xll.EQNXTDZ($A$1,$B28,AT$1,$B$1)</f>
        <v>10.38</v>
      </c>
      <c r="AU28">
        <f>_xll.EQNXTDZ($A$1,$B28,AU$1,$B$1)</f>
        <v>11.26</v>
      </c>
      <c r="AV28">
        <f>_xll.EQNXTDZ($A$1,$B28,AV$1,$B$1)</f>
        <v>11.68</v>
      </c>
      <c r="AW28">
        <f>_xll.EQNXTDZ($A$1,$B28,AW$1,$B$1)</f>
        <v>12.84</v>
      </c>
      <c r="AX28">
        <f>_xll.EQNXTDZ($A$1,$B28,AX$1,$B$1)</f>
        <v>11.81</v>
      </c>
      <c r="AY28">
        <f>_xll.EQNXTDZ($A$1,$B28,AY$1,$B$1)</f>
        <v>13.43</v>
      </c>
      <c r="AZ28">
        <f>_xll.EQNXTDZ($A$1,$B28,AZ$1,$B$1)</f>
        <v>16.43</v>
      </c>
      <c r="BA28">
        <f>_xll.EQNXTDZ($A$1,$B28,BA$1,$B$1)</f>
        <v>17.87</v>
      </c>
      <c r="BB28">
        <f>_xll.EQNXTDZ($A$1,$B28,BB$1,$B$1)</f>
        <v>14.05</v>
      </c>
      <c r="BC28">
        <f>_xll.EQNXTDZ($A$1,$B28,BC$1,$B$1)</f>
        <v>18.47</v>
      </c>
      <c r="BD28">
        <f>_xll.EQNXTDZ($A$1,$B28,BD$1,$B$1)</f>
        <v>24.42</v>
      </c>
      <c r="BE28">
        <f>_xll.EQNXTDZ($A$1,$B28,BE$1,$B$1)</f>
        <v>20.62</v>
      </c>
      <c r="BF28">
        <f>_xll.EQNXTDZ($A$1,$B28,BF$1,$B$1)</f>
        <v>20.59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31.6</v>
      </c>
      <c r="D29">
        <f>_xll.EQNXTDZ($A$1,$B29,D$1,$B$1)</f>
        <v>17.690000000000001</v>
      </c>
      <c r="E29">
        <f>_xll.EQNXTDZ($A$1,$B29,E$1,$B$1)</f>
        <v>18.07</v>
      </c>
      <c r="F29">
        <f>_xll.EQNXTDZ($A$1,$B29,F$1,$B$1)</f>
        <v>5.4</v>
      </c>
      <c r="G29">
        <f>_xll.EQNXTDZ($A$1,$B29,G$1,$B$1)</f>
        <v>18.95</v>
      </c>
      <c r="H29">
        <f>_xll.EQNXTDZ($A$1,$B29,H$1,$B$1)</f>
        <v>19.63</v>
      </c>
      <c r="I29">
        <f>_xll.EQNXTDZ($A$1,$B29,I$1,$B$1)</f>
        <v>16.350000000000001</v>
      </c>
      <c r="J29">
        <f>_xll.EQNXTDZ($A$1,$B29,J$1,$B$1)</f>
        <v>39.200000000000003</v>
      </c>
      <c r="K29">
        <f>_xll.EQNXTDZ($A$1,$B29,K$1,$B$1)</f>
        <v>36.53</v>
      </c>
      <c r="L29">
        <f>_xll.EQNXTDZ($A$1,$B29,L$1,$B$1)</f>
        <v>35.130000000000003</v>
      </c>
      <c r="M29">
        <f>_xll.EQNXTDZ($A$1,$B29,M$1,$B$1)</f>
        <v>14.69</v>
      </c>
      <c r="N29">
        <f>_xll.EQNXTDZ($A$1,$B29,N$1,$B$1)</f>
        <v>41.27</v>
      </c>
      <c r="O29">
        <f>_xll.EQNXTDZ($A$1,$B29,O$1,$B$1)</f>
        <v>45.17</v>
      </c>
      <c r="P29">
        <f>_xll.EQNXTDZ($A$1,$B29,P$1,$B$1)</f>
        <v>37.82</v>
      </c>
      <c r="Q29">
        <f>_xll.EQNXTDZ($A$1,$B29,Q$1,$B$1)</f>
        <v>19.52</v>
      </c>
      <c r="R29">
        <f>_xll.EQNXTDZ($A$1,$B29,R$1,$B$1)</f>
        <v>67.06</v>
      </c>
      <c r="S29">
        <f>_xll.EQNXTDZ($A$1,$B29,S$1,$B$1)</f>
        <v>65.05</v>
      </c>
      <c r="T29">
        <f>_xll.EQNXTDZ($A$1,$B29,T$1,$B$1)</f>
        <v>42.09</v>
      </c>
      <c r="U29">
        <f>_xll.EQNXTDZ($A$1,$B29,U$1,$B$1)</f>
        <v>43.71</v>
      </c>
      <c r="V29">
        <f>_xll.EQNXTDZ($A$1,$B29,V$1,$B$1)</f>
        <v>49.56</v>
      </c>
      <c r="W29">
        <f>_xll.EQNXTDZ($A$1,$B29,W$1,$B$1)</f>
        <v>72.66</v>
      </c>
      <c r="X29">
        <f>_xll.EQNXTDZ($A$1,$B29,X$1,$B$1)</f>
        <v>34.26</v>
      </c>
      <c r="Y29">
        <f>_xll.EQNXTDZ($A$1,$B29,Y$1,$B$1)</f>
        <v>30.12</v>
      </c>
      <c r="Z29">
        <f>_xll.EQNXTDZ($A$1,$B29,Z$1,$B$1)</f>
        <v>89.97</v>
      </c>
      <c r="AA29">
        <f>_xll.EQNXTDZ($A$1,$B29,AA$1,$B$1)</f>
        <v>76.17</v>
      </c>
      <c r="AB29">
        <f>_xll.EQNXTDZ($A$1,$B29,AB$1,$B$1)</f>
        <v>33.07</v>
      </c>
      <c r="AC29">
        <f>_xll.EQNXTDZ($A$1,$B29,AC$1,$B$1)</f>
        <v>30.43</v>
      </c>
      <c r="AD29">
        <f>_xll.EQNXTDZ($A$1,$B29,AD$1,$B$1)</f>
        <v>23.86</v>
      </c>
      <c r="AE29">
        <f>_xll.EQNXTDZ($A$1,$B29,AE$1,$B$1)</f>
        <v>91.68</v>
      </c>
      <c r="AF29">
        <f>_xll.EQNXTDZ($A$1,$B29,AF$1,$B$1)</f>
        <v>42.97</v>
      </c>
      <c r="AG29">
        <f>_xll.EQNXTDZ($A$1,$B29,AG$1,$B$1)</f>
        <v>31.37</v>
      </c>
      <c r="AH29">
        <f>_xll.EQNXTDZ($A$1,$B29,AH$1,$B$1)</f>
        <v>57.24</v>
      </c>
      <c r="AI29">
        <f>_xll.EQNXTDZ($A$1,$B29,AI$1,$B$1)</f>
        <v>25.76</v>
      </c>
      <c r="AJ29">
        <f>_xll.EQNXTDZ($A$1,$B29,AJ$1,$B$1)</f>
        <v>35.33</v>
      </c>
      <c r="AK29">
        <f>_xll.EQNXTDZ($A$1,$B29,AK$1,$B$1)</f>
        <v>37.200000000000003</v>
      </c>
      <c r="AL29">
        <f>_xll.EQNXTDZ($A$1,$B29,AL$1,$B$1)</f>
        <v>82.13</v>
      </c>
      <c r="AM29">
        <f>_xll.EQNXTDZ($A$1,$B29,AM$1,$B$1)</f>
        <v>45.63</v>
      </c>
      <c r="AN29">
        <f>_xll.EQNXTDZ($A$1,$B29,AN$1,$B$1)</f>
        <v>38.47</v>
      </c>
      <c r="AO29">
        <f>_xll.EQNXTDZ($A$1,$B29,AO$1,$B$1)</f>
        <v>42.51</v>
      </c>
      <c r="AP29">
        <f>_xll.EQNXTDZ($A$1,$B29,AP$1,$B$1)</f>
        <v>64.69</v>
      </c>
      <c r="AQ29">
        <f>_xll.EQNXTDZ($A$1,$B29,AQ$1,$B$1)</f>
        <v>50.8</v>
      </c>
      <c r="AR29">
        <f>_xll.EQNXTDZ($A$1,$B29,AR$1,$B$1)</f>
        <v>19.48</v>
      </c>
      <c r="AS29">
        <f>_xll.EQNXTDZ($A$1,$B29,AS$1,$B$1)</f>
        <v>30.03</v>
      </c>
      <c r="AT29">
        <f>_xll.EQNXTDZ($A$1,$B29,AT$1,$B$1)</f>
        <v>70.61</v>
      </c>
      <c r="AU29">
        <f>_xll.EQNXTDZ($A$1,$B29,AU$1,$B$1)</f>
        <v>73.489999999999995</v>
      </c>
      <c r="AV29">
        <f>_xll.EQNXTDZ($A$1,$B29,AV$1,$B$1)</f>
        <v>49.31</v>
      </c>
      <c r="AW29">
        <f>_xll.EQNXTDZ($A$1,$B29,AW$1,$B$1)</f>
        <v>51.45</v>
      </c>
      <c r="AX29">
        <f>_xll.EQNXTDZ($A$1,$B29,AX$1,$B$1)</f>
        <v>63.44</v>
      </c>
      <c r="AY29">
        <f>_xll.EQNXTDZ($A$1,$B29,AY$1,$B$1)</f>
        <v>116.52</v>
      </c>
      <c r="AZ29">
        <f>_xll.EQNXTDZ($A$1,$B29,AZ$1,$B$1)</f>
        <v>72.599999999999994</v>
      </c>
      <c r="BA29">
        <f>_xll.EQNXTDZ($A$1,$B29,BA$1,$B$1)</f>
        <v>59.87</v>
      </c>
      <c r="BB29">
        <f>_xll.EQNXTDZ($A$1,$B29,BB$1,$B$1)</f>
        <v>107.48</v>
      </c>
      <c r="BC29">
        <f>_xll.EQNXTDZ($A$1,$B29,BC$1,$B$1)</f>
        <v>62.11</v>
      </c>
      <c r="BD29">
        <f>_xll.EQNXTDZ($A$1,$B29,BD$1,$B$1)</f>
        <v>22.62</v>
      </c>
      <c r="BE29">
        <f>_xll.EQNXTDZ($A$1,$B29,BE$1,$B$1)</f>
        <v>31.31</v>
      </c>
      <c r="BF29">
        <f>_xll.EQNXTDZ($A$1,$B29,BF$1,$B$1)</f>
        <v>71.069999999999993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78.97</v>
      </c>
      <c r="D30">
        <f>_xll.EQNXTDZ($A$1,$B30,D$1,$B$1)</f>
        <v>42.97</v>
      </c>
      <c r="E30">
        <f>_xll.EQNXTDZ($A$1,$B30,E$1,$B$1)</f>
        <v>76.14</v>
      </c>
      <c r="F30">
        <f>_xll.EQNXTDZ($A$1,$B30,F$1,$B$1)</f>
        <v>8.99</v>
      </c>
      <c r="G30">
        <f>_xll.EQNXTDZ($A$1,$B30,G$1,$B$1)</f>
        <v>40.53</v>
      </c>
      <c r="H30">
        <f>_xll.EQNXTDZ($A$1,$B30,H$1,$B$1)</f>
        <v>42.38</v>
      </c>
      <c r="I30">
        <f>_xll.EQNXTDZ($A$1,$B30,I$1,$B$1)</f>
        <v>61.92</v>
      </c>
      <c r="J30">
        <f>_xll.EQNXTDZ($A$1,$B30,J$1,$B$1)</f>
        <v>100.98</v>
      </c>
      <c r="K30">
        <f>_xll.EQNXTDZ($A$1,$B30,K$1,$B$1)</f>
        <v>110.27</v>
      </c>
      <c r="L30">
        <f>_xll.EQNXTDZ($A$1,$B30,L$1,$B$1)</f>
        <v>50.15</v>
      </c>
      <c r="M30">
        <f>_xll.EQNXTDZ($A$1,$B30,M$1,$B$1)</f>
        <v>106.28</v>
      </c>
      <c r="N30">
        <f>_xll.EQNXTDZ($A$1,$B30,N$1,$B$1)</f>
        <v>119.33</v>
      </c>
      <c r="O30">
        <f>_xll.EQNXTDZ($A$1,$B30,O$1,$B$1)</f>
        <v>101.67</v>
      </c>
      <c r="P30">
        <f>_xll.EQNXTDZ($A$1,$B30,P$1,$B$1)</f>
        <v>64.7</v>
      </c>
      <c r="Q30">
        <f>_xll.EQNXTDZ($A$1,$B30,Q$1,$B$1)</f>
        <v>53.67</v>
      </c>
      <c r="R30">
        <f>_xll.EQNXTDZ($A$1,$B30,R$1,$B$1)</f>
        <v>166.85</v>
      </c>
      <c r="S30">
        <f>_xll.EQNXTDZ($A$1,$B30,S$1,$B$1)</f>
        <v>159.76</v>
      </c>
      <c r="T30">
        <f>_xll.EQNXTDZ($A$1,$B30,T$1,$B$1)</f>
        <v>82.84</v>
      </c>
      <c r="U30">
        <f>_xll.EQNXTDZ($A$1,$B30,U$1,$B$1)</f>
        <v>96.78</v>
      </c>
      <c r="V30">
        <f>_xll.EQNXTDZ($A$1,$B30,V$1,$B$1)</f>
        <v>199.73</v>
      </c>
      <c r="W30">
        <f>_xll.EQNXTDZ($A$1,$B30,W$1,$B$1)</f>
        <v>186.96</v>
      </c>
      <c r="X30">
        <f>_xll.EQNXTDZ($A$1,$B30,X$1,$B$1)</f>
        <v>94.39</v>
      </c>
      <c r="Y30">
        <f>_xll.EQNXTDZ($A$1,$B30,Y$1,$B$1)</f>
        <v>97.57</v>
      </c>
      <c r="Z30">
        <f>_xll.EQNXTDZ($A$1,$B30,Z$1,$B$1)</f>
        <v>195.18</v>
      </c>
      <c r="AA30">
        <f>_xll.EQNXTDZ($A$1,$B30,AA$1,$B$1)</f>
        <v>186.56</v>
      </c>
      <c r="AB30">
        <f>_xll.EQNXTDZ($A$1,$B30,AB$1,$B$1)</f>
        <v>109.21</v>
      </c>
      <c r="AC30">
        <f>_xll.EQNXTDZ($A$1,$B30,AC$1,$B$1)</f>
        <v>108.86</v>
      </c>
      <c r="AD30">
        <f>_xll.EQNXTDZ($A$1,$B30,AD$1,$B$1)</f>
        <v>161.07</v>
      </c>
      <c r="AE30">
        <f>_xll.EQNXTDZ($A$1,$B30,AE$1,$B$1)</f>
        <v>187.67</v>
      </c>
      <c r="AF30">
        <f>_xll.EQNXTDZ($A$1,$B30,AF$1,$B$1)</f>
        <v>116.43</v>
      </c>
      <c r="AG30">
        <f>_xll.EQNXTDZ($A$1,$B30,AG$1,$B$1)</f>
        <v>106.68</v>
      </c>
      <c r="AH30">
        <f>_xll.EQNXTDZ($A$1,$B30,AH$1,$B$1)</f>
        <v>178.97</v>
      </c>
      <c r="AI30">
        <f>_xll.EQNXTDZ($A$1,$B30,AI$1,$B$1)</f>
        <v>93.449999999999804</v>
      </c>
      <c r="AJ30">
        <f>_xll.EQNXTDZ($A$1,$B30,AJ$1,$B$1)</f>
        <v>86.72</v>
      </c>
      <c r="AK30">
        <f>_xll.EQNXTDZ($A$1,$B30,AK$1,$B$1)</f>
        <v>148.69999999999999</v>
      </c>
      <c r="AL30">
        <f>_xll.EQNXTDZ($A$1,$B30,AL$1,$B$1)</f>
        <v>260.89</v>
      </c>
      <c r="AM30">
        <f>_xll.EQNXTDZ($A$1,$B30,AM$1,$B$1)</f>
        <v>153.01</v>
      </c>
      <c r="AN30">
        <f>_xll.EQNXTDZ($A$1,$B30,AN$1,$B$1)</f>
        <v>123.18</v>
      </c>
      <c r="AO30">
        <f>_xll.EQNXTDZ($A$1,$B30,AO$1,$B$1)</f>
        <v>128.56</v>
      </c>
      <c r="AP30">
        <f>_xll.EQNXTDZ($A$1,$B30,AP$1,$B$1)</f>
        <v>211.56</v>
      </c>
      <c r="AQ30">
        <f>_xll.EQNXTDZ($A$1,$B30,AQ$1,$B$1)</f>
        <v>140.47</v>
      </c>
      <c r="AR30">
        <f>_xll.EQNXTDZ($A$1,$B30,AR$1,$B$1)</f>
        <v>22.8700000000001</v>
      </c>
      <c r="AS30">
        <f>_xll.EQNXTDZ($A$1,$B30,AS$1,$B$1)</f>
        <v>-77.870000000000104</v>
      </c>
      <c r="AT30">
        <f>_xll.EQNXTDZ($A$1,$B30,AT$1,$B$1)</f>
        <v>171.4</v>
      </c>
      <c r="AU30">
        <f>_xll.EQNXTDZ($A$1,$B30,AU$1,$B$1)</f>
        <v>160.46</v>
      </c>
      <c r="AV30">
        <f>_xll.EQNXTDZ($A$1,$B30,AV$1,$B$1)</f>
        <v>68.809999999999604</v>
      </c>
      <c r="AW30">
        <f>_xll.EQNXTDZ($A$1,$B30,AW$1,$B$1)</f>
        <v>8.4899999999998599</v>
      </c>
      <c r="AX30">
        <f>_xll.EQNXTDZ($A$1,$B30,AX$1,$B$1)</f>
        <v>148.96</v>
      </c>
      <c r="AY30">
        <f>_xll.EQNXTDZ($A$1,$B30,AY$1,$B$1)</f>
        <v>364.35</v>
      </c>
      <c r="AZ30">
        <f>_xll.EQNXTDZ($A$1,$B30,AZ$1,$B$1)</f>
        <v>165.09</v>
      </c>
      <c r="BA30">
        <f>_xll.EQNXTDZ($A$1,$B30,BA$1,$B$1)</f>
        <v>163.18</v>
      </c>
      <c r="BB30">
        <f>_xll.EQNXTDZ($A$1,$B30,BB$1,$B$1)</f>
        <v>267.66000000000003</v>
      </c>
      <c r="BC30">
        <f>_xll.EQNXTDZ($A$1,$B30,BC$1,$B$1)</f>
        <v>166.49</v>
      </c>
      <c r="BD30">
        <f>_xll.EQNXTDZ($A$1,$B30,BD$1,$B$1)</f>
        <v>68.020000000000095</v>
      </c>
      <c r="BE30">
        <f>_xll.EQNXTDZ($A$1,$B30,BE$1,$B$1)</f>
        <v>116.62</v>
      </c>
      <c r="BF30">
        <f>_xll.EQNXTDZ($A$1,$B30,BF$1,$B$1)</f>
        <v>149.44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0.15</v>
      </c>
      <c r="D34">
        <f>_xll.EQNXTDZ($A$1,$B34,D$1,$B$1)</f>
        <v>-0.04</v>
      </c>
      <c r="E34">
        <f>_xll.EQNXTDZ($A$1,$B34,E$1,$B$1)</f>
        <v>0.67</v>
      </c>
      <c r="F34">
        <f>_xll.EQNXTDZ($A$1,$B34,F$1,$B$1)</f>
        <v>-7.0000000000000007E-2</v>
      </c>
      <c r="G34">
        <f>_xll.EQNXTDZ($A$1,$B34,G$1,$B$1)</f>
        <v>0.22</v>
      </c>
      <c r="H34">
        <f>_xll.EQNXTDZ($A$1,$B34,H$1,$B$1)</f>
        <v>-0.1</v>
      </c>
      <c r="I34">
        <f>_xll.EQNXTDZ($A$1,$B34,I$1,$B$1)</f>
        <v>0</v>
      </c>
      <c r="J34">
        <f>_xll.EQNXTDZ($A$1,$B34,J$1,$B$1)</f>
        <v>-0.56999999999999995</v>
      </c>
      <c r="K34">
        <f>_xll.EQNXTDZ($A$1,$B34,K$1,$B$1)</f>
        <v>-1.28</v>
      </c>
      <c r="L34">
        <f>_xll.EQNXTDZ($A$1,$B34,L$1,$B$1)</f>
        <v>-0.66</v>
      </c>
      <c r="M34">
        <f>_xll.EQNXTDZ($A$1,$B34,M$1,$B$1)</f>
        <v>-0.16</v>
      </c>
      <c r="N34">
        <f>_xll.EQNXTDZ($A$1,$B34,N$1,$B$1)</f>
        <v>-1.23</v>
      </c>
      <c r="O34">
        <f>_xll.EQNXTDZ($A$1,$B34,O$1,$B$1)</f>
        <v>-0.78</v>
      </c>
      <c r="P34">
        <f>_xll.EQNXTDZ($A$1,$B34,P$1,$B$1)</f>
        <v>-0.98</v>
      </c>
      <c r="Q34">
        <f>_xll.EQNXTDZ($A$1,$B34,Q$1,$B$1)</f>
        <v>-0.49</v>
      </c>
      <c r="R34">
        <f>_xll.EQNXTDZ($A$1,$B34,R$1,$B$1)</f>
        <v>-4.75</v>
      </c>
      <c r="S34">
        <f>_xll.EQNXTDZ($A$1,$B34,S$1,$B$1)</f>
        <v>-2.0499999999999998</v>
      </c>
      <c r="T34">
        <f>_xll.EQNXTDZ($A$1,$B34,T$1,$B$1)</f>
        <v>2.39</v>
      </c>
      <c r="U34">
        <f>_xll.EQNXTDZ($A$1,$B34,U$1,$B$1)</f>
        <v>-1.37</v>
      </c>
      <c r="V34">
        <f>_xll.EQNXTDZ($A$1,$B34,V$1,$B$1)</f>
        <v>-1.4</v>
      </c>
      <c r="W34">
        <f>_xll.EQNXTDZ($A$1,$B34,W$1,$B$1)</f>
        <v>-2.27</v>
      </c>
      <c r="X34">
        <f>_xll.EQNXTDZ($A$1,$B34,X$1,$B$1)</f>
        <v>-0.73</v>
      </c>
      <c r="Y34">
        <f>_xll.EQNXTDZ($A$1,$B34,Y$1,$B$1)</f>
        <v>-0.96</v>
      </c>
      <c r="Z34">
        <f>_xll.EQNXTDZ($A$1,$B34,Z$1,$B$1)</f>
        <v>-1.54</v>
      </c>
      <c r="AA34">
        <f>_xll.EQNXTDZ($A$1,$B34,AA$1,$B$1)</f>
        <v>-3.14</v>
      </c>
      <c r="AB34">
        <f>_xll.EQNXTDZ($A$1,$B34,AB$1,$B$1)</f>
        <v>-3.54</v>
      </c>
      <c r="AC34">
        <f>_xll.EQNXTDZ($A$1,$B34,AC$1,$B$1)</f>
        <v>2.84</v>
      </c>
      <c r="AD34">
        <f>_xll.EQNXTDZ($A$1,$B34,AD$1,$B$1)</f>
        <v>-2.13</v>
      </c>
      <c r="AE34">
        <f>_xll.EQNXTDZ($A$1,$B34,AE$1,$B$1)</f>
        <v>-1.1399999999999999</v>
      </c>
      <c r="AF34">
        <f>_xll.EQNXTDZ($A$1,$B34,AF$1,$B$1)</f>
        <v>-0.85</v>
      </c>
      <c r="AG34">
        <f>_xll.EQNXTDZ($A$1,$B34,AG$1,$B$1)</f>
        <v>-1.04</v>
      </c>
      <c r="AH34">
        <f>_xll.EQNXTDZ($A$1,$B34,AH$1,$B$1)</f>
        <v>-0.84</v>
      </c>
      <c r="AI34">
        <f>_xll.EQNXTDZ($A$1,$B34,AI$1,$B$1)</f>
        <v>-0.62</v>
      </c>
      <c r="AJ34">
        <f>_xll.EQNXTDZ($A$1,$B34,AJ$1,$B$1)</f>
        <v>-1.31</v>
      </c>
      <c r="AK34">
        <f>_xll.EQNXTDZ($A$1,$B34,AK$1,$B$1)</f>
        <v>-0.73</v>
      </c>
      <c r="AL34">
        <f>_xll.EQNXTDZ($A$1,$B34,AL$1,$B$1)</f>
        <v>-0.99</v>
      </c>
      <c r="AM34">
        <f>_xll.EQNXTDZ($A$1,$B34,AM$1,$B$1)</f>
        <v>-0.64</v>
      </c>
      <c r="AN34">
        <f>_xll.EQNXTDZ($A$1,$B34,AN$1,$B$1)</f>
        <v>-0.68</v>
      </c>
      <c r="AO34">
        <f>_xll.EQNXTDZ($A$1,$B34,AO$1,$B$1)</f>
        <v>-0.57999999999999996</v>
      </c>
      <c r="AP34">
        <f>_xll.EQNXTDZ($A$1,$B34,AP$1,$B$1)</f>
        <v>-0.01</v>
      </c>
      <c r="AQ34">
        <f>_xll.EQNXTDZ($A$1,$B34,AQ$1,$B$1)</f>
        <v>-0.64</v>
      </c>
      <c r="AR34">
        <f>_xll.EQNXTDZ($A$1,$B34,AR$1,$B$1)</f>
        <v>-1.37</v>
      </c>
      <c r="AS34">
        <f>_xll.EQNXTDZ($A$1,$B34,AS$1,$B$1)</f>
        <v>0.11</v>
      </c>
      <c r="AT34">
        <f>_xll.EQNXTDZ($A$1,$B34,AT$1,$B$1)</f>
        <v>0.69</v>
      </c>
      <c r="AU34">
        <f>_xll.EQNXTDZ($A$1,$B34,AU$1,$B$1)</f>
        <v>-0.13</v>
      </c>
      <c r="AV34">
        <f>_xll.EQNXTDZ($A$1,$B34,AV$1,$B$1)</f>
        <v>1.03</v>
      </c>
      <c r="AW34">
        <f>_xll.EQNXTDZ($A$1,$B34,AW$1,$B$1)</f>
        <v>-2.81</v>
      </c>
      <c r="AX34">
        <f>_xll.EQNXTDZ($A$1,$B34,AX$1,$B$1)</f>
        <v>5.8</v>
      </c>
      <c r="AY34">
        <f>_xll.EQNXTDZ($A$1,$B34,AY$1,$B$1)</f>
        <v>-0.77</v>
      </c>
      <c r="AZ34">
        <f>_xll.EQNXTDZ($A$1,$B34,AZ$1,$B$1)</f>
        <v>1.1599999999999999</v>
      </c>
      <c r="BA34">
        <f>_xll.EQNXTDZ($A$1,$B34,BA$1,$B$1)</f>
        <v>1.37</v>
      </c>
      <c r="BB34">
        <f>_xll.EQNXTDZ($A$1,$B34,BB$1,$B$1)</f>
        <v>5.33</v>
      </c>
      <c r="BC34">
        <f>_xll.EQNXTDZ($A$1,$B34,BC$1,$B$1)</f>
        <v>-0.15</v>
      </c>
      <c r="BD34">
        <f>_xll.EQNXTDZ($A$1,$B34,BD$1,$B$1)</f>
        <v>2.79</v>
      </c>
      <c r="BE34">
        <f>_xll.EQNXTDZ($A$1,$B34,BE$1,$B$1)</f>
        <v>0.49</v>
      </c>
      <c r="BF34">
        <f>_xll.EQNXTDZ($A$1,$B34,BF$1,$B$1)</f>
        <v>2.75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0.44</v>
      </c>
      <c r="M35">
        <f>_xll.EQNXTDZ($A$1,$B35,M$1,$B$1)</f>
        <v>1.25</v>
      </c>
      <c r="N35">
        <f>_xll.EQNXTDZ($A$1,$B35,N$1,$B$1)</f>
        <v>-0.06</v>
      </c>
      <c r="O35">
        <f>_xll.EQNXTDZ($A$1,$B35,O$1,$B$1)</f>
        <v>1.65</v>
      </c>
      <c r="P35">
        <f>_xll.EQNXTDZ($A$1,$B35,P$1,$B$1)</f>
        <v>3.54</v>
      </c>
      <c r="Q35">
        <f>_xll.EQNXTDZ($A$1,$B35,Q$1,$B$1)</f>
        <v>3.65</v>
      </c>
      <c r="R35">
        <f>_xll.EQNXTDZ($A$1,$B35,R$1,$B$1)</f>
        <v>-2.62</v>
      </c>
      <c r="S35">
        <f>_xll.EQNXTDZ($A$1,$B35,S$1,$B$1)</f>
        <v>-0.09</v>
      </c>
      <c r="T35">
        <f>_xll.EQNXTDZ($A$1,$B35,T$1,$B$1)</f>
        <v>-4.68</v>
      </c>
      <c r="U35">
        <f>_xll.EQNXTDZ($A$1,$B35,U$1,$B$1)</f>
        <v>-15.22</v>
      </c>
      <c r="V35">
        <f>_xll.EQNXTDZ($A$1,$B35,V$1,$B$1)</f>
        <v>0.74</v>
      </c>
      <c r="W35">
        <f>_xll.EQNXTDZ($A$1,$B35,W$1,$B$1)</f>
        <v>0.95</v>
      </c>
      <c r="X35">
        <f>_xll.EQNXTDZ($A$1,$B35,X$1,$B$1)</f>
        <v>0.97</v>
      </c>
      <c r="Y35">
        <f>_xll.EQNXTDZ($A$1,$B35,Y$1,$B$1)</f>
        <v>2.87</v>
      </c>
      <c r="Z35">
        <f>_xll.EQNXTDZ($A$1,$B35,Z$1,$B$1)</f>
        <v>-0.99</v>
      </c>
      <c r="AA35">
        <f>_xll.EQNXTDZ($A$1,$B35,AA$1,$B$1)</f>
        <v>0.5</v>
      </c>
      <c r="AB35">
        <f>_xll.EQNXTDZ($A$1,$B35,AB$1,$B$1)</f>
        <v>-2.21</v>
      </c>
      <c r="AC35">
        <f>_xll.EQNXTDZ($A$1,$B35,AC$1,$B$1)</f>
        <v>-30.78</v>
      </c>
      <c r="AD35">
        <f>_xll.EQNXTDZ($A$1,$B35,AD$1,$B$1)</f>
        <v>-19.329999999999998</v>
      </c>
      <c r="AE35">
        <f>_xll.EQNXTDZ($A$1,$B35,AE$1,$B$1)</f>
        <v>-21.35</v>
      </c>
      <c r="AF35">
        <f>_xll.EQNXTDZ($A$1,$B35,AF$1,$B$1)</f>
        <v>-9.15</v>
      </c>
      <c r="AG35">
        <f>_xll.EQNXTDZ($A$1,$B35,AG$1,$B$1)</f>
        <v>-18.73</v>
      </c>
      <c r="AH35">
        <f>_xll.EQNXTDZ($A$1,$B35,AH$1,$B$1)</f>
        <v>-19.47</v>
      </c>
      <c r="AI35">
        <f>_xll.EQNXTDZ($A$1,$B35,AI$1,$B$1)</f>
        <v>-11.68</v>
      </c>
      <c r="AJ35">
        <f>_xll.EQNXTDZ($A$1,$B35,AJ$1,$B$1)</f>
        <v>-7.06</v>
      </c>
      <c r="AK35">
        <f>_xll.EQNXTDZ($A$1,$B35,AK$1,$B$1)</f>
        <v>-20.059999999999999</v>
      </c>
      <c r="AL35">
        <f>_xll.EQNXTDZ($A$1,$B35,AL$1,$B$1)</f>
        <v>-22.17</v>
      </c>
      <c r="AM35">
        <f>_xll.EQNXTDZ($A$1,$B35,AM$1,$B$1)</f>
        <v>-30.57</v>
      </c>
      <c r="AN35">
        <f>_xll.EQNXTDZ($A$1,$B35,AN$1,$B$1)</f>
        <v>-18.89</v>
      </c>
      <c r="AO35">
        <f>_xll.EQNXTDZ($A$1,$B35,AO$1,$B$1)</f>
        <v>-32</v>
      </c>
      <c r="AP35">
        <f>_xll.EQNXTDZ($A$1,$B35,AP$1,$B$1)</f>
        <v>-28.85</v>
      </c>
      <c r="AQ35">
        <f>_xll.EQNXTDZ($A$1,$B35,AQ$1,$B$1)</f>
        <v>-30.95</v>
      </c>
      <c r="AR35">
        <f>_xll.EQNXTDZ($A$1,$B35,AR$1,$B$1)</f>
        <v>-28.91</v>
      </c>
      <c r="AS35">
        <f>_xll.EQNXTDZ($A$1,$B35,AS$1,$B$1)</f>
        <v>-32.619999999999997</v>
      </c>
      <c r="AT35">
        <f>_xll.EQNXTDZ($A$1,$B35,AT$1,$B$1)</f>
        <v>-28.17</v>
      </c>
      <c r="AU35">
        <f>_xll.EQNXTDZ($A$1,$B35,AU$1,$B$1)</f>
        <v>-31.04</v>
      </c>
      <c r="AV35">
        <f>_xll.EQNXTDZ($A$1,$B35,AV$1,$B$1)</f>
        <v>-33.159999999999997</v>
      </c>
      <c r="AW35">
        <f>_xll.EQNXTDZ($A$1,$B35,AW$1,$B$1)</f>
        <v>-36.090000000000003</v>
      </c>
      <c r="AX35">
        <f>_xll.EQNXTDZ($A$1,$B35,AX$1,$B$1)</f>
        <v>-38.32</v>
      </c>
      <c r="AY35">
        <f>_xll.EQNXTDZ($A$1,$B35,AY$1,$B$1)</f>
        <v>-29.35</v>
      </c>
      <c r="AZ35">
        <f>_xll.EQNXTDZ($A$1,$B35,AZ$1,$B$1)</f>
        <v>-32.26</v>
      </c>
      <c r="BA35">
        <f>_xll.EQNXTDZ($A$1,$B35,BA$1,$B$1)</f>
        <v>-32.42</v>
      </c>
      <c r="BB35">
        <f>_xll.EQNXTDZ($A$1,$B35,BB$1,$B$1)</f>
        <v>-31.97</v>
      </c>
      <c r="BC35">
        <f>_xll.EQNXTDZ($A$1,$B35,BC$1,$B$1)</f>
        <v>-25.88</v>
      </c>
      <c r="BD35">
        <f>_xll.EQNXTDZ($A$1,$B35,BD$1,$B$1)</f>
        <v>-36.520000000000003</v>
      </c>
      <c r="BE35">
        <f>_xll.EQNXTDZ($A$1,$B35,BE$1,$B$1)</f>
        <v>-32.159999999999997</v>
      </c>
      <c r="BF35">
        <f>_xll.EQNXTDZ($A$1,$B35,BF$1,$B$1)</f>
        <v>-36.01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79.12</v>
      </c>
      <c r="D38">
        <f>_xll.EQNXTDZ($A$1,$B38,D$1,$B$1)</f>
        <v>42.93</v>
      </c>
      <c r="E38">
        <f>_xll.EQNXTDZ($A$1,$B38,E$1,$B$1)</f>
        <v>76.81</v>
      </c>
      <c r="F38">
        <f>_xll.EQNXTDZ($A$1,$B38,F$1,$B$1)</f>
        <v>8.92</v>
      </c>
      <c r="G38">
        <f>_xll.EQNXTDZ($A$1,$B38,G$1,$B$1)</f>
        <v>40.75</v>
      </c>
      <c r="H38">
        <f>_xll.EQNXTDZ($A$1,$B38,H$1,$B$1)</f>
        <v>42.28</v>
      </c>
      <c r="I38">
        <f>_xll.EQNXTDZ($A$1,$B38,I$1,$B$1)</f>
        <v>61.92</v>
      </c>
      <c r="J38">
        <f>_xll.EQNXTDZ($A$1,$B38,J$1,$B$1)</f>
        <v>100.41</v>
      </c>
      <c r="K38">
        <f>_xll.EQNXTDZ($A$1,$B38,K$1,$B$1)</f>
        <v>108.99</v>
      </c>
      <c r="L38">
        <f>_xll.EQNXTDZ($A$1,$B38,L$1,$B$1)</f>
        <v>49.93</v>
      </c>
      <c r="M38">
        <f>_xll.EQNXTDZ($A$1,$B38,M$1,$B$1)</f>
        <v>107.37</v>
      </c>
      <c r="N38">
        <f>_xll.EQNXTDZ($A$1,$B38,N$1,$B$1)</f>
        <v>118.04</v>
      </c>
      <c r="O38">
        <f>_xll.EQNXTDZ($A$1,$B38,O$1,$B$1)</f>
        <v>102.54</v>
      </c>
      <c r="P38">
        <f>_xll.EQNXTDZ($A$1,$B38,P$1,$B$1)</f>
        <v>67.260000000000005</v>
      </c>
      <c r="Q38">
        <f>_xll.EQNXTDZ($A$1,$B38,Q$1,$B$1)</f>
        <v>56.83</v>
      </c>
      <c r="R38">
        <f>_xll.EQNXTDZ($A$1,$B38,R$1,$B$1)</f>
        <v>159.47999999999999</v>
      </c>
      <c r="S38">
        <f>_xll.EQNXTDZ($A$1,$B38,S$1,$B$1)</f>
        <v>157.62</v>
      </c>
      <c r="T38">
        <f>_xll.EQNXTDZ($A$1,$B38,T$1,$B$1)</f>
        <v>80.55</v>
      </c>
      <c r="U38">
        <f>_xll.EQNXTDZ($A$1,$B38,U$1,$B$1)</f>
        <v>80.19</v>
      </c>
      <c r="V38">
        <f>_xll.EQNXTDZ($A$1,$B38,V$1,$B$1)</f>
        <v>199.07</v>
      </c>
      <c r="W38">
        <f>_xll.EQNXTDZ($A$1,$B38,W$1,$B$1)</f>
        <v>185.64</v>
      </c>
      <c r="X38">
        <f>_xll.EQNXTDZ($A$1,$B38,X$1,$B$1)</f>
        <v>94.63</v>
      </c>
      <c r="Y38">
        <f>_xll.EQNXTDZ($A$1,$B38,Y$1,$B$1)</f>
        <v>99.48</v>
      </c>
      <c r="Z38">
        <f>_xll.EQNXTDZ($A$1,$B38,Z$1,$B$1)</f>
        <v>192.65</v>
      </c>
      <c r="AA38">
        <f>_xll.EQNXTDZ($A$1,$B38,AA$1,$B$1)</f>
        <v>183.92</v>
      </c>
      <c r="AB38">
        <f>_xll.EQNXTDZ($A$1,$B38,AB$1,$B$1)</f>
        <v>103.46</v>
      </c>
      <c r="AC38">
        <f>_xll.EQNXTDZ($A$1,$B38,AC$1,$B$1)</f>
        <v>80.92</v>
      </c>
      <c r="AD38">
        <f>_xll.EQNXTDZ($A$1,$B38,AD$1,$B$1)</f>
        <v>139.61000000000001</v>
      </c>
      <c r="AE38">
        <f>_xll.EQNXTDZ($A$1,$B38,AE$1,$B$1)</f>
        <v>165.18</v>
      </c>
      <c r="AF38">
        <f>_xll.EQNXTDZ($A$1,$B38,AF$1,$B$1)</f>
        <v>106.43</v>
      </c>
      <c r="AG38">
        <f>_xll.EQNXTDZ($A$1,$B38,AG$1,$B$1)</f>
        <v>86.91</v>
      </c>
      <c r="AH38">
        <f>_xll.EQNXTDZ($A$1,$B38,AH$1,$B$1)</f>
        <v>158.66</v>
      </c>
      <c r="AI38">
        <f>_xll.EQNXTDZ($A$1,$B38,AI$1,$B$1)</f>
        <v>81.150000000000006</v>
      </c>
      <c r="AJ38">
        <f>_xll.EQNXTDZ($A$1,$B38,AJ$1,$B$1)</f>
        <v>78.349999999999994</v>
      </c>
      <c r="AK38">
        <f>_xll.EQNXTDZ($A$1,$B38,AK$1,$B$1)</f>
        <v>127.91</v>
      </c>
      <c r="AL38">
        <f>_xll.EQNXTDZ($A$1,$B38,AL$1,$B$1)</f>
        <v>237.73</v>
      </c>
      <c r="AM38">
        <f>_xll.EQNXTDZ($A$1,$B38,AM$1,$B$1)</f>
        <v>121.8</v>
      </c>
      <c r="AN38">
        <f>_xll.EQNXTDZ($A$1,$B38,AN$1,$B$1)</f>
        <v>103.61</v>
      </c>
      <c r="AO38">
        <f>_xll.EQNXTDZ($A$1,$B38,AO$1,$B$1)</f>
        <v>95.98</v>
      </c>
      <c r="AP38">
        <f>_xll.EQNXTDZ($A$1,$B38,AP$1,$B$1)</f>
        <v>182.7</v>
      </c>
      <c r="AQ38">
        <f>_xll.EQNXTDZ($A$1,$B38,AQ$1,$B$1)</f>
        <v>108.88</v>
      </c>
      <c r="AR38">
        <f>_xll.EQNXTDZ($A$1,$B38,AR$1,$B$1)</f>
        <v>-7.41</v>
      </c>
      <c r="AS38">
        <f>_xll.EQNXTDZ($A$1,$B38,AS$1,$B$1)</f>
        <v>-110.38</v>
      </c>
      <c r="AT38">
        <f>_xll.EQNXTDZ($A$1,$B38,AT$1,$B$1)</f>
        <v>143.91999999999999</v>
      </c>
      <c r="AU38">
        <f>_xll.EQNXTDZ($A$1,$B38,AU$1,$B$1)</f>
        <v>129.29</v>
      </c>
      <c r="AV38">
        <f>_xll.EQNXTDZ($A$1,$B38,AV$1,$B$1)</f>
        <v>36.68</v>
      </c>
      <c r="AW38">
        <f>_xll.EQNXTDZ($A$1,$B38,AW$1,$B$1)</f>
        <v>-30.41</v>
      </c>
      <c r="AX38">
        <f>_xll.EQNXTDZ($A$1,$B38,AX$1,$B$1)</f>
        <v>116.44</v>
      </c>
      <c r="AY38">
        <f>_xll.EQNXTDZ($A$1,$B38,AY$1,$B$1)</f>
        <v>334.23</v>
      </c>
      <c r="AZ38">
        <f>_xll.EQNXTDZ($A$1,$B38,AZ$1,$B$1)</f>
        <v>133.99</v>
      </c>
      <c r="BA38">
        <f>_xll.EQNXTDZ($A$1,$B38,BA$1,$B$1)</f>
        <v>132.13</v>
      </c>
      <c r="BB38">
        <f>_xll.EQNXTDZ($A$1,$B38,BB$1,$B$1)</f>
        <v>241.02</v>
      </c>
      <c r="BC38">
        <f>_xll.EQNXTDZ($A$1,$B38,BC$1,$B$1)</f>
        <v>140.46</v>
      </c>
      <c r="BD38">
        <f>_xll.EQNXTDZ($A$1,$B38,BD$1,$B$1)</f>
        <v>34.29</v>
      </c>
      <c r="BE38">
        <f>_xll.EQNXTDZ($A$1,$B38,BE$1,$B$1)</f>
        <v>84.95</v>
      </c>
      <c r="BF38">
        <f>_xll.EQNXTDZ($A$1,$B38,BF$1,$B$1)</f>
        <v>116.18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-4.87</v>
      </c>
      <c r="P40">
        <f>_xll.EQNXTDZ($A$1,$B40,P$1,$B$1)</f>
        <v>-15</v>
      </c>
      <c r="Q40">
        <f>_xll.EQNXTDZ($A$1,$B40,Q$1,$B$1)</f>
        <v>28.19</v>
      </c>
      <c r="R40">
        <f>_xll.EQNXTDZ($A$1,$B40,R$1,$B$1)</f>
        <v>-22.61</v>
      </c>
      <c r="S40">
        <f>_xll.EQNXTDZ($A$1,$B40,S$1,$B$1)</f>
        <v>26.29</v>
      </c>
      <c r="T40">
        <f>_xll.EQNXTDZ($A$1,$B40,T$1,$B$1)</f>
        <v>22.85</v>
      </c>
      <c r="U40">
        <f>_xll.EQNXTDZ($A$1,$B40,U$1,$B$1)</f>
        <v>-13.43</v>
      </c>
      <c r="V40">
        <f>_xll.EQNXTDZ($A$1,$B40,V$1,$B$1)</f>
        <v>45.84</v>
      </c>
      <c r="W40">
        <f>_xll.EQNXTDZ($A$1,$B40,W$1,$B$1)</f>
        <v>46.37</v>
      </c>
      <c r="X40">
        <f>_xll.EQNXTDZ($A$1,$B40,X$1,$B$1)</f>
        <v>44.44</v>
      </c>
      <c r="Y40">
        <f>_xll.EQNXTDZ($A$1,$B40,Y$1,$B$1)</f>
        <v>10.199999999999999</v>
      </c>
      <c r="Z40">
        <f>_xll.EQNXTDZ($A$1,$B40,Z$1,$B$1)</f>
        <v>62.44</v>
      </c>
      <c r="AA40">
        <f>_xll.EQNXTDZ($A$1,$B40,AA$1,$B$1)</f>
        <v>54.75</v>
      </c>
      <c r="AB40">
        <f>_xll.EQNXTDZ($A$1,$B40,AB$1,$B$1)</f>
        <v>-70.27</v>
      </c>
      <c r="AC40">
        <f>_xll.EQNXTDZ($A$1,$B40,AC$1,$B$1)</f>
        <v>-36.25</v>
      </c>
      <c r="AD40">
        <f>_xll.EQNXTDZ($A$1,$B40,AD$1,$B$1)</f>
        <v>27.49</v>
      </c>
      <c r="AE40">
        <f>_xll.EQNXTDZ($A$1,$B40,AE$1,$B$1)</f>
        <v>-41.79</v>
      </c>
      <c r="AF40">
        <f>_xll.EQNXTDZ($A$1,$B40,AF$1,$B$1)</f>
        <v>-89.47</v>
      </c>
      <c r="AG40">
        <f>_xll.EQNXTDZ($A$1,$B40,AG$1,$B$1)</f>
        <v>-14.4</v>
      </c>
      <c r="AH40">
        <f>_xll.EQNXTDZ($A$1,$B40,AH$1,$B$1)</f>
        <v>-44.14</v>
      </c>
      <c r="AI40">
        <f>_xll.EQNXTDZ($A$1,$B40,AI$1,$B$1)</f>
        <v>35.96</v>
      </c>
      <c r="AJ40">
        <f>_xll.EQNXTDZ($A$1,$B40,AJ$1,$B$1)</f>
        <v>40.270000000000003</v>
      </c>
      <c r="AK40">
        <f>_xll.EQNXTDZ($A$1,$B40,AK$1,$B$1)</f>
        <v>73.22</v>
      </c>
      <c r="AL40">
        <f>_xll.EQNXTDZ($A$1,$B40,AL$1,$B$1)</f>
        <v>171.8</v>
      </c>
      <c r="AM40">
        <f>_xll.EQNXTDZ($A$1,$B40,AM$1,$B$1)</f>
        <v>-16.03</v>
      </c>
      <c r="AN40">
        <f>_xll.EQNXTDZ($A$1,$B40,AN$1,$B$1)</f>
        <v>89.85</v>
      </c>
      <c r="AO40">
        <f>_xll.EQNXTDZ($A$1,$B40,AO$1,$B$1)</f>
        <v>24.4</v>
      </c>
      <c r="AP40">
        <f>_xll.EQNXTDZ($A$1,$B40,AP$1,$B$1)</f>
        <v>71.599999999999994</v>
      </c>
      <c r="AQ40">
        <f>_xll.EQNXTDZ($A$1,$B40,AQ$1,$B$1)</f>
        <v>-22.42</v>
      </c>
      <c r="AR40">
        <f>_xll.EQNXTDZ($A$1,$B40,AR$1,$B$1)</f>
        <v>195.71</v>
      </c>
      <c r="AS40">
        <f>_xll.EQNXTDZ($A$1,$B40,AS$1,$B$1)</f>
        <v>-16.22</v>
      </c>
      <c r="AT40">
        <f>_xll.EQNXTDZ($A$1,$B40,AT$1,$B$1)</f>
        <v>-195.47</v>
      </c>
      <c r="AU40">
        <f>_xll.EQNXTDZ($A$1,$B40,AU$1,$B$1)</f>
        <v>142.74</v>
      </c>
      <c r="AV40">
        <f>_xll.EQNXTDZ($A$1,$B40,AV$1,$B$1)</f>
        <v>99.05</v>
      </c>
      <c r="AW40">
        <f>_xll.EQNXTDZ($A$1,$B40,AW$1,$B$1)</f>
        <v>-42.93</v>
      </c>
      <c r="AX40">
        <f>_xll.EQNXTDZ($A$1,$B40,AX$1,$B$1)</f>
        <v>56.18</v>
      </c>
      <c r="AY40">
        <f>_xll.EQNXTDZ($A$1,$B40,AY$1,$B$1)</f>
        <v>85.38</v>
      </c>
      <c r="AZ40">
        <f>_xll.EQNXTDZ($A$1,$B40,AZ$1,$B$1)</f>
        <v>86.71</v>
      </c>
      <c r="BA40">
        <f>_xll.EQNXTDZ($A$1,$B40,BA$1,$B$1)</f>
        <v>-60.63</v>
      </c>
      <c r="BB40">
        <f>_xll.EQNXTDZ($A$1,$B40,BB$1,$B$1)</f>
        <v>-77.66</v>
      </c>
      <c r="BC40">
        <f>_xll.EQNXTDZ($A$1,$B40,BC$1,$B$1)</f>
        <v>46.99</v>
      </c>
      <c r="BD40">
        <f>_xll.EQNXTDZ($A$1,$B40,BD$1,$B$1)</f>
        <v>-133.47</v>
      </c>
      <c r="BE40">
        <f>_xll.EQNXTDZ($A$1,$B40,BE$1,$B$1)</f>
        <v>28.14</v>
      </c>
      <c r="BF40">
        <f>_xll.EQNXTDZ($A$1,$B40,BF$1,$B$1)</f>
        <v>-220.58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97.67</v>
      </c>
      <c r="P41">
        <f>_xll.EQNXTDZ($A$1,$B41,P$1,$B$1)</f>
        <v>52.26</v>
      </c>
      <c r="Q41">
        <f>_xll.EQNXTDZ($A$1,$B41,Q$1,$B$1)</f>
        <v>85.16</v>
      </c>
      <c r="R41">
        <f>_xll.EQNXTDZ($A$1,$B41,R$1,$B$1)</f>
        <v>136.83000000000001</v>
      </c>
      <c r="S41">
        <f>_xll.EQNXTDZ($A$1,$B41,S$1,$B$1)</f>
        <v>183.91</v>
      </c>
      <c r="T41">
        <f>_xll.EQNXTDZ($A$1,$B41,T$1,$B$1)</f>
        <v>103.4</v>
      </c>
      <c r="U41">
        <f>_xll.EQNXTDZ($A$1,$B41,U$1,$B$1)</f>
        <v>66.08</v>
      </c>
      <c r="V41">
        <f>_xll.EQNXTDZ($A$1,$B41,V$1,$B$1)</f>
        <v>246.18</v>
      </c>
      <c r="W41">
        <f>_xll.EQNXTDZ($A$1,$B41,W$1,$B$1)</f>
        <v>233.09</v>
      </c>
      <c r="X41">
        <f>_xll.EQNXTDZ($A$1,$B41,X$1,$B$1)</f>
        <v>138.76</v>
      </c>
      <c r="Y41">
        <f>_xll.EQNXTDZ($A$1,$B41,Y$1,$B$1)</f>
        <v>110.24</v>
      </c>
      <c r="Z41">
        <f>_xll.EQNXTDZ($A$1,$B41,Z$1,$B$1)</f>
        <v>253.42</v>
      </c>
      <c r="AA41">
        <f>_xll.EQNXTDZ($A$1,$B41,AA$1,$B$1)</f>
        <v>236.91</v>
      </c>
      <c r="AB41">
        <f>_xll.EQNXTDZ($A$1,$B41,AB$1,$B$1)</f>
        <v>31.15</v>
      </c>
      <c r="AC41">
        <f>_xll.EQNXTDZ($A$1,$B41,AC$1,$B$1)</f>
        <v>46.12</v>
      </c>
      <c r="AD41">
        <f>_xll.EQNXTDZ($A$1,$B41,AD$1,$B$1)</f>
        <v>167.35</v>
      </c>
      <c r="AE41">
        <f>_xll.EQNXTDZ($A$1,$B41,AE$1,$B$1)</f>
        <v>123.47</v>
      </c>
      <c r="AF41">
        <f>_xll.EQNXTDZ($A$1,$B41,AF$1,$B$1)</f>
        <v>16.16</v>
      </c>
      <c r="AG41">
        <f>_xll.EQNXTDZ($A$1,$B41,AG$1,$B$1)</f>
        <v>72.14</v>
      </c>
      <c r="AH41">
        <f>_xll.EQNXTDZ($A$1,$B41,AH$1,$B$1)</f>
        <v>112.25</v>
      </c>
      <c r="AI41">
        <f>_xll.EQNXTDZ($A$1,$B41,AI$1,$B$1)</f>
        <v>117.05</v>
      </c>
      <c r="AJ41">
        <f>_xll.EQNXTDZ($A$1,$B41,AJ$1,$B$1)</f>
        <v>119.52</v>
      </c>
      <c r="AK41">
        <f>_xll.EQNXTDZ($A$1,$B41,AK$1,$B$1)</f>
        <v>201.44</v>
      </c>
      <c r="AL41">
        <f>_xll.EQNXTDZ($A$1,$B41,AL$1,$B$1)</f>
        <v>408.99</v>
      </c>
      <c r="AM41">
        <f>_xll.EQNXTDZ($A$1,$B41,AM$1,$B$1)</f>
        <v>105.37</v>
      </c>
      <c r="AN41">
        <f>_xll.EQNXTDZ($A$1,$B41,AN$1,$B$1)</f>
        <v>193.43</v>
      </c>
      <c r="AO41">
        <f>_xll.EQNXTDZ($A$1,$B41,AO$1,$B$1)</f>
        <v>120.32</v>
      </c>
      <c r="AP41">
        <f>_xll.EQNXTDZ($A$1,$B41,AP$1,$B$1)</f>
        <v>253.15</v>
      </c>
      <c r="AQ41">
        <f>_xll.EQNXTDZ($A$1,$B41,AQ$1,$B$1)</f>
        <v>84.89</v>
      </c>
      <c r="AR41">
        <f>_xll.EQNXTDZ($A$1,$B41,AR$1,$B$1)</f>
        <v>187.06</v>
      </c>
      <c r="AS41">
        <f>_xll.EQNXTDZ($A$1,$B41,AS$1,$B$1)</f>
        <v>-127.3</v>
      </c>
      <c r="AT41">
        <f>_xll.EQNXTDZ($A$1,$B41,AT$1,$B$1)</f>
        <v>-51.26</v>
      </c>
      <c r="AU41">
        <f>_xll.EQNXTDZ($A$1,$B41,AU$1,$B$1)</f>
        <v>272.38</v>
      </c>
      <c r="AV41">
        <f>_xll.EQNXTDZ($A$1,$B41,AV$1,$B$1)</f>
        <v>134.96</v>
      </c>
      <c r="AW41">
        <f>_xll.EQNXTDZ($A$1,$B41,AW$1,$B$1)</f>
        <v>-70.8</v>
      </c>
      <c r="AX41">
        <f>_xll.EQNXTDZ($A$1,$B41,AX$1,$B$1)</f>
        <v>172.52</v>
      </c>
      <c r="AY41">
        <f>_xll.EQNXTDZ($A$1,$B41,AY$1,$B$1)</f>
        <v>419.62</v>
      </c>
      <c r="AZ41">
        <f>_xll.EQNXTDZ($A$1,$B41,AZ$1,$B$1)</f>
        <v>220.48</v>
      </c>
      <c r="BA41">
        <f>_xll.EQNXTDZ($A$1,$B41,BA$1,$B$1)</f>
        <v>70.819999999999993</v>
      </c>
      <c r="BB41">
        <f>_xll.EQNXTDZ($A$1,$B41,BB$1,$B$1)</f>
        <v>163.82</v>
      </c>
      <c r="BC41">
        <f>_xll.EQNXTDZ($A$1,$B41,BC$1,$B$1)</f>
        <v>187.35</v>
      </c>
      <c r="BD41">
        <f>_xll.EQNXTDZ($A$1,$B41,BD$1,$B$1)</f>
        <v>-99.98</v>
      </c>
      <c r="BE41">
        <f>_xll.EQNXTDZ($A$1,$B41,BE$1,$B$1)</f>
        <v>112.78</v>
      </c>
      <c r="BF41">
        <f>_xll.EQNXTDZ($A$1,$B41,BF$1,$B$1)</f>
        <v>-105.56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79.12</v>
      </c>
      <c r="D42">
        <f>_xll.EQNXTDZ($A$1,$B42,D$1,$B$1)</f>
        <v>42.93</v>
      </c>
      <c r="E42">
        <f>_xll.EQNXTDZ($A$1,$B42,E$1,$B$1)</f>
        <v>76.81</v>
      </c>
      <c r="F42">
        <f>_xll.EQNXTDZ($A$1,$B42,F$1,$B$1)</f>
        <v>8.92</v>
      </c>
      <c r="G42">
        <f>_xll.EQNXTDZ($A$1,$B42,G$1,$B$1)</f>
        <v>40.75</v>
      </c>
      <c r="H42">
        <f>_xll.EQNXTDZ($A$1,$B42,H$1,$B$1)</f>
        <v>42.28</v>
      </c>
      <c r="I42">
        <f>_xll.EQNXTDZ($A$1,$B42,I$1,$B$1)</f>
        <v>61.92</v>
      </c>
      <c r="J42">
        <f>_xll.EQNXTDZ($A$1,$B42,J$1,$B$1)</f>
        <v>100.41</v>
      </c>
      <c r="K42">
        <f>_xll.EQNXTDZ($A$1,$B42,K$1,$B$1)</f>
        <v>108.99</v>
      </c>
      <c r="L42">
        <f>_xll.EQNXTDZ($A$1,$B42,L$1,$B$1)</f>
        <v>49.93</v>
      </c>
      <c r="M42">
        <f>_xll.EQNXTDZ($A$1,$B42,M$1,$B$1)</f>
        <v>107.37</v>
      </c>
      <c r="N42">
        <f>_xll.EQNXTDZ($A$1,$B42,N$1,$B$1)</f>
        <v>118.04</v>
      </c>
      <c r="O42">
        <f>_xll.EQNXTDZ($A$1,$B42,O$1,$B$1)</f>
        <v>102.54</v>
      </c>
      <c r="P42">
        <f>_xll.EQNXTDZ($A$1,$B42,P$1,$B$1)</f>
        <v>67.260000000000005</v>
      </c>
      <c r="Q42">
        <f>_xll.EQNXTDZ($A$1,$B42,Q$1,$B$1)</f>
        <v>56.83</v>
      </c>
      <c r="R42">
        <f>_xll.EQNXTDZ($A$1,$B42,R$1,$B$1)</f>
        <v>159.47999999999999</v>
      </c>
      <c r="S42">
        <f>_xll.EQNXTDZ($A$1,$B42,S$1,$B$1)</f>
        <v>157.62</v>
      </c>
      <c r="T42">
        <f>_xll.EQNXTDZ($A$1,$B42,T$1,$B$1)</f>
        <v>80.55</v>
      </c>
      <c r="U42">
        <f>_xll.EQNXTDZ($A$1,$B42,U$1,$B$1)</f>
        <v>80.19</v>
      </c>
      <c r="V42">
        <f>_xll.EQNXTDZ($A$1,$B42,V$1,$B$1)</f>
        <v>199.07</v>
      </c>
      <c r="W42">
        <f>_xll.EQNXTDZ($A$1,$B42,W$1,$B$1)</f>
        <v>185.64</v>
      </c>
      <c r="X42">
        <f>_xll.EQNXTDZ($A$1,$B42,X$1,$B$1)</f>
        <v>94.63</v>
      </c>
      <c r="Y42">
        <f>_xll.EQNXTDZ($A$1,$B42,Y$1,$B$1)</f>
        <v>99.48</v>
      </c>
      <c r="Z42">
        <f>_xll.EQNXTDZ($A$1,$B42,Z$1,$B$1)</f>
        <v>192.65</v>
      </c>
      <c r="AA42">
        <f>_xll.EQNXTDZ($A$1,$B42,AA$1,$B$1)</f>
        <v>183.92</v>
      </c>
      <c r="AB42">
        <f>_xll.EQNXTDZ($A$1,$B42,AB$1,$B$1)</f>
        <v>103.46</v>
      </c>
      <c r="AC42">
        <f>_xll.EQNXTDZ($A$1,$B42,AC$1,$B$1)</f>
        <v>80.92</v>
      </c>
      <c r="AD42">
        <f>_xll.EQNXTDZ($A$1,$B42,AD$1,$B$1)</f>
        <v>139.61000000000001</v>
      </c>
      <c r="AE42">
        <f>_xll.EQNXTDZ($A$1,$B42,AE$1,$B$1)</f>
        <v>165.18</v>
      </c>
      <c r="AF42">
        <f>_xll.EQNXTDZ($A$1,$B42,AF$1,$B$1)</f>
        <v>106.43</v>
      </c>
      <c r="AG42">
        <f>_xll.EQNXTDZ($A$1,$B42,AG$1,$B$1)</f>
        <v>86.91</v>
      </c>
      <c r="AH42">
        <f>_xll.EQNXTDZ($A$1,$B42,AH$1,$B$1)</f>
        <v>158.66</v>
      </c>
      <c r="AI42">
        <f>_xll.EQNXTDZ($A$1,$B42,AI$1,$B$1)</f>
        <v>81.150000000000006</v>
      </c>
      <c r="AJ42">
        <f>_xll.EQNXTDZ($A$1,$B42,AJ$1,$B$1)</f>
        <v>78.349999999999994</v>
      </c>
      <c r="AK42">
        <f>_xll.EQNXTDZ($A$1,$B42,AK$1,$B$1)</f>
        <v>127.91</v>
      </c>
      <c r="AL42">
        <f>_xll.EQNXTDZ($A$1,$B42,AL$1,$B$1)</f>
        <v>237.73</v>
      </c>
      <c r="AM42">
        <f>_xll.EQNXTDZ($A$1,$B42,AM$1,$B$1)</f>
        <v>121.8</v>
      </c>
      <c r="AN42">
        <f>_xll.EQNXTDZ($A$1,$B42,AN$1,$B$1)</f>
        <v>103.61</v>
      </c>
      <c r="AO42">
        <f>_xll.EQNXTDZ($A$1,$B42,AO$1,$B$1)</f>
        <v>95.98</v>
      </c>
      <c r="AP42">
        <f>_xll.EQNXTDZ($A$1,$B42,AP$1,$B$1)</f>
        <v>182.7</v>
      </c>
      <c r="AQ42">
        <f>_xll.EQNXTDZ($A$1,$B42,AQ$1,$B$1)</f>
        <v>108.88</v>
      </c>
      <c r="AR42">
        <f>_xll.EQNXTDZ($A$1,$B42,AR$1,$B$1)</f>
        <v>-7.41</v>
      </c>
      <c r="AS42">
        <f>_xll.EQNXTDZ($A$1,$B42,AS$1,$B$1)</f>
        <v>-110.38</v>
      </c>
      <c r="AT42">
        <f>_xll.EQNXTDZ($A$1,$B42,AT$1,$B$1)</f>
        <v>143.91999999999999</v>
      </c>
      <c r="AU42">
        <f>_xll.EQNXTDZ($A$1,$B42,AU$1,$B$1)</f>
        <v>129.29</v>
      </c>
      <c r="AV42">
        <f>_xll.EQNXTDZ($A$1,$B42,AV$1,$B$1)</f>
        <v>36.68</v>
      </c>
      <c r="AW42">
        <f>_xll.EQNXTDZ($A$1,$B42,AW$1,$B$1)</f>
        <v>-30.41</v>
      </c>
      <c r="AX42">
        <f>_xll.EQNXTDZ($A$1,$B42,AX$1,$B$1)</f>
        <v>116.44</v>
      </c>
      <c r="AY42">
        <f>_xll.EQNXTDZ($A$1,$B42,AY$1,$B$1)</f>
        <v>334.23</v>
      </c>
      <c r="AZ42">
        <f>_xll.EQNXTDZ($A$1,$B42,AZ$1,$B$1)</f>
        <v>133.99</v>
      </c>
      <c r="BA42">
        <f>_xll.EQNXTDZ($A$1,$B42,BA$1,$B$1)</f>
        <v>132.13</v>
      </c>
      <c r="BB42">
        <f>_xll.EQNXTDZ($A$1,$B42,BB$1,$B$1)</f>
        <v>241.02</v>
      </c>
      <c r="BC42">
        <f>_xll.EQNXTDZ($A$1,$B42,BC$1,$B$1)</f>
        <v>140.46</v>
      </c>
      <c r="BD42">
        <f>_xll.EQNXTDZ($A$1,$B42,BD$1,$B$1)</f>
        <v>34.29</v>
      </c>
      <c r="BE42">
        <f>_xll.EQNXTDZ($A$1,$B42,BE$1,$B$1)</f>
        <v>84.95</v>
      </c>
      <c r="BF42">
        <f>_xll.EQNXTDZ($A$1,$B42,BF$1,$B$1)</f>
        <v>116.18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33.07</v>
      </c>
      <c r="D45">
        <f>_xll.EQNXTDZ($A$1,$B45,D$1,$B$1)</f>
        <v>33.07</v>
      </c>
      <c r="E45">
        <f>_xll.EQNXTDZ($A$1,$B45,E$1,$B$1)</f>
        <v>33.07</v>
      </c>
      <c r="F45">
        <f>_xll.EQNXTDZ($A$1,$B45,F$1,$B$1)</f>
        <v>33.07</v>
      </c>
      <c r="G45">
        <f>_xll.EQNXTDZ($A$1,$B45,G$1,$B$1)</f>
        <v>33.07</v>
      </c>
      <c r="H45">
        <f>_xll.EQNXTDZ($A$1,$B45,H$1,$B$1)</f>
        <v>33.07</v>
      </c>
      <c r="I45">
        <f>_xll.EQNXTDZ($A$1,$B45,I$1,$B$1)</f>
        <v>33.07</v>
      </c>
      <c r="J45">
        <f>_xll.EQNXTDZ($A$1,$B45,J$1,$B$1)</f>
        <v>33.07</v>
      </c>
      <c r="K45">
        <f>_xll.EQNXTDZ($A$1,$B45,K$1,$B$1)</f>
        <v>33.07</v>
      </c>
      <c r="L45">
        <f>_xll.EQNXTDZ($A$1,$B45,L$1,$B$1)</f>
        <v>33.07</v>
      </c>
      <c r="M45">
        <f>_xll.EQNXTDZ($A$1,$B45,M$1,$B$1)</f>
        <v>33.07</v>
      </c>
      <c r="N45">
        <f>_xll.EQNXTDZ($A$1,$B45,N$1,$B$1)</f>
        <v>33.07</v>
      </c>
      <c r="O45">
        <f>_xll.EQNXTDZ($A$1,$B45,O$1,$B$1)</f>
        <v>33.07</v>
      </c>
      <c r="P45">
        <f>_xll.EQNXTDZ($A$1,$B45,P$1,$B$1)</f>
        <v>33.07</v>
      </c>
      <c r="Q45">
        <f>_xll.EQNXTDZ($A$1,$B45,Q$1,$B$1)</f>
        <v>33.07</v>
      </c>
      <c r="R45">
        <f>_xll.EQNXTDZ($A$1,$B45,R$1,$B$1)</f>
        <v>33.08</v>
      </c>
      <c r="S45">
        <f>_xll.EQNXTDZ($A$1,$B45,S$1,$B$1)</f>
        <v>33.08</v>
      </c>
      <c r="T45">
        <f>_xll.EQNXTDZ($A$1,$B45,T$1,$B$1)</f>
        <v>33.08</v>
      </c>
      <c r="U45">
        <f>_xll.EQNXTDZ($A$1,$B45,U$1,$B$1)</f>
        <v>33.08</v>
      </c>
      <c r="V45">
        <f>_xll.EQNXTDZ($A$1,$B45,V$1,$B$1)</f>
        <v>33.08</v>
      </c>
      <c r="W45">
        <f>_xll.EQNXTDZ($A$1,$B45,W$1,$B$1)</f>
        <v>33.08</v>
      </c>
      <c r="X45">
        <f>_xll.EQNXTDZ($A$1,$B45,X$1,$B$1)</f>
        <v>33.08</v>
      </c>
      <c r="Y45">
        <f>_xll.EQNXTDZ($A$1,$B45,Y$1,$B$1)</f>
        <v>33.08</v>
      </c>
      <c r="Z45">
        <f>_xll.EQNXTDZ($A$1,$B45,Z$1,$B$1)</f>
        <v>33.08</v>
      </c>
      <c r="AA45">
        <f>_xll.EQNXTDZ($A$1,$B45,AA$1,$B$1)</f>
        <v>33.08</v>
      </c>
      <c r="AB45">
        <f>_xll.EQNXTDZ($A$1,$B45,AB$1,$B$1)</f>
        <v>33.08</v>
      </c>
      <c r="AC45">
        <f>_xll.EQNXTDZ($A$1,$B45,AC$1,$B$1)</f>
        <v>33.08</v>
      </c>
      <c r="AD45">
        <f>_xll.EQNXTDZ($A$1,$B45,AD$1,$B$1)</f>
        <v>33.08</v>
      </c>
      <c r="AE45">
        <f>_xll.EQNXTDZ($A$1,$B45,AE$1,$B$1)</f>
        <v>33.08</v>
      </c>
      <c r="AF45">
        <f>_xll.EQNXTDZ($A$1,$B45,AF$1,$B$1)</f>
        <v>33.08</v>
      </c>
      <c r="AG45">
        <f>_xll.EQNXTDZ($A$1,$B45,AG$1,$B$1)</f>
        <v>33.08</v>
      </c>
      <c r="AH45">
        <f>_xll.EQNXTDZ($A$1,$B45,AH$1,$B$1)</f>
        <v>33.08</v>
      </c>
      <c r="AI45">
        <f>_xll.EQNXTDZ($A$1,$B45,AI$1,$B$1)</f>
        <v>33.08</v>
      </c>
      <c r="AJ45">
        <f>_xll.EQNXTDZ($A$1,$B45,AJ$1,$B$1)</f>
        <v>33.08</v>
      </c>
      <c r="AK45">
        <f>_xll.EQNXTDZ($A$1,$B45,AK$1,$B$1)</f>
        <v>33.08</v>
      </c>
      <c r="AL45">
        <f>_xll.EQNXTDZ($A$1,$B45,AL$1,$B$1)</f>
        <v>33.08</v>
      </c>
      <c r="AM45">
        <f>_xll.EQNXTDZ($A$1,$B45,AM$1,$B$1)</f>
        <v>33.08</v>
      </c>
      <c r="AN45">
        <f>_xll.EQNXTDZ($A$1,$B45,AN$1,$B$1)</f>
        <v>33.08</v>
      </c>
      <c r="AO45">
        <f>_xll.EQNXTDZ($A$1,$B45,AO$1,$B$1)</f>
        <v>33.08</v>
      </c>
      <c r="AP45">
        <f>_xll.EQNXTDZ($A$1,$B45,AP$1,$B$1)</f>
        <v>33.08</v>
      </c>
      <c r="AQ45">
        <f>_xll.EQNXTDZ($A$1,$B45,AQ$1,$B$1)</f>
        <v>33.08</v>
      </c>
      <c r="AR45">
        <f>_xll.EQNXTDZ($A$1,$B45,AR$1,$B$1)</f>
        <v>33.08</v>
      </c>
      <c r="AS45">
        <f>_xll.EQNXTDZ($A$1,$B45,AS$1,$B$1)</f>
        <v>33.08</v>
      </c>
      <c r="AT45">
        <f>_xll.EQNXTDZ($A$1,$B45,AT$1,$B$1)</f>
        <v>33.08</v>
      </c>
      <c r="AU45">
        <f>_xll.EQNXTDZ($A$1,$B45,AU$1,$B$1)</f>
        <v>33.08</v>
      </c>
      <c r="AV45">
        <f>_xll.EQNXTDZ($A$1,$B45,AV$1,$B$1)</f>
        <v>33.08</v>
      </c>
      <c r="AW45">
        <f>_xll.EQNXTDZ($A$1,$B45,AW$1,$B$1)</f>
        <v>33.08</v>
      </c>
      <c r="AX45">
        <f>_xll.EQNXTDZ($A$1,$B45,AX$1,$B$1)</f>
        <v>33.08</v>
      </c>
      <c r="AY45">
        <f>_xll.EQNXTDZ($A$1,$B45,AY$1,$B$1)</f>
        <v>33.08</v>
      </c>
      <c r="AZ45">
        <f>_xll.EQNXTDZ($A$1,$B45,AZ$1,$B$1)</f>
        <v>33.08</v>
      </c>
      <c r="BA45">
        <f>_xll.EQNXTDZ($A$1,$B45,BA$1,$B$1)</f>
        <v>33.08</v>
      </c>
      <c r="BB45">
        <f>_xll.EQNXTDZ($A$1,$B45,BB$1,$B$1)</f>
        <v>33.08</v>
      </c>
      <c r="BC45">
        <f>_xll.EQNXTDZ($A$1,$B45,BC$1,$B$1)</f>
        <v>33.08</v>
      </c>
      <c r="BD45">
        <f>_xll.EQNXTDZ($A$1,$B45,BD$1,$B$1)</f>
        <v>33.08</v>
      </c>
      <c r="BE45">
        <f>_xll.EQNXTDZ($A$1,$B45,BE$1,$B$1)</f>
        <v>33.08</v>
      </c>
      <c r="BF45">
        <f>_xll.EQNXTDZ($A$1,$B45,BF$1,$B$1)</f>
        <v>33.08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104.65</v>
      </c>
      <c r="D48" s="55">
        <f>_xll.EQNXTDZ($A$1,$B48,D$5)</f>
        <v>124.6</v>
      </c>
      <c r="E48" s="55">
        <f>_xll.EQNXTDZ($A$1,$B48,E$5)</f>
        <v>105.85</v>
      </c>
      <c r="F48" s="55">
        <f>_xll.EQNXTDZ($A$1,$B48,F$5)</f>
        <v>75.45</v>
      </c>
      <c r="G48" s="55">
        <f>_xll.EQNXTDZ($A$1,$B48,G$5)</f>
        <v>80.95</v>
      </c>
      <c r="H48" s="55">
        <f>_xll.EQNXTDZ($A$1,$B48,H$5)</f>
        <v>73.95</v>
      </c>
      <c r="I48" s="55">
        <f>_xll.EQNXTDZ($A$1,$B48,I$5)</f>
        <v>115.8</v>
      </c>
      <c r="J48" s="55">
        <f>_xll.EQNXTDZ($A$1,$B48,J$5)</f>
        <v>160.94999999999999</v>
      </c>
      <c r="K48" s="55">
        <f>_xll.EQNXTDZ($A$1,$B48,K$5)</f>
        <v>218.2</v>
      </c>
      <c r="L48" s="55">
        <f>_xll.EQNXTDZ($A$1,$B48,L$5)</f>
        <v>241.8</v>
      </c>
      <c r="M48" s="55">
        <f>_xll.EQNXTDZ($A$1,$B48,M$5)</f>
        <v>242.1</v>
      </c>
      <c r="N48" s="55">
        <f>_xll.EQNXTDZ($A$1,$B48,N$5)</f>
        <v>279.35000000000002</v>
      </c>
      <c r="O48" s="55">
        <f>_xll.EQNXTDZ($A$1,$B48,O$5)</f>
        <v>314.60000000000002</v>
      </c>
      <c r="P48" s="55">
        <f>_xll.EQNXTDZ($A$1,$B48,P$5)</f>
        <v>268.3</v>
      </c>
      <c r="Q48" s="55">
        <f>_xll.EQNXTDZ($A$1,$B48,Q$5)</f>
        <v>323.7</v>
      </c>
      <c r="R48" s="55">
        <f>_xll.EQNXTDZ($A$1,$B48,R$5)</f>
        <v>276.95</v>
      </c>
      <c r="S48" s="55">
        <f>_xll.EQNXTDZ($A$1,$B48,S$5)</f>
        <v>321.3</v>
      </c>
      <c r="T48" s="55">
        <f>_xll.EQNXTDZ($A$1,$B48,T$5)</f>
        <v>379.5</v>
      </c>
      <c r="U48" s="55">
        <f>_xll.EQNXTDZ($A$1,$B48,U$5)</f>
        <v>328.25</v>
      </c>
      <c r="V48" s="55">
        <f>_xll.EQNXTDZ($A$1,$B48,V$5)</f>
        <v>412.15</v>
      </c>
      <c r="W48" s="55">
        <f>_xll.EQNXTDZ($A$1,$B48,W$5)</f>
        <v>457.85</v>
      </c>
      <c r="X48" s="55">
        <f>_xll.EQNXTDZ($A$1,$B48,X$5)</f>
        <v>504.7</v>
      </c>
      <c r="Y48" s="55">
        <f>_xll.EQNXTDZ($A$1,$B48,Y$5)</f>
        <v>655.7</v>
      </c>
      <c r="Z48" s="55">
        <f>_xll.EQNXTDZ($A$1,$B48,Z$5)</f>
        <v>620.6</v>
      </c>
      <c r="AA48" s="55">
        <f>_xll.EQNXTDZ($A$1,$B48,AA$5)</f>
        <v>521.65</v>
      </c>
      <c r="AB48" s="55">
        <f>_xll.EQNXTDZ($A$1,$B48,AB$5)</f>
        <v>529.15</v>
      </c>
      <c r="AC48" s="55">
        <f>_xll.EQNXTDZ($A$1,$B48,AC$5)</f>
        <v>552.45000000000005</v>
      </c>
      <c r="AD48" s="55">
        <f>_xll.EQNXTDZ($A$1,$B48,AD$5)</f>
        <v>630.45000000000005</v>
      </c>
      <c r="AE48" s="55">
        <f>_xll.EQNXTDZ($A$1,$B48,AE$5)</f>
        <v>643.54999999999995</v>
      </c>
      <c r="AF48" s="55">
        <f>_xll.EQNXTDZ($A$1,$B48,AF$5)</f>
        <v>679.85</v>
      </c>
      <c r="AG48" s="55">
        <f>_xll.EQNXTDZ($A$1,$B48,AG$5)</f>
        <v>659.3</v>
      </c>
      <c r="AH48" s="55">
        <f>_xll.EQNXTDZ($A$1,$B48,AH$5)</f>
        <v>478.85</v>
      </c>
      <c r="AI48" s="55">
        <f>_xll.EQNXTDZ($A$1,$B48,AI$5)</f>
        <v>546.15</v>
      </c>
      <c r="AJ48" s="55">
        <f>_xll.EQNXTDZ($A$1,$B48,AJ$5)</f>
        <v>680.8</v>
      </c>
      <c r="AK48" s="55">
        <f>_xll.EQNXTDZ($A$1,$B48,AK$5)</f>
        <v>826</v>
      </c>
      <c r="AL48" s="55">
        <f>_xll.EQNXTDZ($A$1,$B48,AL$5)</f>
        <v>1001.85</v>
      </c>
      <c r="AM48" s="55">
        <f>_xll.EQNXTDZ($A$1,$B48,AM$5)</f>
        <v>1022.35</v>
      </c>
      <c r="AN48" s="55">
        <f>_xll.EQNXTDZ($A$1,$B48,AN$5)</f>
        <v>1219.0999999999999</v>
      </c>
      <c r="AO48" s="55">
        <f>_xll.EQNXTDZ($A$1,$B48,AO$5)</f>
        <v>1219.3499999999999</v>
      </c>
      <c r="AP48" s="55">
        <f>_xll.EQNXTDZ($A$1,$B48,AP$5)</f>
        <v>1244.5</v>
      </c>
      <c r="AQ48" s="55">
        <f>_xll.EQNXTDZ($A$1,$B48,AQ$5)</f>
        <v>972.85</v>
      </c>
      <c r="AR48" s="55">
        <f>_xll.EQNXTDZ($A$1,$B48,AR$5)</f>
        <v>906.4</v>
      </c>
      <c r="AS48" s="55">
        <f>_xll.EQNXTDZ($A$1,$B48,AS$5)</f>
        <v>803.4</v>
      </c>
      <c r="AT48" s="55">
        <f>_xll.EQNXTDZ($A$1,$B48,AT$5)</f>
        <v>818.25</v>
      </c>
      <c r="AU48" s="55">
        <f>_xll.EQNXTDZ($A$1,$B48,AU$5)</f>
        <v>759.8</v>
      </c>
      <c r="AV48" s="55">
        <f>_xll.EQNXTDZ($A$1,$B48,AV$5)</f>
        <v>863</v>
      </c>
      <c r="AW48" s="55">
        <f>_xll.EQNXTDZ($A$1,$B48,AW$5)</f>
        <v>978.45</v>
      </c>
      <c r="AX48" s="55">
        <f>_xll.EQNXTDZ($A$1,$B48,AX$5)</f>
        <v>1103.55</v>
      </c>
      <c r="AY48" s="55">
        <f>_xll.EQNXTDZ($A$1,$B48,AY$5)</f>
        <v>1471.9</v>
      </c>
      <c r="AZ48" s="55">
        <f>_xll.EQNXTDZ($A$1,$B48,AZ$5)</f>
        <v>1845.75</v>
      </c>
      <c r="BA48" s="55">
        <f>_xll.EQNXTDZ($A$1,$B48,BA$5)</f>
        <v>1792.1</v>
      </c>
      <c r="BB48" s="55">
        <f>_xll.EQNXTDZ($A$1,$B48,BB$5)</f>
        <v>1458.5</v>
      </c>
      <c r="BC48" s="55">
        <f>_xll.EQNXTDZ($A$1,$B48,BC$5)</f>
        <v>1314.3</v>
      </c>
      <c r="BD48" s="55">
        <f>_xll.EQNXTDZ($A$1,$B48,BD$5)</f>
        <v>1351.95</v>
      </c>
      <c r="BE48" s="55">
        <f>_xll.EQNXTDZ($A$1,$B48,BE$5)</f>
        <v>1360.6</v>
      </c>
      <c r="BF48" s="55">
        <f>_xll.EQNXTDZ($A$1,$B48,BF$5)</f>
        <v>1270.25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30.15</v>
      </c>
      <c r="D49" s="55">
        <f>_xll.EQNXTDZ($A$1,$B49,D$5)</f>
        <v>30.15</v>
      </c>
      <c r="E49" s="55">
        <f>_xll.EQNXTDZ($A$1,$B49,E$5)</f>
        <v>30.15</v>
      </c>
      <c r="F49" s="55">
        <f>_xll.EQNXTDZ($A$1,$B49,F$5)</f>
        <v>30.15</v>
      </c>
      <c r="G49" s="55">
        <f>_xll.EQNXTDZ($A$1,$B49,G$5)</f>
        <v>30.15</v>
      </c>
      <c r="H49" s="55">
        <f>_xll.EQNXTDZ($A$1,$B49,H$5)</f>
        <v>30.15</v>
      </c>
      <c r="I49" s="55">
        <f>_xll.EQNXTDZ($A$1,$B49,I$5)</f>
        <v>30.3</v>
      </c>
      <c r="J49" s="55">
        <f>_xll.EQNXTDZ($A$1,$B49,J$5)</f>
        <v>30.3</v>
      </c>
      <c r="K49" s="55">
        <f>_xll.EQNXTDZ($A$1,$B49,K$5)</f>
        <v>30.3</v>
      </c>
      <c r="L49" s="55">
        <f>_xll.EQNXTDZ($A$1,$B49,L$5)</f>
        <v>30.3</v>
      </c>
      <c r="M49" s="55">
        <f>_xll.EQNXTDZ($A$1,$B49,M$5)</f>
        <v>30.3</v>
      </c>
      <c r="N49" s="55">
        <f>_xll.EQNXTDZ($A$1,$B49,N$5)</f>
        <v>30.3</v>
      </c>
      <c r="O49" s="55">
        <f>_xll.EQNXTDZ($A$1,$B49,O$5)</f>
        <v>30.3</v>
      </c>
      <c r="P49" s="55">
        <f>_xll.EQNXTDZ($A$1,$B49,P$5)</f>
        <v>30.3</v>
      </c>
      <c r="Q49" s="55">
        <f>_xll.EQNXTDZ($A$1,$B49,Q$5)</f>
        <v>30.3</v>
      </c>
      <c r="R49" s="55">
        <f>_xll.EQNXTDZ($A$1,$B49,R$5)</f>
        <v>30.3</v>
      </c>
      <c r="S49" s="55">
        <f>_xll.EQNXTDZ($A$1,$B49,S$5)</f>
        <v>30.3</v>
      </c>
      <c r="T49" s="55">
        <f>_xll.EQNXTDZ($A$1,$B49,T$5)</f>
        <v>30.3</v>
      </c>
      <c r="U49" s="55">
        <f>_xll.EQNXTDZ($A$1,$B49,U$5)</f>
        <v>30.3</v>
      </c>
      <c r="V49" s="55">
        <f>_xll.EQNXTDZ($A$1,$B49,V$5)</f>
        <v>30.3</v>
      </c>
      <c r="W49" s="55">
        <f>_xll.EQNXTDZ($A$1,$B49,W$5)</f>
        <v>30.31</v>
      </c>
      <c r="X49" s="55">
        <f>_xll.EQNXTDZ($A$1,$B49,X$5)</f>
        <v>30.3</v>
      </c>
      <c r="Y49" s="55">
        <f>_xll.EQNXTDZ($A$1,$B49,Y$5)</f>
        <v>30.3</v>
      </c>
      <c r="Z49" s="55">
        <f>_xll.EQNXTDZ($A$1,$B49,Z$5)</f>
        <v>30.3</v>
      </c>
      <c r="AA49" s="55">
        <f>_xll.EQNXTDZ($A$1,$B49,AA$5)</f>
        <v>30.3</v>
      </c>
      <c r="AB49" s="55">
        <f>_xll.EQNXTDZ($A$1,$B49,AB$5)</f>
        <v>30.3</v>
      </c>
      <c r="AC49" s="55">
        <f>_xll.EQNXTDZ($A$1,$B49,AC$5)</f>
        <v>30.3</v>
      </c>
      <c r="AD49" s="55">
        <f>_xll.EQNXTDZ($A$1,$B49,AD$5)</f>
        <v>30.3</v>
      </c>
      <c r="AE49" s="55">
        <f>_xll.EQNXTDZ($A$1,$B49,AE$5)</f>
        <v>30.3</v>
      </c>
      <c r="AF49" s="55">
        <f>_xll.EQNXTDZ($A$1,$B49,AF$5)</f>
        <v>30.3</v>
      </c>
      <c r="AG49" s="55">
        <f>_xll.EQNXTDZ($A$1,$B49,AG$5)</f>
        <v>30.3</v>
      </c>
      <c r="AH49" s="55">
        <f>_xll.EQNXTDZ($A$1,$B49,AH$5)</f>
        <v>30.3</v>
      </c>
      <c r="AI49" s="55">
        <f>_xll.EQNXTDZ($A$1,$B49,AI$5)</f>
        <v>30.3</v>
      </c>
      <c r="AJ49" s="55">
        <f>_xll.EQNXTDZ($A$1,$B49,AJ$5)</f>
        <v>30.3</v>
      </c>
      <c r="AK49" s="55">
        <f>_xll.EQNXTDZ($A$1,$B49,AK$5)</f>
        <v>30.3</v>
      </c>
      <c r="AL49" s="55">
        <f>_xll.EQNXTDZ($A$1,$B49,AL$5)</f>
        <v>30.3</v>
      </c>
      <c r="AM49" s="55">
        <f>_xll.EQNXTDZ($A$1,$B49,AM$5)</f>
        <v>30.3</v>
      </c>
      <c r="AN49" s="55">
        <f>_xll.EQNXTDZ($A$1,$B49,AN$5)</f>
        <v>30.3</v>
      </c>
      <c r="AO49" s="55">
        <f>_xll.EQNXTDZ($A$1,$B49,AO$5)</f>
        <v>30.3</v>
      </c>
      <c r="AP49" s="55">
        <f>_xll.EQNXTDZ($A$1,$B49,AP$5)</f>
        <v>30.3</v>
      </c>
      <c r="AQ49" s="55">
        <f>_xll.EQNXTDZ($A$1,$B49,AQ$5)</f>
        <v>30.3</v>
      </c>
      <c r="AR49" s="55">
        <f>_xll.EQNXTDZ($A$1,$B49,AR$5)</f>
        <v>30.3</v>
      </c>
      <c r="AS49" s="55">
        <f>_xll.EQNXTDZ($A$1,$B49,AS$5)</f>
        <v>30.3</v>
      </c>
      <c r="AT49" s="55">
        <f>_xll.EQNXTDZ($A$1,$B49,AT$5)</f>
        <v>30.3</v>
      </c>
      <c r="AU49" s="55">
        <f>_xll.EQNXTDZ($A$1,$B49,AU$5)</f>
        <v>30.3</v>
      </c>
      <c r="AV49" s="55">
        <f>_xll.EQNXTDZ($A$1,$B49,AV$5)</f>
        <v>30.3</v>
      </c>
      <c r="AW49" s="55">
        <f>_xll.EQNXTDZ($A$1,$B49,AW$5)</f>
        <v>30.3</v>
      </c>
      <c r="AX49" s="55">
        <f>_xll.EQNXTDZ($A$1,$B49,AX$5)</f>
        <v>30.3</v>
      </c>
      <c r="AY49" s="55">
        <f>_xll.EQNXTDZ($A$1,$B49,AY$5)</f>
        <v>30.3</v>
      </c>
      <c r="AZ49" s="55">
        <f>_xll.EQNXTDZ($A$1,$B49,AZ$5)</f>
        <v>30.3</v>
      </c>
      <c r="BA49" s="55">
        <f>_xll.EQNXTDZ($A$1,$B49,BA$5)</f>
        <v>30.3</v>
      </c>
      <c r="BB49" s="55">
        <f>_xll.EQNXTDZ($A$1,$B49,BB$5)</f>
        <v>30.3</v>
      </c>
      <c r="BC49" s="55">
        <f>_xll.EQNXTDZ($A$1,$B49,BC$5)</f>
        <v>30.3</v>
      </c>
      <c r="BD49" s="55">
        <f>_xll.EQNXTDZ($A$1,$B49,BD$5)</f>
        <v>30.3</v>
      </c>
      <c r="BE49" s="55">
        <f>_xll.EQNXTDZ($A$1,$B49,BE$5)</f>
        <v>30.3</v>
      </c>
      <c r="BF49" s="55">
        <f>_xll.EQNXTDZ($A$1,$B49,BF$5)</f>
        <v>30.3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33.07</v>
      </c>
      <c r="E56" s="55">
        <f>_xll.EQNXTDZ($A$1,$B56,E$5,$B$1)</f>
        <v>0</v>
      </c>
      <c r="F56" s="55">
        <f>_xll.EQNXTDZ($A$1,$B56,F$5,$B$1)</f>
        <v>33.07</v>
      </c>
      <c r="G56" s="55">
        <f>_xll.EQNXTDZ($A$1,$B56,G$5,$B$1)</f>
        <v>0</v>
      </c>
      <c r="H56" s="55">
        <f>_xll.EQNXTDZ($A$1,$B56,H$5,$B$1)</f>
        <v>33.07</v>
      </c>
      <c r="I56" s="55">
        <f>_xll.EQNXTDZ($A$1,$B56,I$5,$B$1)</f>
        <v>0</v>
      </c>
      <c r="J56" s="55">
        <f>_xll.EQNXTDZ($A$1,$B56,J$5,$B$1)</f>
        <v>33.07</v>
      </c>
      <c r="K56" s="55">
        <f>_xll.EQNXTDZ($A$1,$B56,K$5,$B$1)</f>
        <v>0</v>
      </c>
      <c r="L56" s="55">
        <f>_xll.EQNXTDZ($A$1,$B56,L$5,$B$1)</f>
        <v>33.07</v>
      </c>
      <c r="M56" s="55">
        <f>_xll.EQNXTDZ($A$1,$B56,M$5,$B$1)</f>
        <v>0</v>
      </c>
      <c r="N56" s="55">
        <f>_xll.EQNXTDZ($A$1,$B56,N$5,$B$1)</f>
        <v>33.07</v>
      </c>
      <c r="O56" s="55">
        <f>_xll.EQNXTDZ($A$1,$B56,O$5,$B$1)</f>
        <v>0</v>
      </c>
      <c r="P56" s="55">
        <f>_xll.EQNXTDZ($A$1,$B56,P$5,$B$1)</f>
        <v>33.07</v>
      </c>
      <c r="Q56" s="55">
        <f>_xll.EQNXTDZ($A$1,$B56,Q$5,$B$1)</f>
        <v>0</v>
      </c>
      <c r="R56" s="55">
        <f>_xll.EQNXTDZ($A$1,$B56,R$5,$B$1)</f>
        <v>33.08</v>
      </c>
      <c r="S56" s="55">
        <f>_xll.EQNXTDZ($A$1,$B56,S$5,$B$1)</f>
        <v>0</v>
      </c>
      <c r="T56" s="55">
        <f>_xll.EQNXTDZ($A$1,$B56,T$5,$B$1)</f>
        <v>33.08</v>
      </c>
      <c r="U56" s="55">
        <f>_xll.EQNXTDZ($A$1,$B56,U$5,$B$1)</f>
        <v>0</v>
      </c>
      <c r="V56" s="55">
        <f>_xll.EQNXTDZ($A$1,$B56,V$5,$B$1)</f>
        <v>33.08</v>
      </c>
      <c r="W56" s="55">
        <f>_xll.EQNXTDZ($A$1,$B56,W$5,$B$1)</f>
        <v>0</v>
      </c>
      <c r="X56" s="55">
        <f>_xll.EQNXTDZ($A$1,$B56,X$5,$B$1)</f>
        <v>33.08</v>
      </c>
      <c r="Y56" s="55">
        <f>_xll.EQNXTDZ($A$1,$B56,Y$5,$B$1)</f>
        <v>0</v>
      </c>
      <c r="Z56" s="55">
        <f>_xll.EQNXTDZ($A$1,$B56,Z$5,$B$1)</f>
        <v>33.08</v>
      </c>
      <c r="AA56" s="55">
        <f>_xll.EQNXTDZ($A$1,$B56,AA$5,$B$1)</f>
        <v>0</v>
      </c>
      <c r="AB56" s="55">
        <f>_xll.EQNXTDZ($A$1,$B56,AB$5,$B$1)</f>
        <v>33.08</v>
      </c>
      <c r="AC56" s="55">
        <f>_xll.EQNXTDZ($A$1,$B56,AC$5,$B$1)</f>
        <v>0</v>
      </c>
      <c r="AD56" s="55">
        <f>_xll.EQNXTDZ($A$1,$B56,AD$5,$B$1)</f>
        <v>33.08</v>
      </c>
      <c r="AE56" s="55">
        <f>_xll.EQNXTDZ($A$1,$B56,AE$5,$B$1)</f>
        <v>0</v>
      </c>
      <c r="AF56" s="55">
        <f>_xll.EQNXTDZ($A$1,$B56,AF$5,$B$1)</f>
        <v>33.08</v>
      </c>
      <c r="AG56" s="55">
        <f>_xll.EQNXTDZ($A$1,$B56,AG$5,$B$1)</f>
        <v>0</v>
      </c>
      <c r="AH56" s="55">
        <f>_xll.EQNXTDZ($A$1,$B56,AH$5,$B$1)</f>
        <v>33.08</v>
      </c>
      <c r="AI56" s="55">
        <f>_xll.EQNXTDZ($A$1,$B56,AI$5,$B$1)</f>
        <v>0</v>
      </c>
      <c r="AJ56" s="55">
        <f>_xll.EQNXTDZ($A$1,$B56,AJ$5,$B$1)</f>
        <v>33.08</v>
      </c>
      <c r="AK56" s="55">
        <f>_xll.EQNXTDZ($A$1,$B56,AK$5,$B$1)</f>
        <v>0</v>
      </c>
      <c r="AL56" s="55">
        <f>_xll.EQNXTDZ($A$1,$B56,AL$5,$B$1)</f>
        <v>33.08</v>
      </c>
      <c r="AM56" s="55">
        <f>_xll.EQNXTDZ($A$1,$B56,AM$5,$B$1)</f>
        <v>0</v>
      </c>
      <c r="AN56" s="55">
        <f>_xll.EQNXTDZ($A$1,$B56,AN$5,$B$1)</f>
        <v>33.08</v>
      </c>
      <c r="AO56" s="55">
        <f>_xll.EQNXTDZ($A$1,$B56,AO$5,$B$1)</f>
        <v>0</v>
      </c>
      <c r="AP56" s="55">
        <f>_xll.EQNXTDZ($A$1,$B56,AP$5,$B$1)</f>
        <v>33.08</v>
      </c>
      <c r="AQ56" s="55">
        <f>_xll.EQNXTDZ($A$1,$B56,AQ$5,$B$1)</f>
        <v>0</v>
      </c>
      <c r="AR56" s="55">
        <f>_xll.EQNXTDZ($A$1,$B56,AR$5,$B$1)</f>
        <v>33.08</v>
      </c>
      <c r="AS56" s="55">
        <f>_xll.EQNXTDZ($A$1,$B56,AS$5,$B$1)</f>
        <v>0</v>
      </c>
      <c r="AT56" s="55">
        <f>_xll.EQNXTDZ($A$1,$B56,AT$5,$B$1)</f>
        <v>33.08</v>
      </c>
      <c r="AU56" s="55">
        <f>_xll.EQNXTDZ($A$1,$B56,AU$5,$B$1)</f>
        <v>0</v>
      </c>
      <c r="AV56" s="55">
        <f>_xll.EQNXTDZ($A$1,$B56,AV$5,$B$1)</f>
        <v>33.08</v>
      </c>
      <c r="AW56" s="55">
        <f>_xll.EQNXTDZ($A$1,$B56,AW$5,$B$1)</f>
        <v>0</v>
      </c>
      <c r="AX56" s="55">
        <f>_xll.EQNXTDZ($A$1,$B56,AX$5,$B$1)</f>
        <v>33.08</v>
      </c>
      <c r="AY56" s="55">
        <f>_xll.EQNXTDZ($A$1,$B56,AY$5,$B$1)</f>
        <v>0</v>
      </c>
      <c r="AZ56" s="55">
        <f>_xll.EQNXTDZ($A$1,$B56,AZ$5,$B$1)</f>
        <v>33.08</v>
      </c>
      <c r="BA56" s="55">
        <f>_xll.EQNXTDZ($A$1,$B56,BA$5,$B$1)</f>
        <v>0</v>
      </c>
      <c r="BB56" s="55">
        <f>_xll.EQNXTDZ($A$1,$B56,BB$5,$B$1)</f>
        <v>33.08</v>
      </c>
      <c r="BC56" s="55">
        <f>_xll.EQNXTDZ($A$1,$B56,BC$5,$B$1)</f>
        <v>0</v>
      </c>
      <c r="BD56" s="55">
        <f>_xll.EQNXTDZ($A$1,$B56,BD$5,$B$1)</f>
        <v>33.08</v>
      </c>
      <c r="BE56" s="55">
        <f>_xll.EQNXTDZ($A$1,$B56,BE$5,$B$1)</f>
        <v>0</v>
      </c>
      <c r="BF56" s="55">
        <f>_xll.EQNXTDZ($A$1,$B56,BF$5,$B$1)</f>
        <v>33.08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1569.59</v>
      </c>
      <c r="E58" s="55">
        <f>_xll.EQNXTDZ($A$1,$B58,E$5,$B$1)</f>
        <v>0</v>
      </c>
      <c r="F58" s="55">
        <f>_xll.EQNXTDZ($A$1,$B58,F$5,$B$1)</f>
        <v>1592.55</v>
      </c>
      <c r="G58" s="55">
        <f>_xll.EQNXTDZ($A$1,$B58,G$5,$B$1)</f>
        <v>0</v>
      </c>
      <c r="H58" s="55">
        <f>_xll.EQNXTDZ($A$1,$B58,H$5,$B$1)</f>
        <v>1698.52</v>
      </c>
      <c r="I58" s="55">
        <f>_xll.EQNXTDZ($A$1,$B58,I$5,$B$1)</f>
        <v>0</v>
      </c>
      <c r="J58" s="55">
        <f>_xll.EQNXTDZ($A$1,$B58,J$5,$B$1)</f>
        <v>1786.25</v>
      </c>
      <c r="K58" s="55">
        <f>_xll.EQNXTDZ($A$1,$B58,K$5,$B$1)</f>
        <v>0</v>
      </c>
      <c r="L58" s="55">
        <f>_xll.EQNXTDZ($A$1,$B58,L$5,$B$1)</f>
        <v>1938.01</v>
      </c>
      <c r="M58" s="55">
        <f>_xll.EQNXTDZ($A$1,$B58,M$5,$B$1)</f>
        <v>0</v>
      </c>
      <c r="N58" s="55">
        <f>_xll.EQNXTDZ($A$1,$B58,N$5,$B$1)</f>
        <v>2069</v>
      </c>
      <c r="O58" s="55">
        <f>_xll.EQNXTDZ($A$1,$B58,O$5,$B$1)</f>
        <v>0</v>
      </c>
      <c r="P58" s="55">
        <f>_xll.EQNXTDZ($A$1,$B58,P$5,$B$1)</f>
        <v>2235.0500000000002</v>
      </c>
      <c r="Q58" s="55">
        <f>_xll.EQNXTDZ($A$1,$B58,Q$5,$B$1)</f>
        <v>0</v>
      </c>
      <c r="R58" s="55">
        <f>_xll.EQNXTDZ($A$1,$B58,R$5,$B$1)</f>
        <v>2778.01</v>
      </c>
      <c r="S58" s="55">
        <f>_xll.EQNXTDZ($A$1,$B58,S$5,$B$1)</f>
        <v>0</v>
      </c>
      <c r="T58" s="55">
        <f>_xll.EQNXTDZ($A$1,$B58,T$5,$B$1)</f>
        <v>2993.99</v>
      </c>
      <c r="U58" s="55">
        <f>_xll.EQNXTDZ($A$1,$B58,U$5,$B$1)</f>
        <v>0</v>
      </c>
      <c r="V58" s="55">
        <f>_xll.EQNXTDZ($A$1,$B58,V$5,$B$1)</f>
        <v>3273.54</v>
      </c>
      <c r="W58" s="55">
        <f>_xll.EQNXTDZ($A$1,$B58,W$5,$B$1)</f>
        <v>0</v>
      </c>
      <c r="X58" s="55">
        <f>_xll.EQNXTDZ($A$1,$B58,X$5,$B$1)</f>
        <v>3506.55</v>
      </c>
      <c r="Y58" s="55">
        <f>_xll.EQNXTDZ($A$1,$B58,Y$5,$B$1)</f>
        <v>0</v>
      </c>
      <c r="Z58" s="55">
        <f>_xll.EQNXTDZ($A$1,$B58,Z$5,$B$1)</f>
        <v>3872.13</v>
      </c>
      <c r="AA58" s="55">
        <f>_xll.EQNXTDZ($A$1,$B58,AA$5,$B$1)</f>
        <v>0</v>
      </c>
      <c r="AB58" s="55">
        <f>_xll.EQNXTDZ($A$1,$B58,AB$5,$B$1)</f>
        <v>3857.48</v>
      </c>
      <c r="AC58" s="55">
        <f>_xll.EQNXTDZ($A$1,$B58,AC$5,$B$1)</f>
        <v>0</v>
      </c>
      <c r="AD58" s="55">
        <f>_xll.EQNXTDZ($A$1,$B58,AD$5,$B$1)</f>
        <v>4076.91</v>
      </c>
      <c r="AE58" s="55">
        <f>_xll.EQNXTDZ($A$1,$B58,AE$5,$B$1)</f>
        <v>0</v>
      </c>
      <c r="AF58" s="55">
        <f>_xll.EQNXTDZ($A$1,$B58,AF$5,$B$1)</f>
        <v>4059.61</v>
      </c>
      <c r="AG58" s="55">
        <f>_xll.EQNXTDZ($A$1,$B58,AG$5,$B$1)</f>
        <v>0</v>
      </c>
      <c r="AH58" s="55">
        <f>_xll.EQNXTDZ($A$1,$B58,AH$5,$B$1)</f>
        <v>4247.13</v>
      </c>
      <c r="AI58" s="55">
        <f>_xll.EQNXTDZ($A$1,$B58,AI$5,$B$1)</f>
        <v>0</v>
      </c>
      <c r="AJ58" s="55">
        <f>_xll.EQNXTDZ($A$1,$B58,AJ$5,$B$1)</f>
        <v>4351.41</v>
      </c>
      <c r="AK58" s="55">
        <f>_xll.EQNXTDZ($A$1,$B58,AK$5,$B$1)</f>
        <v>0</v>
      </c>
      <c r="AL58" s="55">
        <f>_xll.EQNXTDZ($A$1,$B58,AL$5,$B$1)</f>
        <v>4960.2700000000004</v>
      </c>
      <c r="AM58" s="55">
        <f>_xll.EQNXTDZ($A$1,$B58,AM$5,$B$1)</f>
        <v>0</v>
      </c>
      <c r="AN58" s="55">
        <f>_xll.EQNXTDZ($A$1,$B58,AN$5,$B$1)</f>
        <v>5093.99</v>
      </c>
      <c r="AO58" s="55">
        <f>_xll.EQNXTDZ($A$1,$B58,AO$5,$B$1)</f>
        <v>0</v>
      </c>
      <c r="AP58" s="55">
        <f>_xll.EQNXTDZ($A$1,$B58,AP$5,$B$1)</f>
        <v>5466.48</v>
      </c>
      <c r="AQ58" s="55">
        <f>_xll.EQNXTDZ($A$1,$B58,AQ$5,$B$1)</f>
        <v>0</v>
      </c>
      <c r="AR58" s="55">
        <f>_xll.EQNXTDZ($A$1,$B58,AR$5,$B$1)</f>
        <v>5558.06</v>
      </c>
      <c r="AS58" s="55">
        <f>_xll.EQNXTDZ($A$1,$B58,AS$5,$B$1)</f>
        <v>0</v>
      </c>
      <c r="AT58" s="55">
        <f>_xll.EQNXTDZ($A$1,$B58,AT$5,$B$1)</f>
        <v>5418.99</v>
      </c>
      <c r="AU58" s="55">
        <f>_xll.EQNXTDZ($A$1,$B58,AU$5,$B$1)</f>
        <v>0</v>
      </c>
      <c r="AV58" s="55">
        <f>_xll.EQNXTDZ($A$1,$B58,AV$5,$B$1)</f>
        <v>5681.37</v>
      </c>
      <c r="AW58" s="55">
        <f>_xll.EQNXTDZ($A$1,$B58,AW$5,$B$1)</f>
        <v>0</v>
      </c>
      <c r="AX58" s="55">
        <f>_xll.EQNXTDZ($A$1,$B58,AX$5,$B$1)</f>
        <v>5787.42</v>
      </c>
      <c r="AY58" s="55">
        <f>_xll.EQNXTDZ($A$1,$B58,AY$5,$B$1)</f>
        <v>0</v>
      </c>
      <c r="AZ58" s="55">
        <f>_xll.EQNXTDZ($A$1,$B58,AZ$5,$B$1)</f>
        <v>6245.52</v>
      </c>
      <c r="BA58" s="55">
        <f>_xll.EQNXTDZ($A$1,$B58,BA$5,$B$1)</f>
        <v>0</v>
      </c>
      <c r="BB58" s="55">
        <f>_xll.EQNXTDZ($A$1,$B58,BB$5,$B$1)</f>
        <v>6480.17</v>
      </c>
      <c r="BC58" s="55">
        <f>_xll.EQNXTDZ($A$1,$B58,BC$5,$B$1)</f>
        <v>0</v>
      </c>
      <c r="BD58" s="55">
        <f>_xll.EQNXTDZ($A$1,$B58,BD$5,$B$1)</f>
        <v>6335.91</v>
      </c>
      <c r="BE58" s="55">
        <f>_xll.EQNXTDZ($A$1,$B58,BE$5,$B$1)</f>
        <v>0</v>
      </c>
      <c r="BF58" s="55">
        <f>_xll.EQNXTDZ($A$1,$B58,BF$5,$B$1)</f>
        <v>6343.13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1602.66</v>
      </c>
      <c r="E59" s="55">
        <f>_xll.EQNXTDZ($A$1,$B59,E$5,$B$1)</f>
        <v>0</v>
      </c>
      <c r="F59" s="55">
        <f>_xll.EQNXTDZ($A$1,$B59,F$5,$B$1)</f>
        <v>1625.62</v>
      </c>
      <c r="G59" s="55">
        <f>_xll.EQNXTDZ($A$1,$B59,G$5,$B$1)</f>
        <v>0</v>
      </c>
      <c r="H59" s="55">
        <f>_xll.EQNXTDZ($A$1,$B59,H$5,$B$1)</f>
        <v>1731.59</v>
      </c>
      <c r="I59" s="55">
        <f>_xll.EQNXTDZ($A$1,$B59,I$5,$B$1)</f>
        <v>0</v>
      </c>
      <c r="J59" s="55">
        <f>_xll.EQNXTDZ($A$1,$B59,J$5,$B$1)</f>
        <v>1819.32</v>
      </c>
      <c r="K59" s="55">
        <f>_xll.EQNXTDZ($A$1,$B59,K$5,$B$1)</f>
        <v>0</v>
      </c>
      <c r="L59" s="55">
        <f>_xll.EQNXTDZ($A$1,$B59,L$5,$B$1)</f>
        <v>1971.08</v>
      </c>
      <c r="M59" s="55">
        <f>_xll.EQNXTDZ($A$1,$B59,M$5,$B$1)</f>
        <v>0</v>
      </c>
      <c r="N59" s="55">
        <f>_xll.EQNXTDZ($A$1,$B59,N$5,$B$1)</f>
        <v>2102.0700000000002</v>
      </c>
      <c r="O59" s="55">
        <f>_xll.EQNXTDZ($A$1,$B59,O$5,$B$1)</f>
        <v>0</v>
      </c>
      <c r="P59" s="55">
        <f>_xll.EQNXTDZ($A$1,$B59,P$5,$B$1)</f>
        <v>2268.12</v>
      </c>
      <c r="Q59" s="55">
        <f>_xll.EQNXTDZ($A$1,$B59,Q$5,$B$1)</f>
        <v>0</v>
      </c>
      <c r="R59" s="55">
        <f>_xll.EQNXTDZ($A$1,$B59,R$5,$B$1)</f>
        <v>2811.09</v>
      </c>
      <c r="S59" s="55">
        <f>_xll.EQNXTDZ($A$1,$B59,S$5,$B$1)</f>
        <v>0</v>
      </c>
      <c r="T59" s="55">
        <f>_xll.EQNXTDZ($A$1,$B59,T$5,$B$1)</f>
        <v>3027.07</v>
      </c>
      <c r="U59" s="55">
        <f>_xll.EQNXTDZ($A$1,$B59,U$5,$B$1)</f>
        <v>0</v>
      </c>
      <c r="V59" s="55">
        <f>_xll.EQNXTDZ($A$1,$B59,V$5,$B$1)</f>
        <v>3306.62</v>
      </c>
      <c r="W59" s="55">
        <f>_xll.EQNXTDZ($A$1,$B59,W$5,$B$1)</f>
        <v>0</v>
      </c>
      <c r="X59" s="55">
        <f>_xll.EQNXTDZ($A$1,$B59,X$5,$B$1)</f>
        <v>3539.63</v>
      </c>
      <c r="Y59" s="55">
        <f>_xll.EQNXTDZ($A$1,$B59,Y$5,$B$1)</f>
        <v>0</v>
      </c>
      <c r="Z59" s="55">
        <f>_xll.EQNXTDZ($A$1,$B59,Z$5,$B$1)</f>
        <v>3905.21</v>
      </c>
      <c r="AA59" s="55">
        <f>_xll.EQNXTDZ($A$1,$B59,AA$5,$B$1)</f>
        <v>0</v>
      </c>
      <c r="AB59" s="55">
        <f>_xll.EQNXTDZ($A$1,$B59,AB$5,$B$1)</f>
        <v>3890.56</v>
      </c>
      <c r="AC59" s="55">
        <f>_xll.EQNXTDZ($A$1,$B59,AC$5,$B$1)</f>
        <v>0</v>
      </c>
      <c r="AD59" s="55">
        <f>_xll.EQNXTDZ($A$1,$B59,AD$5,$B$1)</f>
        <v>4109.99</v>
      </c>
      <c r="AE59" s="55">
        <f>_xll.EQNXTDZ($A$1,$B59,AE$5,$B$1)</f>
        <v>0</v>
      </c>
      <c r="AF59" s="55">
        <f>_xll.EQNXTDZ($A$1,$B59,AF$5,$B$1)</f>
        <v>4092.69</v>
      </c>
      <c r="AG59" s="55">
        <f>_xll.EQNXTDZ($A$1,$B59,AG$5,$B$1)</f>
        <v>0</v>
      </c>
      <c r="AH59" s="55">
        <f>_xll.EQNXTDZ($A$1,$B59,AH$5,$B$1)</f>
        <v>4280.21</v>
      </c>
      <c r="AI59" s="55">
        <f>_xll.EQNXTDZ($A$1,$B59,AI$5,$B$1)</f>
        <v>0</v>
      </c>
      <c r="AJ59" s="55">
        <f>_xll.EQNXTDZ($A$1,$B59,AJ$5,$B$1)</f>
        <v>4384.49</v>
      </c>
      <c r="AK59" s="55">
        <f>_xll.EQNXTDZ($A$1,$B59,AK$5,$B$1)</f>
        <v>0</v>
      </c>
      <c r="AL59" s="55">
        <f>_xll.EQNXTDZ($A$1,$B59,AL$5,$B$1)</f>
        <v>4993.3500000000004</v>
      </c>
      <c r="AM59" s="55">
        <f>_xll.EQNXTDZ($A$1,$B59,AM$5,$B$1)</f>
        <v>0</v>
      </c>
      <c r="AN59" s="55">
        <f>_xll.EQNXTDZ($A$1,$B59,AN$5,$B$1)</f>
        <v>5127.07</v>
      </c>
      <c r="AO59" s="55">
        <f>_xll.EQNXTDZ($A$1,$B59,AO$5,$B$1)</f>
        <v>0</v>
      </c>
      <c r="AP59" s="55">
        <f>_xll.EQNXTDZ($A$1,$B59,AP$5,$B$1)</f>
        <v>5499.56</v>
      </c>
      <c r="AQ59" s="55">
        <f>_xll.EQNXTDZ($A$1,$B59,AQ$5,$B$1)</f>
        <v>0</v>
      </c>
      <c r="AR59" s="55">
        <f>_xll.EQNXTDZ($A$1,$B59,AR$5,$B$1)</f>
        <v>5591.14</v>
      </c>
      <c r="AS59" s="55">
        <f>_xll.EQNXTDZ($A$1,$B59,AS$5,$B$1)</f>
        <v>0</v>
      </c>
      <c r="AT59" s="55">
        <f>_xll.EQNXTDZ($A$1,$B59,AT$5,$B$1)</f>
        <v>5452.07</v>
      </c>
      <c r="AU59" s="55">
        <f>_xll.EQNXTDZ($A$1,$B59,AU$5,$B$1)</f>
        <v>0</v>
      </c>
      <c r="AV59" s="55">
        <f>_xll.EQNXTDZ($A$1,$B59,AV$5,$B$1)</f>
        <v>5714.45</v>
      </c>
      <c r="AW59" s="55">
        <f>_xll.EQNXTDZ($A$1,$B59,AW$5,$B$1)</f>
        <v>0</v>
      </c>
      <c r="AX59" s="55">
        <f>_xll.EQNXTDZ($A$1,$B59,AX$5,$B$1)</f>
        <v>5820.5</v>
      </c>
      <c r="AY59" s="55">
        <f>_xll.EQNXTDZ($A$1,$B59,AY$5,$B$1)</f>
        <v>0</v>
      </c>
      <c r="AZ59" s="55">
        <f>_xll.EQNXTDZ($A$1,$B59,AZ$5,$B$1)</f>
        <v>6278.6</v>
      </c>
      <c r="BA59" s="55">
        <f>_xll.EQNXTDZ($A$1,$B59,BA$5,$B$1)</f>
        <v>0</v>
      </c>
      <c r="BB59" s="55">
        <f>_xll.EQNXTDZ($A$1,$B59,BB$5,$B$1)</f>
        <v>6513.25</v>
      </c>
      <c r="BC59" s="55">
        <f>_xll.EQNXTDZ($A$1,$B59,BC$5,$B$1)</f>
        <v>0</v>
      </c>
      <c r="BD59" s="55">
        <f>_xll.EQNXTDZ($A$1,$B59,BD$5,$B$1)</f>
        <v>6368.99</v>
      </c>
      <c r="BE59" s="55">
        <f>_xll.EQNXTDZ($A$1,$B59,BE$5,$B$1)</f>
        <v>0</v>
      </c>
      <c r="BF59" s="55">
        <f>_xll.EQNXTDZ($A$1,$B59,BF$5,$B$1)</f>
        <v>6376.21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12.82</v>
      </c>
      <c r="E60" s="55">
        <f>_xll.EQNXTDZ($A$1,$B60,E$5,$B$1)</f>
        <v>0</v>
      </c>
      <c r="F60" s="55">
        <f>_xll.EQNXTDZ($A$1,$B60,F$5,$B$1)</f>
        <v>11.81</v>
      </c>
      <c r="G60" s="55">
        <f>_xll.EQNXTDZ($A$1,$B60,G$5,$B$1)</f>
        <v>0</v>
      </c>
      <c r="H60" s="55">
        <f>_xll.EQNXTDZ($A$1,$B60,H$5,$B$1)</f>
        <v>12.71</v>
      </c>
      <c r="I60" s="55">
        <f>_xll.EQNXTDZ($A$1,$B60,I$5,$B$1)</f>
        <v>0</v>
      </c>
      <c r="J60" s="55">
        <f>_xll.EQNXTDZ($A$1,$B60,J$5,$B$1)</f>
        <v>13.82</v>
      </c>
      <c r="K60" s="55">
        <f>_xll.EQNXTDZ($A$1,$B60,K$5,$B$1)</f>
        <v>0</v>
      </c>
      <c r="L60" s="55">
        <f>_xll.EQNXTDZ($A$1,$B60,L$5,$B$1)</f>
        <v>15.33</v>
      </c>
      <c r="M60" s="55">
        <f>_xll.EQNXTDZ($A$1,$B60,M$5,$B$1)</f>
        <v>0</v>
      </c>
      <c r="N60" s="55">
        <f>_xll.EQNXTDZ($A$1,$B60,N$5,$B$1)</f>
        <v>16.05</v>
      </c>
      <c r="O60" s="55">
        <f>_xll.EQNXTDZ($A$1,$B60,O$5,$B$1)</f>
        <v>0</v>
      </c>
      <c r="P60" s="55">
        <f>_xll.EQNXTDZ($A$1,$B60,P$5,$B$1)</f>
        <v>17.7</v>
      </c>
      <c r="Q60" s="55">
        <f>_xll.EQNXTDZ($A$1,$B60,Q$5,$B$1)</f>
        <v>0</v>
      </c>
      <c r="R60" s="55">
        <f>_xll.EQNXTDZ($A$1,$B60,R$5,$B$1)</f>
        <v>26.68</v>
      </c>
      <c r="S60" s="55">
        <f>_xll.EQNXTDZ($A$1,$B60,S$5,$B$1)</f>
        <v>0</v>
      </c>
      <c r="T60" s="55">
        <f>_xll.EQNXTDZ($A$1,$B60,T$5,$B$1)</f>
        <v>25.61</v>
      </c>
      <c r="U60" s="55">
        <f>_xll.EQNXTDZ($A$1,$B60,U$5,$B$1)</f>
        <v>0</v>
      </c>
      <c r="V60" s="55">
        <f>_xll.EQNXTDZ($A$1,$B60,V$5,$B$1)</f>
        <v>28.52</v>
      </c>
      <c r="W60" s="55">
        <f>_xll.EQNXTDZ($A$1,$B60,W$5,$B$1)</f>
        <v>0</v>
      </c>
      <c r="X60" s="55">
        <f>_xll.EQNXTDZ($A$1,$B60,X$5,$B$1)</f>
        <v>29.4</v>
      </c>
      <c r="Y60" s="55">
        <f>_xll.EQNXTDZ($A$1,$B60,Y$5,$B$1)</f>
        <v>0</v>
      </c>
      <c r="Z60" s="55">
        <f>_xll.EQNXTDZ($A$1,$B60,Z$5,$B$1)</f>
        <v>31.74</v>
      </c>
      <c r="AA60" s="55">
        <f>_xll.EQNXTDZ($A$1,$B60,AA$5,$B$1)</f>
        <v>0</v>
      </c>
      <c r="AB60" s="55">
        <f>_xll.EQNXTDZ($A$1,$B60,AB$5,$B$1)</f>
        <v>37.04</v>
      </c>
      <c r="AC60" s="55">
        <f>_xll.EQNXTDZ($A$1,$B60,AC$5,$B$1)</f>
        <v>0</v>
      </c>
      <c r="AD60" s="55">
        <f>_xll.EQNXTDZ($A$1,$B60,AD$5,$B$1)</f>
        <v>34.75</v>
      </c>
      <c r="AE60" s="55">
        <f>_xll.EQNXTDZ($A$1,$B60,AE$5,$B$1)</f>
        <v>0</v>
      </c>
      <c r="AF60" s="55">
        <f>_xll.EQNXTDZ($A$1,$B60,AF$5,$B$1)</f>
        <v>34.15</v>
      </c>
      <c r="AG60" s="55">
        <f>_xll.EQNXTDZ($A$1,$B60,AG$5,$B$1)</f>
        <v>0</v>
      </c>
      <c r="AH60" s="55">
        <f>_xll.EQNXTDZ($A$1,$B60,AH$5,$B$1)</f>
        <v>36.49</v>
      </c>
      <c r="AI60" s="55">
        <f>_xll.EQNXTDZ($A$1,$B60,AI$5,$B$1)</f>
        <v>0</v>
      </c>
      <c r="AJ60" s="55">
        <f>_xll.EQNXTDZ($A$1,$B60,AJ$5,$B$1)</f>
        <v>36.44</v>
      </c>
      <c r="AK60" s="55">
        <f>_xll.EQNXTDZ($A$1,$B60,AK$5,$B$1)</f>
        <v>0</v>
      </c>
      <c r="AL60" s="55">
        <f>_xll.EQNXTDZ($A$1,$B60,AL$5,$B$1)</f>
        <v>36.1</v>
      </c>
      <c r="AM60" s="55">
        <f>_xll.EQNXTDZ($A$1,$B60,AM$5,$B$1)</f>
        <v>0</v>
      </c>
      <c r="AN60" s="55">
        <f>_xll.EQNXTDZ($A$1,$B60,AN$5,$B$1)</f>
        <v>37.85</v>
      </c>
      <c r="AO60" s="55">
        <f>_xll.EQNXTDZ($A$1,$B60,AO$5,$B$1)</f>
        <v>0</v>
      </c>
      <c r="AP60" s="55">
        <f>_xll.EQNXTDZ($A$1,$B60,AP$5,$B$1)</f>
        <v>38.08</v>
      </c>
      <c r="AQ60" s="55">
        <f>_xll.EQNXTDZ($A$1,$B60,AQ$5,$B$1)</f>
        <v>0</v>
      </c>
      <c r="AR60" s="55">
        <f>_xll.EQNXTDZ($A$1,$B60,AR$5,$B$1)</f>
        <v>42.05</v>
      </c>
      <c r="AS60" s="55">
        <f>_xll.EQNXTDZ($A$1,$B60,AS$5,$B$1)</f>
        <v>0</v>
      </c>
      <c r="AT60" s="55">
        <f>_xll.EQNXTDZ($A$1,$B60,AT$5,$B$1)</f>
        <v>41.65</v>
      </c>
      <c r="AU60" s="55">
        <f>_xll.EQNXTDZ($A$1,$B60,AU$5,$B$1)</f>
        <v>0</v>
      </c>
      <c r="AV60" s="55">
        <f>_xll.EQNXTDZ($A$1,$B60,AV$5,$B$1)</f>
        <v>41.13</v>
      </c>
      <c r="AW60" s="55">
        <f>_xll.EQNXTDZ($A$1,$B60,AW$5,$B$1)</f>
        <v>0</v>
      </c>
      <c r="AX60" s="55">
        <f>_xll.EQNXTDZ($A$1,$B60,AX$5,$B$1)</f>
        <v>33.71</v>
      </c>
      <c r="AY60" s="55">
        <f>_xll.EQNXTDZ($A$1,$B60,AY$5,$B$1)</f>
        <v>0</v>
      </c>
      <c r="AZ60" s="55">
        <f>_xll.EQNXTDZ($A$1,$B60,AZ$5,$B$1)</f>
        <v>33.53</v>
      </c>
      <c r="BA60" s="55">
        <f>_xll.EQNXTDZ($A$1,$B60,BA$5,$B$1)</f>
        <v>0</v>
      </c>
      <c r="BB60" s="55">
        <f>_xll.EQNXTDZ($A$1,$B60,BB$5,$B$1)</f>
        <v>27.05</v>
      </c>
      <c r="BC60" s="55">
        <f>_xll.EQNXTDZ($A$1,$B60,BC$5,$B$1)</f>
        <v>0</v>
      </c>
      <c r="BD60" s="55">
        <f>_xll.EQNXTDZ($A$1,$B60,BD$5,$B$1)</f>
        <v>24.62</v>
      </c>
      <c r="BE60" s="55">
        <f>_xll.EQNXTDZ($A$1,$B60,BE$5,$B$1)</f>
        <v>0</v>
      </c>
      <c r="BF60" s="55">
        <f>_xll.EQNXTDZ($A$1,$B60,BF$5,$B$1)</f>
        <v>22.84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7.45</v>
      </c>
      <c r="E61" s="55">
        <f>_xll.EQNXTDZ($A$1,$B61,E$5,$B$1)</f>
        <v>0</v>
      </c>
      <c r="F61" s="55">
        <f>_xll.EQNXTDZ($A$1,$B61,F$5,$B$1)</f>
        <v>6.02</v>
      </c>
      <c r="G61" s="55">
        <f>_xll.EQNXTDZ($A$1,$B61,G$5,$B$1)</f>
        <v>0</v>
      </c>
      <c r="H61" s="55">
        <f>_xll.EQNXTDZ($A$1,$B61,H$5,$B$1)</f>
        <v>5.6</v>
      </c>
      <c r="I61" s="55">
        <f>_xll.EQNXTDZ($A$1,$B61,I$5,$B$1)</f>
        <v>0</v>
      </c>
      <c r="J61" s="55">
        <f>_xll.EQNXTDZ($A$1,$B61,J$5,$B$1)</f>
        <v>5.37</v>
      </c>
      <c r="K61" s="55">
        <f>_xll.EQNXTDZ($A$1,$B61,K$5,$B$1)</f>
        <v>0</v>
      </c>
      <c r="L61" s="55">
        <f>_xll.EQNXTDZ($A$1,$B61,L$5,$B$1)</f>
        <v>4.47</v>
      </c>
      <c r="M61" s="55">
        <f>_xll.EQNXTDZ($A$1,$B61,M$5,$B$1)</f>
        <v>0</v>
      </c>
      <c r="N61" s="55">
        <f>_xll.EQNXTDZ($A$1,$B61,N$5,$B$1)</f>
        <v>4.7</v>
      </c>
      <c r="O61" s="55">
        <f>_xll.EQNXTDZ($A$1,$B61,O$5,$B$1)</f>
        <v>0</v>
      </c>
      <c r="P61" s="55">
        <f>_xll.EQNXTDZ($A$1,$B61,P$5,$B$1)</f>
        <v>4.3499999999999996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10.72</v>
      </c>
      <c r="AG61" s="55">
        <f>_xll.EQNXTDZ($A$1,$B61,AG$5,$B$1)</f>
        <v>0</v>
      </c>
      <c r="AH61" s="55">
        <f>_xll.EQNXTDZ($A$1,$B61,AH$5,$B$1)</f>
        <v>5.41</v>
      </c>
      <c r="AI61" s="55">
        <f>_xll.EQNXTDZ($A$1,$B61,AI$5,$B$1)</f>
        <v>0</v>
      </c>
      <c r="AJ61" s="55">
        <f>_xll.EQNXTDZ($A$1,$B61,AJ$5,$B$1)</f>
        <v>7.03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21.15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228</v>
      </c>
      <c r="AY61" s="55">
        <f>_xll.EQNXTDZ($A$1,$B61,AY$5,$B$1)</f>
        <v>0</v>
      </c>
      <c r="AZ61" s="55">
        <f>_xll.EQNXTDZ($A$1,$B61,AZ$5,$B$1)</f>
        <v>356.25</v>
      </c>
      <c r="BA61" s="55">
        <f>_xll.EQNXTDZ($A$1,$B61,BA$5,$B$1)</f>
        <v>0</v>
      </c>
      <c r="BB61" s="55">
        <f>_xll.EQNXTDZ($A$1,$B61,BB$5,$B$1)</f>
        <v>382.28</v>
      </c>
      <c r="BC61" s="55">
        <f>_xll.EQNXTDZ($A$1,$B61,BC$5,$B$1)</f>
        <v>0</v>
      </c>
      <c r="BD61" s="55">
        <f>_xll.EQNXTDZ($A$1,$B61,BD$5,$B$1)</f>
        <v>422.75</v>
      </c>
      <c r="BE61" s="55">
        <f>_xll.EQNXTDZ($A$1,$B61,BE$5,$B$1)</f>
        <v>0</v>
      </c>
      <c r="BF61" s="55">
        <f>_xll.EQNXTDZ($A$1,$B61,BF$5,$B$1)</f>
        <v>375.8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7.45</v>
      </c>
      <c r="E63" s="55">
        <f>_xll.EQNXTDZ($A$1,$B63,E$5,$B$1)</f>
        <v>0</v>
      </c>
      <c r="F63" s="55">
        <f>_xll.EQNXTDZ($A$1,$B63,F$5,$B$1)</f>
        <v>6.02</v>
      </c>
      <c r="G63" s="55">
        <f>_xll.EQNXTDZ($A$1,$B63,G$5,$B$1)</f>
        <v>0</v>
      </c>
      <c r="H63" s="55">
        <f>_xll.EQNXTDZ($A$1,$B63,H$5,$B$1)</f>
        <v>5.6</v>
      </c>
      <c r="I63" s="55">
        <f>_xll.EQNXTDZ($A$1,$B63,I$5,$B$1)</f>
        <v>0</v>
      </c>
      <c r="J63" s="55">
        <f>_xll.EQNXTDZ($A$1,$B63,J$5,$B$1)</f>
        <v>5.37</v>
      </c>
      <c r="K63" s="55">
        <f>_xll.EQNXTDZ($A$1,$B63,K$5,$B$1)</f>
        <v>0</v>
      </c>
      <c r="L63" s="55">
        <f>_xll.EQNXTDZ($A$1,$B63,L$5,$B$1)</f>
        <v>4.47</v>
      </c>
      <c r="M63" s="55">
        <f>_xll.EQNXTDZ($A$1,$B63,M$5,$B$1)</f>
        <v>0</v>
      </c>
      <c r="N63" s="55">
        <f>_xll.EQNXTDZ($A$1,$B63,N$5,$B$1)</f>
        <v>4.7</v>
      </c>
      <c r="O63" s="55">
        <f>_xll.EQNXTDZ($A$1,$B63,O$5,$B$1)</f>
        <v>0</v>
      </c>
      <c r="P63" s="55">
        <f>_xll.EQNXTDZ($A$1,$B63,P$5,$B$1)</f>
        <v>4.3499999999999996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10.72</v>
      </c>
      <c r="AG63" s="55">
        <f>_xll.EQNXTDZ($A$1,$B63,AG$5,$B$1)</f>
        <v>0</v>
      </c>
      <c r="AH63" s="55">
        <f>_xll.EQNXTDZ($A$1,$B63,AH$5,$B$1)</f>
        <v>5.41</v>
      </c>
      <c r="AI63" s="55">
        <f>_xll.EQNXTDZ($A$1,$B63,AI$5,$B$1)</f>
        <v>0</v>
      </c>
      <c r="AJ63" s="55">
        <f>_xll.EQNXTDZ($A$1,$B63,AJ$5,$B$1)</f>
        <v>7.03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21.15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228</v>
      </c>
      <c r="AY63" s="55">
        <f>_xll.EQNXTDZ($A$1,$B63,AY$5,$B$1)</f>
        <v>0</v>
      </c>
      <c r="AZ63" s="55">
        <f>_xll.EQNXTDZ($A$1,$B63,AZ$5,$B$1)</f>
        <v>356.25</v>
      </c>
      <c r="BA63" s="55">
        <f>_xll.EQNXTDZ($A$1,$B63,BA$5,$B$1)</f>
        <v>0</v>
      </c>
      <c r="BB63" s="55">
        <f>_xll.EQNXTDZ($A$1,$B63,BB$5,$B$1)</f>
        <v>382.28</v>
      </c>
      <c r="BC63" s="55">
        <f>_xll.EQNXTDZ($A$1,$B63,BC$5,$B$1)</f>
        <v>0</v>
      </c>
      <c r="BD63" s="55">
        <f>_xll.EQNXTDZ($A$1,$B63,BD$5,$B$1)</f>
        <v>422.75</v>
      </c>
      <c r="BE63" s="55">
        <f>_xll.EQNXTDZ($A$1,$B63,BE$5,$B$1)</f>
        <v>0</v>
      </c>
      <c r="BF63" s="55">
        <f>_xll.EQNXTDZ($A$1,$B63,BF$5,$B$1)</f>
        <v>375.8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32.840000000000003</v>
      </c>
      <c r="E64" s="55">
        <f>_xll.EQNXTDZ($A$1,$B64,E$5,$B$1)</f>
        <v>0</v>
      </c>
      <c r="F64" s="55">
        <f>_xll.EQNXTDZ($A$1,$B64,F$5,$B$1)</f>
        <v>27.96</v>
      </c>
      <c r="G64" s="55">
        <f>_xll.EQNXTDZ($A$1,$B64,G$5,$B$1)</f>
        <v>0</v>
      </c>
      <c r="H64" s="55">
        <f>_xll.EQNXTDZ($A$1,$B64,H$5,$B$1)</f>
        <v>36.78</v>
      </c>
      <c r="I64" s="55">
        <f>_xll.EQNXTDZ($A$1,$B64,I$5,$B$1)</f>
        <v>0</v>
      </c>
      <c r="J64" s="55">
        <f>_xll.EQNXTDZ($A$1,$B64,J$5,$B$1)</f>
        <v>29.87</v>
      </c>
      <c r="K64" s="55">
        <f>_xll.EQNXTDZ($A$1,$B64,K$5,$B$1)</f>
        <v>0</v>
      </c>
      <c r="L64" s="55">
        <f>_xll.EQNXTDZ($A$1,$B64,L$5,$B$1)</f>
        <v>38.590000000000003</v>
      </c>
      <c r="M64" s="55">
        <f>_xll.EQNXTDZ($A$1,$B64,M$5,$B$1)</f>
        <v>0</v>
      </c>
      <c r="N64" s="55">
        <f>_xll.EQNXTDZ($A$1,$B64,N$5,$B$1)</f>
        <v>20.170000000000002</v>
      </c>
      <c r="O64" s="55">
        <f>_xll.EQNXTDZ($A$1,$B64,O$5,$B$1)</f>
        <v>0</v>
      </c>
      <c r="P64" s="55">
        <f>_xll.EQNXTDZ($A$1,$B64,P$5,$B$1)</f>
        <v>28.07</v>
      </c>
      <c r="Q64" s="55">
        <f>_xll.EQNXTDZ($A$1,$B64,Q$5,$B$1)</f>
        <v>0</v>
      </c>
      <c r="R64" s="55">
        <f>_xll.EQNXTDZ($A$1,$B64,R$5,$B$1)</f>
        <v>0.8</v>
      </c>
      <c r="S64" s="55">
        <f>_xll.EQNXTDZ($A$1,$B64,S$5,$B$1)</f>
        <v>0</v>
      </c>
      <c r="T64" s="55">
        <f>_xll.EQNXTDZ($A$1,$B64,T$5,$B$1)</f>
        <v>35.299999999999997</v>
      </c>
      <c r="U64" s="55">
        <f>_xll.EQNXTDZ($A$1,$B64,U$5,$B$1)</f>
        <v>0</v>
      </c>
      <c r="V64" s="55">
        <f>_xll.EQNXTDZ($A$1,$B64,V$5,$B$1)</f>
        <v>0.2</v>
      </c>
      <c r="W64" s="55">
        <f>_xll.EQNXTDZ($A$1,$B64,W$5,$B$1)</f>
        <v>0</v>
      </c>
      <c r="X64" s="55">
        <f>_xll.EQNXTDZ($A$1,$B64,X$5,$B$1)</f>
        <v>1.17</v>
      </c>
      <c r="Y64" s="55">
        <f>_xll.EQNXTDZ($A$1,$B64,Y$5,$B$1)</f>
        <v>0</v>
      </c>
      <c r="Z64" s="55">
        <f>_xll.EQNXTDZ($A$1,$B64,Z$5,$B$1)</f>
        <v>0.97</v>
      </c>
      <c r="AA64" s="55">
        <f>_xll.EQNXTDZ($A$1,$B64,AA$5,$B$1)</f>
        <v>0</v>
      </c>
      <c r="AB64" s="55">
        <f>_xll.EQNXTDZ($A$1,$B64,AB$5,$B$1)</f>
        <v>1.01</v>
      </c>
      <c r="AC64" s="55">
        <f>_xll.EQNXTDZ($A$1,$B64,AC$5,$B$1)</f>
        <v>0</v>
      </c>
      <c r="AD64" s="55">
        <f>_xll.EQNXTDZ($A$1,$B64,AD$5,$B$1)</f>
        <v>0.7</v>
      </c>
      <c r="AE64" s="55">
        <f>_xll.EQNXTDZ($A$1,$B64,AE$5,$B$1)</f>
        <v>0</v>
      </c>
      <c r="AF64" s="55">
        <f>_xll.EQNXTDZ($A$1,$B64,AF$5,$B$1)</f>
        <v>24.49</v>
      </c>
      <c r="AG64" s="55">
        <f>_xll.EQNXTDZ($A$1,$B64,AG$5,$B$1)</f>
        <v>0</v>
      </c>
      <c r="AH64" s="55">
        <f>_xll.EQNXTDZ($A$1,$B64,AH$5,$B$1)</f>
        <v>31.25</v>
      </c>
      <c r="AI64" s="55">
        <f>_xll.EQNXTDZ($A$1,$B64,AI$5,$B$1)</f>
        <v>0</v>
      </c>
      <c r="AJ64" s="55">
        <f>_xll.EQNXTDZ($A$1,$B64,AJ$5,$B$1)</f>
        <v>29.03</v>
      </c>
      <c r="AK64" s="55">
        <f>_xll.EQNXTDZ($A$1,$B64,AK$5,$B$1)</f>
        <v>0</v>
      </c>
      <c r="AL64" s="55">
        <f>_xll.EQNXTDZ($A$1,$B64,AL$5,$B$1)</f>
        <v>32.03</v>
      </c>
      <c r="AM64" s="55">
        <f>_xll.EQNXTDZ($A$1,$B64,AM$5,$B$1)</f>
        <v>0</v>
      </c>
      <c r="AN64" s="55">
        <f>_xll.EQNXTDZ($A$1,$B64,AN$5,$B$1)</f>
        <v>32.96</v>
      </c>
      <c r="AO64" s="55">
        <f>_xll.EQNXTDZ($A$1,$B64,AO$5,$B$1)</f>
        <v>0</v>
      </c>
      <c r="AP64" s="55">
        <f>_xll.EQNXTDZ($A$1,$B64,AP$5,$B$1)</f>
        <v>37.4</v>
      </c>
      <c r="AQ64" s="55">
        <f>_xll.EQNXTDZ($A$1,$B64,AQ$5,$B$1)</f>
        <v>0</v>
      </c>
      <c r="AR64" s="55">
        <f>_xll.EQNXTDZ($A$1,$B64,AR$5,$B$1)</f>
        <v>42.42</v>
      </c>
      <c r="AS64" s="55">
        <f>_xll.EQNXTDZ($A$1,$B64,AS$5,$B$1)</f>
        <v>0</v>
      </c>
      <c r="AT64" s="55">
        <f>_xll.EQNXTDZ($A$1,$B64,AT$5,$B$1)</f>
        <v>47.35</v>
      </c>
      <c r="AU64" s="55">
        <f>_xll.EQNXTDZ($A$1,$B64,AU$5,$B$1)</f>
        <v>0</v>
      </c>
      <c r="AV64" s="55">
        <f>_xll.EQNXTDZ($A$1,$B64,AV$5,$B$1)</f>
        <v>44.63</v>
      </c>
      <c r="AW64" s="55">
        <f>_xll.EQNXTDZ($A$1,$B64,AW$5,$B$1)</f>
        <v>0</v>
      </c>
      <c r="AX64" s="55">
        <f>_xll.EQNXTDZ($A$1,$B64,AX$5,$B$1)</f>
        <v>39.82</v>
      </c>
      <c r="AY64" s="55">
        <f>_xll.EQNXTDZ($A$1,$B64,AY$5,$B$1)</f>
        <v>0</v>
      </c>
      <c r="AZ64" s="55">
        <f>_xll.EQNXTDZ($A$1,$B64,AZ$5,$B$1)</f>
        <v>72.52</v>
      </c>
      <c r="BA64" s="55">
        <f>_xll.EQNXTDZ($A$1,$B64,BA$5,$B$1)</f>
        <v>0</v>
      </c>
      <c r="BB64" s="55">
        <f>_xll.EQNXTDZ($A$1,$B64,BB$5,$B$1)</f>
        <v>70.41</v>
      </c>
      <c r="BC64" s="55">
        <f>_xll.EQNXTDZ($A$1,$B64,BC$5,$B$1)</f>
        <v>0</v>
      </c>
      <c r="BD64" s="55">
        <f>_xll.EQNXTDZ($A$1,$B64,BD$5,$B$1)</f>
        <v>91.26</v>
      </c>
      <c r="BE64" s="55">
        <f>_xll.EQNXTDZ($A$1,$B64,BE$5,$B$1)</f>
        <v>0</v>
      </c>
      <c r="BF64" s="55">
        <f>_xll.EQNXTDZ($A$1,$B64,BF$5,$B$1)</f>
        <v>71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90.44</v>
      </c>
      <c r="E66" s="55">
        <f>_xll.EQNXTDZ($A$1,$B66,E$5,$B$1)</f>
        <v>0</v>
      </c>
      <c r="F66" s="55">
        <f>_xll.EQNXTDZ($A$1,$B66,F$5,$B$1)</f>
        <v>89.83</v>
      </c>
      <c r="G66" s="55">
        <f>_xll.EQNXTDZ($A$1,$B66,G$5,$B$1)</f>
        <v>0</v>
      </c>
      <c r="H66" s="55">
        <f>_xll.EQNXTDZ($A$1,$B66,H$5,$B$1)</f>
        <v>95.37</v>
      </c>
      <c r="I66" s="55">
        <f>_xll.EQNXTDZ($A$1,$B66,I$5,$B$1)</f>
        <v>0</v>
      </c>
      <c r="J66" s="55">
        <f>_xll.EQNXTDZ($A$1,$B66,J$5,$B$1)</f>
        <v>90.23</v>
      </c>
      <c r="K66" s="55">
        <f>_xll.EQNXTDZ($A$1,$B66,K$5,$B$1)</f>
        <v>0</v>
      </c>
      <c r="L66" s="55">
        <f>_xll.EQNXTDZ($A$1,$B66,L$5,$B$1)</f>
        <v>107.89</v>
      </c>
      <c r="M66" s="55">
        <f>_xll.EQNXTDZ($A$1,$B66,M$5,$B$1)</f>
        <v>0</v>
      </c>
      <c r="N66" s="55">
        <f>_xll.EQNXTDZ($A$1,$B66,N$5,$B$1)</f>
        <v>107.88</v>
      </c>
      <c r="O66" s="55">
        <f>_xll.EQNXTDZ($A$1,$B66,O$5,$B$1)</f>
        <v>0</v>
      </c>
      <c r="P66" s="55">
        <f>_xll.EQNXTDZ($A$1,$B66,P$5,$B$1)</f>
        <v>115.76</v>
      </c>
      <c r="Q66" s="55">
        <f>_xll.EQNXTDZ($A$1,$B66,Q$5,$B$1)</f>
        <v>0</v>
      </c>
      <c r="R66" s="55">
        <f>_xll.EQNXTDZ($A$1,$B66,R$5,$B$1)</f>
        <v>81.260000000000005</v>
      </c>
      <c r="S66" s="55">
        <f>_xll.EQNXTDZ($A$1,$B66,S$5,$B$1)</f>
        <v>0</v>
      </c>
      <c r="T66" s="55">
        <f>_xll.EQNXTDZ($A$1,$B66,T$5,$B$1)</f>
        <v>120.87</v>
      </c>
      <c r="U66" s="55">
        <f>_xll.EQNXTDZ($A$1,$B66,U$5,$B$1)</f>
        <v>0</v>
      </c>
      <c r="V66" s="55">
        <f>_xll.EQNXTDZ($A$1,$B66,V$5,$B$1)</f>
        <v>91.43</v>
      </c>
      <c r="W66" s="55">
        <f>_xll.EQNXTDZ($A$1,$B66,W$5,$B$1)</f>
        <v>0</v>
      </c>
      <c r="X66" s="55">
        <f>_xll.EQNXTDZ($A$1,$B66,X$5,$B$1)</f>
        <v>90.2</v>
      </c>
      <c r="Y66" s="55">
        <f>_xll.EQNXTDZ($A$1,$B66,Y$5,$B$1)</f>
        <v>0</v>
      </c>
      <c r="Z66" s="55">
        <f>_xll.EQNXTDZ($A$1,$B66,Z$5,$B$1)</f>
        <v>87.32</v>
      </c>
      <c r="AA66" s="55">
        <f>_xll.EQNXTDZ($A$1,$B66,AA$5,$B$1)</f>
        <v>0</v>
      </c>
      <c r="AB66" s="55">
        <f>_xll.EQNXTDZ($A$1,$B66,AB$5,$B$1)</f>
        <v>91.44</v>
      </c>
      <c r="AC66" s="55">
        <f>_xll.EQNXTDZ($A$1,$B66,AC$5,$B$1)</f>
        <v>0</v>
      </c>
      <c r="AD66" s="55">
        <f>_xll.EQNXTDZ($A$1,$B66,AD$5,$B$1)</f>
        <v>84.66</v>
      </c>
      <c r="AE66" s="55">
        <f>_xll.EQNXTDZ($A$1,$B66,AE$5,$B$1)</f>
        <v>0</v>
      </c>
      <c r="AF66" s="55">
        <f>_xll.EQNXTDZ($A$1,$B66,AF$5,$B$1)</f>
        <v>75.56</v>
      </c>
      <c r="AG66" s="55">
        <f>_xll.EQNXTDZ($A$1,$B66,AG$5,$B$1)</f>
        <v>0</v>
      </c>
      <c r="AH66" s="55">
        <f>_xll.EQNXTDZ($A$1,$B66,AH$5,$B$1)</f>
        <v>87.47</v>
      </c>
      <c r="AI66" s="55">
        <f>_xll.EQNXTDZ($A$1,$B66,AI$5,$B$1)</f>
        <v>0</v>
      </c>
      <c r="AJ66" s="55">
        <f>_xll.EQNXTDZ($A$1,$B66,AJ$5,$B$1)</f>
        <v>90.88</v>
      </c>
      <c r="AK66" s="55">
        <f>_xll.EQNXTDZ($A$1,$B66,AK$5,$B$1)</f>
        <v>0</v>
      </c>
      <c r="AL66" s="55">
        <f>_xll.EQNXTDZ($A$1,$B66,AL$5,$B$1)</f>
        <v>89.91</v>
      </c>
      <c r="AM66" s="55">
        <f>_xll.EQNXTDZ($A$1,$B66,AM$5,$B$1)</f>
        <v>0</v>
      </c>
      <c r="AN66" s="55">
        <f>_xll.EQNXTDZ($A$1,$B66,AN$5,$B$1)</f>
        <v>98.01</v>
      </c>
      <c r="AO66" s="55">
        <f>_xll.EQNXTDZ($A$1,$B66,AO$5,$B$1)</f>
        <v>0</v>
      </c>
      <c r="AP66" s="55">
        <f>_xll.EQNXTDZ($A$1,$B66,AP$5,$B$1)</f>
        <v>103.03</v>
      </c>
      <c r="AQ66" s="55">
        <f>_xll.EQNXTDZ($A$1,$B66,AQ$5,$B$1)</f>
        <v>0</v>
      </c>
      <c r="AR66" s="55">
        <f>_xll.EQNXTDZ($A$1,$B66,AR$5,$B$1)</f>
        <v>99.84</v>
      </c>
      <c r="AS66" s="55">
        <f>_xll.EQNXTDZ($A$1,$B66,AS$5,$B$1)</f>
        <v>0</v>
      </c>
      <c r="AT66" s="55">
        <f>_xll.EQNXTDZ($A$1,$B66,AT$5,$B$1)</f>
        <v>91.97</v>
      </c>
      <c r="AU66" s="55">
        <f>_xll.EQNXTDZ($A$1,$B66,AU$5,$B$1)</f>
        <v>0</v>
      </c>
      <c r="AV66" s="55">
        <f>_xll.EQNXTDZ($A$1,$B66,AV$5,$B$1)</f>
        <v>93.19</v>
      </c>
      <c r="AW66" s="55">
        <f>_xll.EQNXTDZ($A$1,$B66,AW$5,$B$1)</f>
        <v>0</v>
      </c>
      <c r="AX66" s="55">
        <f>_xll.EQNXTDZ($A$1,$B66,AX$5,$B$1)</f>
        <v>98.43</v>
      </c>
      <c r="AY66" s="55">
        <f>_xll.EQNXTDZ($A$1,$B66,AY$5,$B$1)</f>
        <v>0</v>
      </c>
      <c r="AZ66" s="55">
        <f>_xll.EQNXTDZ($A$1,$B66,AZ$5,$B$1)</f>
        <v>98.73</v>
      </c>
      <c r="BA66" s="55">
        <f>_xll.EQNXTDZ($A$1,$B66,BA$5,$B$1)</f>
        <v>0</v>
      </c>
      <c r="BB66" s="55">
        <f>_xll.EQNXTDZ($A$1,$B66,BB$5,$B$1)</f>
        <v>95.21</v>
      </c>
      <c r="BC66" s="55">
        <f>_xll.EQNXTDZ($A$1,$B66,BC$5,$B$1)</f>
        <v>0</v>
      </c>
      <c r="BD66" s="55">
        <f>_xll.EQNXTDZ($A$1,$B66,BD$5,$B$1)</f>
        <v>99.19</v>
      </c>
      <c r="BE66" s="55">
        <f>_xll.EQNXTDZ($A$1,$B66,BE$5,$B$1)</f>
        <v>0</v>
      </c>
      <c r="BF66" s="55">
        <f>_xll.EQNXTDZ($A$1,$B66,BF$5,$B$1)</f>
        <v>96.2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1746.21</v>
      </c>
      <c r="E67" s="55">
        <f>_xll.EQNXTDZ($A$1,$B67,E$5,$B$1)</f>
        <v>0</v>
      </c>
      <c r="F67" s="55">
        <f>_xll.EQNXTDZ($A$1,$B67,F$5,$B$1)</f>
        <v>1761.24</v>
      </c>
      <c r="G67" s="55">
        <f>_xll.EQNXTDZ($A$1,$B67,G$5,$B$1)</f>
        <v>0</v>
      </c>
      <c r="H67" s="55">
        <f>_xll.EQNXTDZ($A$1,$B67,H$5,$B$1)</f>
        <v>1882.05</v>
      </c>
      <c r="I67" s="55">
        <f>_xll.EQNXTDZ($A$1,$B67,I$5,$B$1)</f>
        <v>0</v>
      </c>
      <c r="J67" s="55">
        <f>_xll.EQNXTDZ($A$1,$B67,J$5,$B$1)</f>
        <v>1958.61</v>
      </c>
      <c r="K67" s="55">
        <f>_xll.EQNXTDZ($A$1,$B67,K$5,$B$1)</f>
        <v>0</v>
      </c>
      <c r="L67" s="55">
        <f>_xll.EQNXTDZ($A$1,$B67,L$5,$B$1)</f>
        <v>2137.36</v>
      </c>
      <c r="M67" s="55">
        <f>_xll.EQNXTDZ($A$1,$B67,M$5,$B$1)</f>
        <v>0</v>
      </c>
      <c r="N67" s="55">
        <f>_xll.EQNXTDZ($A$1,$B67,N$5,$B$1)</f>
        <v>2250.87</v>
      </c>
      <c r="O67" s="55">
        <f>_xll.EQNXTDZ($A$1,$B67,O$5,$B$1)</f>
        <v>0</v>
      </c>
      <c r="P67" s="55">
        <f>_xll.EQNXTDZ($A$1,$B67,P$5,$B$1)</f>
        <v>2434</v>
      </c>
      <c r="Q67" s="55">
        <f>_xll.EQNXTDZ($A$1,$B67,Q$5,$B$1)</f>
        <v>0</v>
      </c>
      <c r="R67" s="55">
        <f>_xll.EQNXTDZ($A$1,$B67,R$5,$B$1)</f>
        <v>2919.83</v>
      </c>
      <c r="S67" s="55">
        <f>_xll.EQNXTDZ($A$1,$B67,S$5,$B$1)</f>
        <v>0</v>
      </c>
      <c r="T67" s="55">
        <f>_xll.EQNXTDZ($A$1,$B67,T$5,$B$1)</f>
        <v>3208.85</v>
      </c>
      <c r="U67" s="55">
        <f>_xll.EQNXTDZ($A$1,$B67,U$5,$B$1)</f>
        <v>0</v>
      </c>
      <c r="V67" s="55">
        <f>_xll.EQNXTDZ($A$1,$B67,V$5,$B$1)</f>
        <v>3426.77</v>
      </c>
      <c r="W67" s="55">
        <f>_xll.EQNXTDZ($A$1,$B67,W$5,$B$1)</f>
        <v>0</v>
      </c>
      <c r="X67" s="55">
        <f>_xll.EQNXTDZ($A$1,$B67,X$5,$B$1)</f>
        <v>3660.4</v>
      </c>
      <c r="Y67" s="55">
        <f>_xll.EQNXTDZ($A$1,$B67,Y$5,$B$1)</f>
        <v>0</v>
      </c>
      <c r="Z67" s="55">
        <f>_xll.EQNXTDZ($A$1,$B67,Z$5,$B$1)</f>
        <v>4025.24</v>
      </c>
      <c r="AA67" s="55">
        <f>_xll.EQNXTDZ($A$1,$B67,AA$5,$B$1)</f>
        <v>0</v>
      </c>
      <c r="AB67" s="55">
        <f>_xll.EQNXTDZ($A$1,$B67,AB$5,$B$1)</f>
        <v>4020.05</v>
      </c>
      <c r="AC67" s="55">
        <f>_xll.EQNXTDZ($A$1,$B67,AC$5,$B$1)</f>
        <v>0</v>
      </c>
      <c r="AD67" s="55">
        <f>_xll.EQNXTDZ($A$1,$B67,AD$5,$B$1)</f>
        <v>4230.1000000000004</v>
      </c>
      <c r="AE67" s="55">
        <f>_xll.EQNXTDZ($A$1,$B67,AE$5,$B$1)</f>
        <v>0</v>
      </c>
      <c r="AF67" s="55">
        <f>_xll.EQNXTDZ($A$1,$B67,AF$5,$B$1)</f>
        <v>4237.6099999999997</v>
      </c>
      <c r="AG67" s="55">
        <f>_xll.EQNXTDZ($A$1,$B67,AG$5,$B$1)</f>
        <v>0</v>
      </c>
      <c r="AH67" s="55">
        <f>_xll.EQNXTDZ($A$1,$B67,AH$5,$B$1)</f>
        <v>4440.83</v>
      </c>
      <c r="AI67" s="55">
        <f>_xll.EQNXTDZ($A$1,$B67,AI$5,$B$1)</f>
        <v>0</v>
      </c>
      <c r="AJ67" s="55">
        <f>_xll.EQNXTDZ($A$1,$B67,AJ$5,$B$1)</f>
        <v>4547.87</v>
      </c>
      <c r="AK67" s="55">
        <f>_xll.EQNXTDZ($A$1,$B67,AK$5,$B$1)</f>
        <v>0</v>
      </c>
      <c r="AL67" s="55">
        <f>_xll.EQNXTDZ($A$1,$B67,AL$5,$B$1)</f>
        <v>5151.3900000000003</v>
      </c>
      <c r="AM67" s="55">
        <f>_xll.EQNXTDZ($A$1,$B67,AM$5,$B$1)</f>
        <v>0</v>
      </c>
      <c r="AN67" s="55">
        <f>_xll.EQNXTDZ($A$1,$B67,AN$5,$B$1)</f>
        <v>5295.89</v>
      </c>
      <c r="AO67" s="55">
        <f>_xll.EQNXTDZ($A$1,$B67,AO$5,$B$1)</f>
        <v>0</v>
      </c>
      <c r="AP67" s="55">
        <f>_xll.EQNXTDZ($A$1,$B67,AP$5,$B$1)</f>
        <v>5678.07</v>
      </c>
      <c r="AQ67" s="55">
        <f>_xll.EQNXTDZ($A$1,$B67,AQ$5,$B$1)</f>
        <v>0</v>
      </c>
      <c r="AR67" s="55">
        <f>_xll.EQNXTDZ($A$1,$B67,AR$5,$B$1)</f>
        <v>5775.45</v>
      </c>
      <c r="AS67" s="55">
        <f>_xll.EQNXTDZ($A$1,$B67,AS$5,$B$1)</f>
        <v>0</v>
      </c>
      <c r="AT67" s="55">
        <f>_xll.EQNXTDZ($A$1,$B67,AT$5,$B$1)</f>
        <v>5654.19</v>
      </c>
      <c r="AU67" s="55">
        <f>_xll.EQNXTDZ($A$1,$B67,AU$5,$B$1)</f>
        <v>0</v>
      </c>
      <c r="AV67" s="55">
        <f>_xll.EQNXTDZ($A$1,$B67,AV$5,$B$1)</f>
        <v>5893.4</v>
      </c>
      <c r="AW67" s="55">
        <f>_xll.EQNXTDZ($A$1,$B67,AW$5,$B$1)</f>
        <v>0</v>
      </c>
      <c r="AX67" s="55">
        <f>_xll.EQNXTDZ($A$1,$B67,AX$5,$B$1)</f>
        <v>6220.46</v>
      </c>
      <c r="AY67" s="55">
        <f>_xll.EQNXTDZ($A$1,$B67,AY$5,$B$1)</f>
        <v>0</v>
      </c>
      <c r="AZ67" s="55">
        <f>_xll.EQNXTDZ($A$1,$B67,AZ$5,$B$1)</f>
        <v>6839.63</v>
      </c>
      <c r="BA67" s="55">
        <f>_xll.EQNXTDZ($A$1,$B67,BA$5,$B$1)</f>
        <v>0</v>
      </c>
      <c r="BB67" s="55">
        <f>_xll.EQNXTDZ($A$1,$B67,BB$5,$B$1)</f>
        <v>7088.2</v>
      </c>
      <c r="BC67" s="55">
        <f>_xll.EQNXTDZ($A$1,$B67,BC$5,$B$1)</f>
        <v>0</v>
      </c>
      <c r="BD67" s="55">
        <f>_xll.EQNXTDZ($A$1,$B67,BD$5,$B$1)</f>
        <v>7006.81</v>
      </c>
      <c r="BE67" s="55">
        <f>_xll.EQNXTDZ($A$1,$B67,BE$5,$B$1)</f>
        <v>0</v>
      </c>
      <c r="BF67" s="55">
        <f>_xll.EQNXTDZ($A$1,$B67,BF$5,$B$1)</f>
        <v>6942.05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212.31</v>
      </c>
      <c r="E68" s="55">
        <f>_xll.EQNXTDZ($A$1,$B68,E$5,$B$1)</f>
        <v>0</v>
      </c>
      <c r="F68" s="55">
        <f>_xll.EQNXTDZ($A$1,$B68,F$5,$B$1)</f>
        <v>211</v>
      </c>
      <c r="G68" s="55">
        <f>_xll.EQNXTDZ($A$1,$B68,G$5,$B$1)</f>
        <v>0</v>
      </c>
      <c r="H68" s="55">
        <f>_xll.EQNXTDZ($A$1,$B68,H$5,$B$1)</f>
        <v>205.29</v>
      </c>
      <c r="I68" s="55">
        <f>_xll.EQNXTDZ($A$1,$B68,I$5,$B$1)</f>
        <v>0</v>
      </c>
      <c r="J68" s="55">
        <f>_xll.EQNXTDZ($A$1,$B68,J$5,$B$1)</f>
        <v>210.34</v>
      </c>
      <c r="K68" s="55">
        <f>_xll.EQNXTDZ($A$1,$B68,K$5,$B$1)</f>
        <v>0</v>
      </c>
      <c r="L68" s="55">
        <f>_xll.EQNXTDZ($A$1,$B68,L$5,$B$1)</f>
        <v>203.5</v>
      </c>
      <c r="M68" s="55">
        <f>_xll.EQNXTDZ($A$1,$B68,M$5,$B$1)</f>
        <v>0</v>
      </c>
      <c r="N68" s="55">
        <f>_xll.EQNXTDZ($A$1,$B68,N$5,$B$1)</f>
        <v>193.47</v>
      </c>
      <c r="O68" s="55">
        <f>_xll.EQNXTDZ($A$1,$B68,O$5,$B$1)</f>
        <v>0</v>
      </c>
      <c r="P68" s="55">
        <f>_xll.EQNXTDZ($A$1,$B68,P$5,$B$1)</f>
        <v>208.27</v>
      </c>
      <c r="Q68" s="55">
        <f>_xll.EQNXTDZ($A$1,$B68,Q$5,$B$1)</f>
        <v>0</v>
      </c>
      <c r="R68" s="55">
        <f>_xll.EQNXTDZ($A$1,$B68,R$5,$B$1)</f>
        <v>203.76</v>
      </c>
      <c r="S68" s="55">
        <f>_xll.EQNXTDZ($A$1,$B68,S$5,$B$1)</f>
        <v>0</v>
      </c>
      <c r="T68" s="55">
        <f>_xll.EQNXTDZ($A$1,$B68,T$5,$B$1)</f>
        <v>201.13</v>
      </c>
      <c r="U68" s="55">
        <f>_xll.EQNXTDZ($A$1,$B68,U$5,$B$1)</f>
        <v>0</v>
      </c>
      <c r="V68" s="55">
        <f>_xll.EQNXTDZ($A$1,$B68,V$5,$B$1)</f>
        <v>181.92</v>
      </c>
      <c r="W68" s="55">
        <f>_xll.EQNXTDZ($A$1,$B68,W$5,$B$1)</f>
        <v>0</v>
      </c>
      <c r="X68" s="55">
        <f>_xll.EQNXTDZ($A$1,$B68,X$5,$B$1)</f>
        <v>180.18</v>
      </c>
      <c r="Y68" s="55">
        <f>_xll.EQNXTDZ($A$1,$B68,Y$5,$B$1)</f>
        <v>0</v>
      </c>
      <c r="Z68" s="55">
        <f>_xll.EQNXTDZ($A$1,$B68,Z$5,$B$1)</f>
        <v>180.13</v>
      </c>
      <c r="AA68" s="55">
        <f>_xll.EQNXTDZ($A$1,$B68,AA$5,$B$1)</f>
        <v>0</v>
      </c>
      <c r="AB68" s="55">
        <f>_xll.EQNXTDZ($A$1,$B68,AB$5,$B$1)</f>
        <v>177.49</v>
      </c>
      <c r="AC68" s="55">
        <f>_xll.EQNXTDZ($A$1,$B68,AC$5,$B$1)</f>
        <v>0</v>
      </c>
      <c r="AD68" s="55">
        <f>_xll.EQNXTDZ($A$1,$B68,AD$5,$B$1)</f>
        <v>224.46</v>
      </c>
      <c r="AE68" s="55">
        <f>_xll.EQNXTDZ($A$1,$B68,AE$5,$B$1)</f>
        <v>0</v>
      </c>
      <c r="AF68" s="55">
        <f>_xll.EQNXTDZ($A$1,$B68,AF$5,$B$1)</f>
        <v>226.45</v>
      </c>
      <c r="AG68" s="55">
        <f>_xll.EQNXTDZ($A$1,$B68,AG$5,$B$1)</f>
        <v>0</v>
      </c>
      <c r="AH68" s="55">
        <f>_xll.EQNXTDZ($A$1,$B68,AH$5,$B$1)</f>
        <v>249.71</v>
      </c>
      <c r="AI68" s="55">
        <f>_xll.EQNXTDZ($A$1,$B68,AI$5,$B$1)</f>
        <v>0</v>
      </c>
      <c r="AJ68" s="55">
        <f>_xll.EQNXTDZ($A$1,$B68,AJ$5,$B$1)</f>
        <v>243.25</v>
      </c>
      <c r="AK68" s="55">
        <f>_xll.EQNXTDZ($A$1,$B68,AK$5,$B$1)</f>
        <v>0</v>
      </c>
      <c r="AL68" s="55">
        <f>_xll.EQNXTDZ($A$1,$B68,AL$5,$B$1)</f>
        <v>246.83</v>
      </c>
      <c r="AM68" s="55">
        <f>_xll.EQNXTDZ($A$1,$B68,AM$5,$B$1)</f>
        <v>0</v>
      </c>
      <c r="AN68" s="55">
        <f>_xll.EQNXTDZ($A$1,$B68,AN$5,$B$1)</f>
        <v>240.25</v>
      </c>
      <c r="AO68" s="55">
        <f>_xll.EQNXTDZ($A$1,$B68,AO$5,$B$1)</f>
        <v>0</v>
      </c>
      <c r="AP68" s="55">
        <f>_xll.EQNXTDZ($A$1,$B68,AP$5,$B$1)</f>
        <v>237.62</v>
      </c>
      <c r="AQ68" s="55">
        <f>_xll.EQNXTDZ($A$1,$B68,AQ$5,$B$1)</f>
        <v>0</v>
      </c>
      <c r="AR68" s="55">
        <f>_xll.EQNXTDZ($A$1,$B68,AR$5,$B$1)</f>
        <v>255.37</v>
      </c>
      <c r="AS68" s="55">
        <f>_xll.EQNXTDZ($A$1,$B68,AS$5,$B$1)</f>
        <v>0</v>
      </c>
      <c r="AT68" s="55">
        <f>_xll.EQNXTDZ($A$1,$B68,AT$5,$B$1)</f>
        <v>367.26</v>
      </c>
      <c r="AU68" s="55">
        <f>_xll.EQNXTDZ($A$1,$B68,AU$5,$B$1)</f>
        <v>0</v>
      </c>
      <c r="AV68" s="55">
        <f>_xll.EQNXTDZ($A$1,$B68,AV$5,$B$1)</f>
        <v>370.02</v>
      </c>
      <c r="AW68" s="55">
        <f>_xll.EQNXTDZ($A$1,$B68,AW$5,$B$1)</f>
        <v>0</v>
      </c>
      <c r="AX68" s="55">
        <f>_xll.EQNXTDZ($A$1,$B68,AX$5,$B$1)</f>
        <v>395.76</v>
      </c>
      <c r="AY68" s="55">
        <f>_xll.EQNXTDZ($A$1,$B68,AY$5,$B$1)</f>
        <v>0</v>
      </c>
      <c r="AZ68" s="55">
        <f>_xll.EQNXTDZ($A$1,$B68,AZ$5,$B$1)</f>
        <v>662.4</v>
      </c>
      <c r="BA68" s="55">
        <f>_xll.EQNXTDZ($A$1,$B68,BA$5,$B$1)</f>
        <v>0</v>
      </c>
      <c r="BB68" s="55">
        <f>_xll.EQNXTDZ($A$1,$B68,BB$5,$B$1)</f>
        <v>823.22</v>
      </c>
      <c r="BC68" s="55">
        <f>_xll.EQNXTDZ($A$1,$B68,BC$5,$B$1)</f>
        <v>0</v>
      </c>
      <c r="BD68" s="55">
        <f>_xll.EQNXTDZ($A$1,$B68,BD$5,$B$1)</f>
        <v>839.56</v>
      </c>
      <c r="BE68" s="55">
        <f>_xll.EQNXTDZ($A$1,$B68,BE$5,$B$1)</f>
        <v>0</v>
      </c>
      <c r="BF68" s="55">
        <f>_xll.EQNXTDZ($A$1,$B68,BF$5,$B$1)</f>
        <v>938.95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212.31</v>
      </c>
      <c r="E71" s="55">
        <f>_xll.EQNXTDZ($A$1,$B71,E$5,$B$1)</f>
        <v>0</v>
      </c>
      <c r="F71" s="55">
        <f>_xll.EQNXTDZ($A$1,$B71,F$5,$B$1)</f>
        <v>211</v>
      </c>
      <c r="G71" s="55">
        <f>_xll.EQNXTDZ($A$1,$B71,G$5,$B$1)</f>
        <v>0</v>
      </c>
      <c r="H71" s="55">
        <f>_xll.EQNXTDZ($A$1,$B71,H$5,$B$1)</f>
        <v>205.29</v>
      </c>
      <c r="I71" s="55">
        <f>_xll.EQNXTDZ($A$1,$B71,I$5,$B$1)</f>
        <v>0</v>
      </c>
      <c r="J71" s="55">
        <f>_xll.EQNXTDZ($A$1,$B71,J$5,$B$1)</f>
        <v>210.34</v>
      </c>
      <c r="K71" s="55">
        <f>_xll.EQNXTDZ($A$1,$B71,K$5,$B$1)</f>
        <v>0</v>
      </c>
      <c r="L71" s="55">
        <f>_xll.EQNXTDZ($A$1,$B71,L$5,$B$1)</f>
        <v>203.5</v>
      </c>
      <c r="M71" s="55">
        <f>_xll.EQNXTDZ($A$1,$B71,M$5,$B$1)</f>
        <v>0</v>
      </c>
      <c r="N71" s="55">
        <f>_xll.EQNXTDZ($A$1,$B71,N$5,$B$1)</f>
        <v>193.47</v>
      </c>
      <c r="O71" s="55">
        <f>_xll.EQNXTDZ($A$1,$B71,O$5,$B$1)</f>
        <v>0</v>
      </c>
      <c r="P71" s="55">
        <f>_xll.EQNXTDZ($A$1,$B71,P$5,$B$1)</f>
        <v>208.27</v>
      </c>
      <c r="Q71" s="55">
        <f>_xll.EQNXTDZ($A$1,$B71,Q$5,$B$1)</f>
        <v>0</v>
      </c>
      <c r="R71" s="55">
        <f>_xll.EQNXTDZ($A$1,$B71,R$5,$B$1)</f>
        <v>203.76</v>
      </c>
      <c r="S71" s="55">
        <f>_xll.EQNXTDZ($A$1,$B71,S$5,$B$1)</f>
        <v>0</v>
      </c>
      <c r="T71" s="55">
        <f>_xll.EQNXTDZ($A$1,$B71,T$5,$B$1)</f>
        <v>201.13</v>
      </c>
      <c r="U71" s="55">
        <f>_xll.EQNXTDZ($A$1,$B71,U$5,$B$1)</f>
        <v>0</v>
      </c>
      <c r="V71" s="55">
        <f>_xll.EQNXTDZ($A$1,$B71,V$5,$B$1)</f>
        <v>181.92</v>
      </c>
      <c r="W71" s="55">
        <f>_xll.EQNXTDZ($A$1,$B71,W$5,$B$1)</f>
        <v>0</v>
      </c>
      <c r="X71" s="55">
        <f>_xll.EQNXTDZ($A$1,$B71,X$5,$B$1)</f>
        <v>180.18</v>
      </c>
      <c r="Y71" s="55">
        <f>_xll.EQNXTDZ($A$1,$B71,Y$5,$B$1)</f>
        <v>0</v>
      </c>
      <c r="Z71" s="55">
        <f>_xll.EQNXTDZ($A$1,$B71,Z$5,$B$1)</f>
        <v>180.13</v>
      </c>
      <c r="AA71" s="55">
        <f>_xll.EQNXTDZ($A$1,$B71,AA$5,$B$1)</f>
        <v>0</v>
      </c>
      <c r="AB71" s="55">
        <f>_xll.EQNXTDZ($A$1,$B71,AB$5,$B$1)</f>
        <v>177.49</v>
      </c>
      <c r="AC71" s="55">
        <f>_xll.EQNXTDZ($A$1,$B71,AC$5,$B$1)</f>
        <v>0</v>
      </c>
      <c r="AD71" s="55">
        <f>_xll.EQNXTDZ($A$1,$B71,AD$5,$B$1)</f>
        <v>224.46</v>
      </c>
      <c r="AE71" s="55">
        <f>_xll.EQNXTDZ($A$1,$B71,AE$5,$B$1)</f>
        <v>0</v>
      </c>
      <c r="AF71" s="55">
        <f>_xll.EQNXTDZ($A$1,$B71,AF$5,$B$1)</f>
        <v>226.45</v>
      </c>
      <c r="AG71" s="55">
        <f>_xll.EQNXTDZ($A$1,$B71,AG$5,$B$1)</f>
        <v>0</v>
      </c>
      <c r="AH71" s="55">
        <f>_xll.EQNXTDZ($A$1,$B71,AH$5,$B$1)</f>
        <v>249.71</v>
      </c>
      <c r="AI71" s="55">
        <f>_xll.EQNXTDZ($A$1,$B71,AI$5,$B$1)</f>
        <v>0</v>
      </c>
      <c r="AJ71" s="55">
        <f>_xll.EQNXTDZ($A$1,$B71,AJ$5,$B$1)</f>
        <v>243.25</v>
      </c>
      <c r="AK71" s="55">
        <f>_xll.EQNXTDZ($A$1,$B71,AK$5,$B$1)</f>
        <v>0</v>
      </c>
      <c r="AL71" s="55">
        <f>_xll.EQNXTDZ($A$1,$B71,AL$5,$B$1)</f>
        <v>246.83</v>
      </c>
      <c r="AM71" s="55">
        <f>_xll.EQNXTDZ($A$1,$B71,AM$5,$B$1)</f>
        <v>0</v>
      </c>
      <c r="AN71" s="55">
        <f>_xll.EQNXTDZ($A$1,$B71,AN$5,$B$1)</f>
        <v>240.25</v>
      </c>
      <c r="AO71" s="55">
        <f>_xll.EQNXTDZ($A$1,$B71,AO$5,$B$1)</f>
        <v>0</v>
      </c>
      <c r="AP71" s="55">
        <f>_xll.EQNXTDZ($A$1,$B71,AP$5,$B$1)</f>
        <v>237.62</v>
      </c>
      <c r="AQ71" s="55">
        <f>_xll.EQNXTDZ($A$1,$B71,AQ$5,$B$1)</f>
        <v>0</v>
      </c>
      <c r="AR71" s="55">
        <f>_xll.EQNXTDZ($A$1,$B71,AR$5,$B$1)</f>
        <v>255.37</v>
      </c>
      <c r="AS71" s="55">
        <f>_xll.EQNXTDZ($A$1,$B71,AS$5,$B$1)</f>
        <v>0</v>
      </c>
      <c r="AT71" s="55">
        <f>_xll.EQNXTDZ($A$1,$B71,AT$5,$B$1)</f>
        <v>367.26</v>
      </c>
      <c r="AU71" s="55">
        <f>_xll.EQNXTDZ($A$1,$B71,AU$5,$B$1)</f>
        <v>0</v>
      </c>
      <c r="AV71" s="55">
        <f>_xll.EQNXTDZ($A$1,$B71,AV$5,$B$1)</f>
        <v>370.02</v>
      </c>
      <c r="AW71" s="55">
        <f>_xll.EQNXTDZ($A$1,$B71,AW$5,$B$1)</f>
        <v>0</v>
      </c>
      <c r="AX71" s="55">
        <f>_xll.EQNXTDZ($A$1,$B71,AX$5,$B$1)</f>
        <v>395.76</v>
      </c>
      <c r="AY71" s="55">
        <f>_xll.EQNXTDZ($A$1,$B71,AY$5,$B$1)</f>
        <v>0</v>
      </c>
      <c r="AZ71" s="55">
        <f>_xll.EQNXTDZ($A$1,$B71,AZ$5,$B$1)</f>
        <v>662.4</v>
      </c>
      <c r="BA71" s="55">
        <f>_xll.EQNXTDZ($A$1,$B71,BA$5,$B$1)</f>
        <v>0</v>
      </c>
      <c r="BB71" s="55">
        <f>_xll.EQNXTDZ($A$1,$B71,BB$5,$B$1)</f>
        <v>823.22</v>
      </c>
      <c r="BC71" s="55">
        <f>_xll.EQNXTDZ($A$1,$B71,BC$5,$B$1)</f>
        <v>0</v>
      </c>
      <c r="BD71" s="55">
        <f>_xll.EQNXTDZ($A$1,$B71,BD$5,$B$1)</f>
        <v>839.56</v>
      </c>
      <c r="BE71" s="55">
        <f>_xll.EQNXTDZ($A$1,$B71,BE$5,$B$1)</f>
        <v>0</v>
      </c>
      <c r="BF71" s="55">
        <f>_xll.EQNXTDZ($A$1,$B71,BF$5,$B$1)</f>
        <v>938.95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88.19</v>
      </c>
      <c r="E72" s="55">
        <f>_xll.EQNXTDZ($A$1,$B72,E$5,$B$1)</f>
        <v>0</v>
      </c>
      <c r="F72" s="55">
        <f>_xll.EQNXTDZ($A$1,$B72,F$5,$B$1)</f>
        <v>88.84</v>
      </c>
      <c r="G72" s="55">
        <f>_xll.EQNXTDZ($A$1,$B72,G$5,$B$1)</f>
        <v>0</v>
      </c>
      <c r="H72" s="55">
        <f>_xll.EQNXTDZ($A$1,$B72,H$5,$B$1)</f>
        <v>89.97</v>
      </c>
      <c r="I72" s="55">
        <f>_xll.EQNXTDZ($A$1,$B72,I$5,$B$1)</f>
        <v>0</v>
      </c>
      <c r="J72" s="55">
        <f>_xll.EQNXTDZ($A$1,$B72,J$5,$B$1)</f>
        <v>79.849999999999994</v>
      </c>
      <c r="K72" s="55">
        <f>_xll.EQNXTDZ($A$1,$B72,K$5,$B$1)</f>
        <v>0</v>
      </c>
      <c r="L72" s="55">
        <f>_xll.EQNXTDZ($A$1,$B72,L$5,$B$1)</f>
        <v>79.58</v>
      </c>
      <c r="M72" s="55">
        <f>_xll.EQNXTDZ($A$1,$B72,M$5,$B$1)</f>
        <v>0</v>
      </c>
      <c r="N72" s="55">
        <f>_xll.EQNXTDZ($A$1,$B72,N$5,$B$1)</f>
        <v>79.78</v>
      </c>
      <c r="O72" s="55">
        <f>_xll.EQNXTDZ($A$1,$B72,O$5,$B$1)</f>
        <v>0</v>
      </c>
      <c r="P72" s="55">
        <f>_xll.EQNXTDZ($A$1,$B72,P$5,$B$1)</f>
        <v>79.930000000000007</v>
      </c>
      <c r="Q72" s="55">
        <f>_xll.EQNXTDZ($A$1,$B72,Q$5,$B$1)</f>
        <v>0</v>
      </c>
      <c r="R72" s="55">
        <f>_xll.EQNXTDZ($A$1,$B72,R$5,$B$1)</f>
        <v>72.31</v>
      </c>
      <c r="S72" s="55">
        <f>_xll.EQNXTDZ($A$1,$B72,S$5,$B$1)</f>
        <v>0</v>
      </c>
      <c r="T72" s="55">
        <f>_xll.EQNXTDZ($A$1,$B72,T$5,$B$1)</f>
        <v>72.31</v>
      </c>
      <c r="U72" s="55">
        <f>_xll.EQNXTDZ($A$1,$B72,U$5,$B$1)</f>
        <v>0</v>
      </c>
      <c r="V72" s="55">
        <f>_xll.EQNXTDZ($A$1,$B72,V$5,$B$1)</f>
        <v>72.31</v>
      </c>
      <c r="W72" s="55">
        <f>_xll.EQNXTDZ($A$1,$B72,W$5,$B$1)</f>
        <v>0</v>
      </c>
      <c r="X72" s="55">
        <f>_xll.EQNXTDZ($A$1,$B72,X$5,$B$1)</f>
        <v>72.31</v>
      </c>
      <c r="Y72" s="55">
        <f>_xll.EQNXTDZ($A$1,$B72,Y$5,$B$1)</f>
        <v>0</v>
      </c>
      <c r="Z72" s="55">
        <f>_xll.EQNXTDZ($A$1,$B72,Z$5,$B$1)</f>
        <v>72.31</v>
      </c>
      <c r="AA72" s="55">
        <f>_xll.EQNXTDZ($A$1,$B72,AA$5,$B$1)</f>
        <v>0</v>
      </c>
      <c r="AB72" s="55">
        <f>_xll.EQNXTDZ($A$1,$B72,AB$5,$B$1)</f>
        <v>72.31</v>
      </c>
      <c r="AC72" s="55">
        <f>_xll.EQNXTDZ($A$1,$B72,AC$5,$B$1)</f>
        <v>0</v>
      </c>
      <c r="AD72" s="55">
        <f>_xll.EQNXTDZ($A$1,$B72,AD$5,$B$1)</f>
        <v>72.31</v>
      </c>
      <c r="AE72" s="55">
        <f>_xll.EQNXTDZ($A$1,$B72,AE$5,$B$1)</f>
        <v>0</v>
      </c>
      <c r="AF72" s="55">
        <f>_xll.EQNXTDZ($A$1,$B72,AF$5,$B$1)</f>
        <v>72.31</v>
      </c>
      <c r="AG72" s="55">
        <f>_xll.EQNXTDZ($A$1,$B72,AG$5,$B$1)</f>
        <v>0</v>
      </c>
      <c r="AH72" s="55">
        <f>_xll.EQNXTDZ($A$1,$B72,AH$5,$B$1)</f>
        <v>72.31</v>
      </c>
      <c r="AI72" s="55">
        <f>_xll.EQNXTDZ($A$1,$B72,AI$5,$B$1)</f>
        <v>0</v>
      </c>
      <c r="AJ72" s="55">
        <f>_xll.EQNXTDZ($A$1,$B72,AJ$5,$B$1)</f>
        <v>72.31</v>
      </c>
      <c r="AK72" s="55">
        <f>_xll.EQNXTDZ($A$1,$B72,AK$5,$B$1)</f>
        <v>0</v>
      </c>
      <c r="AL72" s="55">
        <f>_xll.EQNXTDZ($A$1,$B72,AL$5,$B$1)</f>
        <v>72.31</v>
      </c>
      <c r="AM72" s="55">
        <f>_xll.EQNXTDZ($A$1,$B72,AM$5,$B$1)</f>
        <v>0</v>
      </c>
      <c r="AN72" s="55">
        <f>_xll.EQNXTDZ($A$1,$B72,AN$5,$B$1)</f>
        <v>72.31</v>
      </c>
      <c r="AO72" s="55">
        <f>_xll.EQNXTDZ($A$1,$B72,AO$5,$B$1)</f>
        <v>0</v>
      </c>
      <c r="AP72" s="55">
        <f>_xll.EQNXTDZ($A$1,$B72,AP$5,$B$1)</f>
        <v>72.31</v>
      </c>
      <c r="AQ72" s="55">
        <f>_xll.EQNXTDZ($A$1,$B72,AQ$5,$B$1)</f>
        <v>0</v>
      </c>
      <c r="AR72" s="55">
        <f>_xll.EQNXTDZ($A$1,$B72,AR$5,$B$1)</f>
        <v>72.31</v>
      </c>
      <c r="AS72" s="55">
        <f>_xll.EQNXTDZ($A$1,$B72,AS$5,$B$1)</f>
        <v>0</v>
      </c>
      <c r="AT72" s="55">
        <f>_xll.EQNXTDZ($A$1,$B72,AT$5,$B$1)</f>
        <v>72.31</v>
      </c>
      <c r="AU72" s="55">
        <f>_xll.EQNXTDZ($A$1,$B72,AU$5,$B$1)</f>
        <v>0</v>
      </c>
      <c r="AV72" s="55">
        <f>_xll.EQNXTDZ($A$1,$B72,AV$5,$B$1)</f>
        <v>72.31</v>
      </c>
      <c r="AW72" s="55">
        <f>_xll.EQNXTDZ($A$1,$B72,AW$5,$B$1)</f>
        <v>0</v>
      </c>
      <c r="AX72" s="55">
        <f>_xll.EQNXTDZ($A$1,$B72,AX$5,$B$1)</f>
        <v>72.31</v>
      </c>
      <c r="AY72" s="55">
        <f>_xll.EQNXTDZ($A$1,$B72,AY$5,$B$1)</f>
        <v>0</v>
      </c>
      <c r="AZ72" s="55">
        <f>_xll.EQNXTDZ($A$1,$B72,AZ$5,$B$1)</f>
        <v>72.31</v>
      </c>
      <c r="BA72" s="55">
        <f>_xll.EQNXTDZ($A$1,$B72,BA$5,$B$1)</f>
        <v>0</v>
      </c>
      <c r="BB72" s="55">
        <f>_xll.EQNXTDZ($A$1,$B72,BB$5,$B$1)</f>
        <v>72.31</v>
      </c>
      <c r="BC72" s="55">
        <f>_xll.EQNXTDZ($A$1,$B72,BC$5,$B$1)</f>
        <v>0</v>
      </c>
      <c r="BD72" s="55">
        <f>_xll.EQNXTDZ($A$1,$B72,BD$5,$B$1)</f>
        <v>72.31</v>
      </c>
      <c r="BE72" s="55">
        <f>_xll.EQNXTDZ($A$1,$B72,BE$5,$B$1)</f>
        <v>0</v>
      </c>
      <c r="BF72" s="55">
        <f>_xll.EQNXTDZ($A$1,$B72,BF$5,$B$1)</f>
        <v>72.31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1.29</v>
      </c>
      <c r="S74" s="55">
        <f>_xll.EQNXTDZ($A$1,$B74,S$5,$B$1)</f>
        <v>0</v>
      </c>
      <c r="T74" s="55">
        <f>_xll.EQNXTDZ($A$1,$B74,T$5,$B$1)</f>
        <v>2.3199999999999998</v>
      </c>
      <c r="U74" s="55">
        <f>_xll.EQNXTDZ($A$1,$B74,U$5,$B$1)</f>
        <v>0</v>
      </c>
      <c r="V74" s="55">
        <f>_xll.EQNXTDZ($A$1,$B74,V$5,$B$1)</f>
        <v>0.55000000000000004</v>
      </c>
      <c r="W74" s="55">
        <f>_xll.EQNXTDZ($A$1,$B74,W$5,$B$1)</f>
        <v>0</v>
      </c>
      <c r="X74" s="55">
        <f>_xll.EQNXTDZ($A$1,$B74,X$5,$B$1)</f>
        <v>1.79</v>
      </c>
      <c r="Y74" s="55">
        <f>_xll.EQNXTDZ($A$1,$B74,Y$5,$B$1)</f>
        <v>0</v>
      </c>
      <c r="Z74" s="55">
        <f>_xll.EQNXTDZ($A$1,$B74,Z$5,$B$1)</f>
        <v>4.08</v>
      </c>
      <c r="AA74" s="55">
        <f>_xll.EQNXTDZ($A$1,$B74,AA$5,$B$1)</f>
        <v>0</v>
      </c>
      <c r="AB74" s="55">
        <f>_xll.EQNXTDZ($A$1,$B74,AB$5,$B$1)</f>
        <v>20.67</v>
      </c>
      <c r="AC74" s="55">
        <f>_xll.EQNXTDZ($A$1,$B74,AC$5,$B$1)</f>
        <v>0</v>
      </c>
      <c r="AD74" s="55">
        <f>_xll.EQNXTDZ($A$1,$B74,AD$5,$B$1)</f>
        <v>15.66</v>
      </c>
      <c r="AE74" s="55">
        <f>_xll.EQNXTDZ($A$1,$B74,AE$5,$B$1)</f>
        <v>0</v>
      </c>
      <c r="AF74" s="55">
        <f>_xll.EQNXTDZ($A$1,$B74,AF$5,$B$1)</f>
        <v>30.47</v>
      </c>
      <c r="AG74" s="55">
        <f>_xll.EQNXTDZ($A$1,$B74,AG$5,$B$1)</f>
        <v>0</v>
      </c>
      <c r="AH74" s="55">
        <f>_xll.EQNXTDZ($A$1,$B74,AH$5,$B$1)</f>
        <v>26.28</v>
      </c>
      <c r="AI74" s="55">
        <f>_xll.EQNXTDZ($A$1,$B74,AI$5,$B$1)</f>
        <v>0</v>
      </c>
      <c r="AJ74" s="55">
        <f>_xll.EQNXTDZ($A$1,$B74,AJ$5,$B$1)</f>
        <v>17</v>
      </c>
      <c r="AK74" s="55">
        <f>_xll.EQNXTDZ($A$1,$B74,AK$5,$B$1)</f>
        <v>0</v>
      </c>
      <c r="AL74" s="55">
        <f>_xll.EQNXTDZ($A$1,$B74,AL$5,$B$1)</f>
        <v>8.81</v>
      </c>
      <c r="AM74" s="55">
        <f>_xll.EQNXTDZ($A$1,$B74,AM$5,$B$1)</f>
        <v>0</v>
      </c>
      <c r="AN74" s="55">
        <f>_xll.EQNXTDZ($A$1,$B74,AN$5,$B$1)</f>
        <v>14.83</v>
      </c>
      <c r="AO74" s="55">
        <f>_xll.EQNXTDZ($A$1,$B74,AO$5,$B$1)</f>
        <v>0</v>
      </c>
      <c r="AP74" s="55">
        <f>_xll.EQNXTDZ($A$1,$B74,AP$5,$B$1)</f>
        <v>59.29</v>
      </c>
      <c r="AQ74" s="55">
        <f>_xll.EQNXTDZ($A$1,$B74,AQ$5,$B$1)</f>
        <v>0</v>
      </c>
      <c r="AR74" s="55">
        <f>_xll.EQNXTDZ($A$1,$B74,AR$5,$B$1)</f>
        <v>142.09</v>
      </c>
      <c r="AS74" s="55">
        <f>_xll.EQNXTDZ($A$1,$B74,AS$5,$B$1)</f>
        <v>0</v>
      </c>
      <c r="AT74" s="55">
        <f>_xll.EQNXTDZ($A$1,$B74,AT$5,$B$1)</f>
        <v>98.25</v>
      </c>
      <c r="AU74" s="55">
        <f>_xll.EQNXTDZ($A$1,$B74,AU$5,$B$1)</f>
        <v>0</v>
      </c>
      <c r="AV74" s="55">
        <f>_xll.EQNXTDZ($A$1,$B74,AV$5,$B$1)</f>
        <v>150.38</v>
      </c>
      <c r="AW74" s="55">
        <f>_xll.EQNXTDZ($A$1,$B74,AW$5,$B$1)</f>
        <v>0</v>
      </c>
      <c r="AX74" s="55">
        <f>_xll.EQNXTDZ($A$1,$B74,AX$5,$B$1)</f>
        <v>367.51</v>
      </c>
      <c r="AY74" s="55">
        <f>_xll.EQNXTDZ($A$1,$B74,AY$5,$B$1)</f>
        <v>0</v>
      </c>
      <c r="AZ74" s="55">
        <f>_xll.EQNXTDZ($A$1,$B74,AZ$5,$B$1)</f>
        <v>193.15</v>
      </c>
      <c r="BA74" s="55">
        <f>_xll.EQNXTDZ($A$1,$B74,BA$5,$B$1)</f>
        <v>0</v>
      </c>
      <c r="BB74" s="55">
        <f>_xll.EQNXTDZ($A$1,$B74,BB$5,$B$1)</f>
        <v>82.35</v>
      </c>
      <c r="BC74" s="55">
        <f>_xll.EQNXTDZ($A$1,$B74,BC$5,$B$1)</f>
        <v>0</v>
      </c>
      <c r="BD74" s="55">
        <f>_xll.EQNXTDZ($A$1,$B74,BD$5,$B$1)</f>
        <v>75.17</v>
      </c>
      <c r="BE74" s="55">
        <f>_xll.EQNXTDZ($A$1,$B74,BE$5,$B$1)</f>
        <v>0</v>
      </c>
      <c r="BF74" s="55">
        <f>_xll.EQNXTDZ($A$1,$B74,BF$5,$B$1)</f>
        <v>22.07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72.34</v>
      </c>
      <c r="E77" s="55">
        <f>_xll.EQNXTDZ($A$1,$B77,E$5,$B$1)</f>
        <v>0</v>
      </c>
      <c r="F77" s="55">
        <f>_xll.EQNXTDZ($A$1,$B77,F$5,$B$1)</f>
        <v>139.31</v>
      </c>
      <c r="G77" s="55">
        <f>_xll.EQNXTDZ($A$1,$B77,G$5,$B$1)</f>
        <v>0</v>
      </c>
      <c r="H77" s="55">
        <f>_xll.EQNXTDZ($A$1,$B77,H$5,$B$1)</f>
        <v>89.01</v>
      </c>
      <c r="I77" s="55">
        <f>_xll.EQNXTDZ($A$1,$B77,I$5,$B$1)</f>
        <v>0</v>
      </c>
      <c r="J77" s="55">
        <f>_xll.EQNXTDZ($A$1,$B77,J$5,$B$1)</f>
        <v>139.32</v>
      </c>
      <c r="K77" s="55">
        <f>_xll.EQNXTDZ($A$1,$B77,K$5,$B$1)</f>
        <v>0</v>
      </c>
      <c r="L77" s="55">
        <f>_xll.EQNXTDZ($A$1,$B77,L$5,$B$1)</f>
        <v>89.97</v>
      </c>
      <c r="M77" s="55">
        <f>_xll.EQNXTDZ($A$1,$B77,M$5,$B$1)</f>
        <v>0</v>
      </c>
      <c r="N77" s="55">
        <f>_xll.EQNXTDZ($A$1,$B77,N$5,$B$1)</f>
        <v>626.9</v>
      </c>
      <c r="O77" s="55">
        <f>_xll.EQNXTDZ($A$1,$B77,O$5,$B$1)</f>
        <v>0</v>
      </c>
      <c r="P77" s="55">
        <f>_xll.EQNXTDZ($A$1,$B77,P$5,$B$1)</f>
        <v>628.30999999999995</v>
      </c>
      <c r="Q77" s="55">
        <f>_xll.EQNXTDZ($A$1,$B77,Q$5,$B$1)</f>
        <v>0</v>
      </c>
      <c r="R77" s="55">
        <f>_xll.EQNXTDZ($A$1,$B77,R$5,$B$1)</f>
        <v>1307.1199999999999</v>
      </c>
      <c r="S77" s="55">
        <f>_xll.EQNXTDZ($A$1,$B77,S$5,$B$1)</f>
        <v>0</v>
      </c>
      <c r="T77" s="55">
        <f>_xll.EQNXTDZ($A$1,$B77,T$5,$B$1)</f>
        <v>1764.61</v>
      </c>
      <c r="U77" s="55">
        <f>_xll.EQNXTDZ($A$1,$B77,U$5,$B$1)</f>
        <v>0</v>
      </c>
      <c r="V77" s="55">
        <f>_xll.EQNXTDZ($A$1,$B77,V$5,$B$1)</f>
        <v>2113.9899999999998</v>
      </c>
      <c r="W77" s="55">
        <f>_xll.EQNXTDZ($A$1,$B77,W$5,$B$1)</f>
        <v>0</v>
      </c>
      <c r="X77" s="55">
        <f>_xll.EQNXTDZ($A$1,$B77,X$5,$B$1)</f>
        <v>2467.34</v>
      </c>
      <c r="Y77" s="55">
        <f>_xll.EQNXTDZ($A$1,$B77,Y$5,$B$1)</f>
        <v>0</v>
      </c>
      <c r="Z77" s="55">
        <f>_xll.EQNXTDZ($A$1,$B77,Z$5,$B$1)</f>
        <v>2310.66</v>
      </c>
      <c r="AA77" s="55">
        <f>_xll.EQNXTDZ($A$1,$B77,AA$5,$B$1)</f>
        <v>0</v>
      </c>
      <c r="AB77" s="55">
        <f>_xll.EQNXTDZ($A$1,$B77,AB$5,$B$1)</f>
        <v>2386.0100000000002</v>
      </c>
      <c r="AC77" s="55">
        <f>_xll.EQNXTDZ($A$1,$B77,AC$5,$B$1)</f>
        <v>0</v>
      </c>
      <c r="AD77" s="55">
        <f>_xll.EQNXTDZ($A$1,$B77,AD$5,$B$1)</f>
        <v>1196.44</v>
      </c>
      <c r="AE77" s="55">
        <f>_xll.EQNXTDZ($A$1,$B77,AE$5,$B$1)</f>
        <v>0</v>
      </c>
      <c r="AF77" s="55">
        <f>_xll.EQNXTDZ($A$1,$B77,AF$5,$B$1)</f>
        <v>1021.64</v>
      </c>
      <c r="AG77" s="55">
        <f>_xll.EQNXTDZ($A$1,$B77,AG$5,$B$1)</f>
        <v>0</v>
      </c>
      <c r="AH77" s="55">
        <f>_xll.EQNXTDZ($A$1,$B77,AH$5,$B$1)</f>
        <v>1868.24</v>
      </c>
      <c r="AI77" s="55">
        <f>_xll.EQNXTDZ($A$1,$B77,AI$5,$B$1)</f>
        <v>0</v>
      </c>
      <c r="AJ77" s="55">
        <f>_xll.EQNXTDZ($A$1,$B77,AJ$5,$B$1)</f>
        <v>2035.59</v>
      </c>
      <c r="AK77" s="55">
        <f>_xll.EQNXTDZ($A$1,$B77,AK$5,$B$1)</f>
        <v>0</v>
      </c>
      <c r="AL77" s="55">
        <f>_xll.EQNXTDZ($A$1,$B77,AL$5,$B$1)</f>
        <v>2852.66</v>
      </c>
      <c r="AM77" s="55">
        <f>_xll.EQNXTDZ($A$1,$B77,AM$5,$B$1)</f>
        <v>0</v>
      </c>
      <c r="AN77" s="55">
        <f>_xll.EQNXTDZ($A$1,$B77,AN$5,$B$1)</f>
        <v>2859.91</v>
      </c>
      <c r="AO77" s="55">
        <f>_xll.EQNXTDZ($A$1,$B77,AO$5,$B$1)</f>
        <v>0</v>
      </c>
      <c r="AP77" s="55">
        <f>_xll.EQNXTDZ($A$1,$B77,AP$5,$B$1)</f>
        <v>3234.44</v>
      </c>
      <c r="AQ77" s="55">
        <f>_xll.EQNXTDZ($A$1,$B77,AQ$5,$B$1)</f>
        <v>0</v>
      </c>
      <c r="AR77" s="55">
        <f>_xll.EQNXTDZ($A$1,$B77,AR$5,$B$1)</f>
        <v>2468</v>
      </c>
      <c r="AS77" s="55">
        <f>_xll.EQNXTDZ($A$1,$B77,AS$5,$B$1)</f>
        <v>0</v>
      </c>
      <c r="AT77" s="55">
        <f>_xll.EQNXTDZ($A$1,$B77,AT$5,$B$1)</f>
        <v>2850.89</v>
      </c>
      <c r="AU77" s="55">
        <f>_xll.EQNXTDZ($A$1,$B77,AU$5,$B$1)</f>
        <v>0</v>
      </c>
      <c r="AV77" s="55">
        <f>_xll.EQNXTDZ($A$1,$B77,AV$5,$B$1)</f>
        <v>3019.15</v>
      </c>
      <c r="AW77" s="55">
        <f>_xll.EQNXTDZ($A$1,$B77,AW$5,$B$1)</f>
        <v>0</v>
      </c>
      <c r="AX77" s="55">
        <f>_xll.EQNXTDZ($A$1,$B77,AX$5,$B$1)</f>
        <v>3051.72</v>
      </c>
      <c r="AY77" s="55">
        <f>_xll.EQNXTDZ($A$1,$B77,AY$5,$B$1)</f>
        <v>0</v>
      </c>
      <c r="AZ77" s="55">
        <f>_xll.EQNXTDZ($A$1,$B77,AZ$5,$B$1)</f>
        <v>3404.39</v>
      </c>
      <c r="BA77" s="55">
        <f>_xll.EQNXTDZ($A$1,$B77,BA$5,$B$1)</f>
        <v>0</v>
      </c>
      <c r="BB77" s="55">
        <f>_xll.EQNXTDZ($A$1,$B77,BB$5,$B$1)</f>
        <v>2888.49</v>
      </c>
      <c r="BC77" s="55">
        <f>_xll.EQNXTDZ($A$1,$B77,BC$5,$B$1)</f>
        <v>0</v>
      </c>
      <c r="BD77" s="55">
        <f>_xll.EQNXTDZ($A$1,$B77,BD$5,$B$1)</f>
        <v>2659.97</v>
      </c>
      <c r="BE77" s="55">
        <f>_xll.EQNXTDZ($A$1,$B77,BE$5,$B$1)</f>
        <v>0</v>
      </c>
      <c r="BF77" s="55">
        <f>_xll.EQNXTDZ($A$1,$B77,BF$5,$B$1)</f>
        <v>2522.16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152.25</v>
      </c>
      <c r="E78" s="55">
        <f>_xll.EQNXTDZ($A$1,$B78,E$5,$B$1)</f>
        <v>0</v>
      </c>
      <c r="F78" s="55">
        <f>_xll.EQNXTDZ($A$1,$B78,F$5,$B$1)</f>
        <v>129.74</v>
      </c>
      <c r="G78" s="55">
        <f>_xll.EQNXTDZ($A$1,$B78,G$5,$B$1)</f>
        <v>0</v>
      </c>
      <c r="H78" s="55">
        <f>_xll.EQNXTDZ($A$1,$B78,H$5,$B$1)</f>
        <v>134.13999999999999</v>
      </c>
      <c r="I78" s="55">
        <f>_xll.EQNXTDZ($A$1,$B78,I$5,$B$1)</f>
        <v>0</v>
      </c>
      <c r="J78" s="55">
        <f>_xll.EQNXTDZ($A$1,$B78,J$5,$B$1)</f>
        <v>123.26</v>
      </c>
      <c r="K78" s="55">
        <f>_xll.EQNXTDZ($A$1,$B78,K$5,$B$1)</f>
        <v>0</v>
      </c>
      <c r="L78" s="55">
        <f>_xll.EQNXTDZ($A$1,$B78,L$5,$B$1)</f>
        <v>77.959999999999994</v>
      </c>
      <c r="M78" s="55">
        <f>_xll.EQNXTDZ($A$1,$B78,M$5,$B$1)</f>
        <v>0</v>
      </c>
      <c r="N78" s="55">
        <f>_xll.EQNXTDZ($A$1,$B78,N$5,$B$1)</f>
        <v>109.29</v>
      </c>
      <c r="O78" s="55">
        <f>_xll.EQNXTDZ($A$1,$B78,O$5,$B$1)</f>
        <v>0</v>
      </c>
      <c r="P78" s="55">
        <f>_xll.EQNXTDZ($A$1,$B78,P$5,$B$1)</f>
        <v>116.97</v>
      </c>
      <c r="Q78" s="55">
        <f>_xll.EQNXTDZ($A$1,$B78,Q$5,$B$1)</f>
        <v>0</v>
      </c>
      <c r="R78" s="55">
        <f>_xll.EQNXTDZ($A$1,$B78,R$5,$B$1)</f>
        <v>1.06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0.72</v>
      </c>
      <c r="W78" s="55">
        <f>_xll.EQNXTDZ($A$1,$B78,W$5,$B$1)</f>
        <v>0</v>
      </c>
      <c r="X78" s="55">
        <f>_xll.EQNXTDZ($A$1,$B78,X$5,$B$1)</f>
        <v>0.53</v>
      </c>
      <c r="Y78" s="55">
        <f>_xll.EQNXTDZ($A$1,$B78,Y$5,$B$1)</f>
        <v>0</v>
      </c>
      <c r="Z78" s="55">
        <f>_xll.EQNXTDZ($A$1,$B78,Z$5,$B$1)</f>
        <v>0.5</v>
      </c>
      <c r="AA78" s="55">
        <f>_xll.EQNXTDZ($A$1,$B78,AA$5,$B$1)</f>
        <v>0</v>
      </c>
      <c r="AB78" s="55">
        <f>_xll.EQNXTDZ($A$1,$B78,AB$5,$B$1)</f>
        <v>0.33</v>
      </c>
      <c r="AC78" s="55">
        <f>_xll.EQNXTDZ($A$1,$B78,AC$5,$B$1)</f>
        <v>0</v>
      </c>
      <c r="AD78" s="55">
        <f>_xll.EQNXTDZ($A$1,$B78,AD$5,$B$1)</f>
        <v>0.31</v>
      </c>
      <c r="AE78" s="55">
        <f>_xll.EQNXTDZ($A$1,$B78,AE$5,$B$1)</f>
        <v>0</v>
      </c>
      <c r="AF78" s="55">
        <f>_xll.EQNXTDZ($A$1,$B78,AF$5,$B$1)</f>
        <v>0.3</v>
      </c>
      <c r="AG78" s="55">
        <f>_xll.EQNXTDZ($A$1,$B78,AG$5,$B$1)</f>
        <v>0</v>
      </c>
      <c r="AH78" s="55">
        <f>_xll.EQNXTDZ($A$1,$B78,AH$5,$B$1)</f>
        <v>0.22</v>
      </c>
      <c r="AI78" s="55">
        <f>_xll.EQNXTDZ($A$1,$B78,AI$5,$B$1)</f>
        <v>0</v>
      </c>
      <c r="AJ78" s="55">
        <f>_xll.EQNXTDZ($A$1,$B78,AJ$5,$B$1)</f>
        <v>0.2</v>
      </c>
      <c r="AK78" s="55">
        <f>_xll.EQNXTDZ($A$1,$B78,AK$5,$B$1)</f>
        <v>0</v>
      </c>
      <c r="AL78" s="55">
        <f>_xll.EQNXTDZ($A$1,$B78,AL$5,$B$1)</f>
        <v>0.17</v>
      </c>
      <c r="AM78" s="55">
        <f>_xll.EQNXTDZ($A$1,$B78,AM$5,$B$1)</f>
        <v>0</v>
      </c>
      <c r="AN78" s="55">
        <f>_xll.EQNXTDZ($A$1,$B78,AN$5,$B$1)</f>
        <v>0.13</v>
      </c>
      <c r="AO78" s="55">
        <f>_xll.EQNXTDZ($A$1,$B78,AO$5,$B$1)</f>
        <v>0</v>
      </c>
      <c r="AP78" s="55">
        <f>_xll.EQNXTDZ($A$1,$B78,AP$5,$B$1)</f>
        <v>0.1</v>
      </c>
      <c r="AQ78" s="55">
        <f>_xll.EQNXTDZ($A$1,$B78,AQ$5,$B$1)</f>
        <v>0</v>
      </c>
      <c r="AR78" s="55">
        <f>_xll.EQNXTDZ($A$1,$B78,AR$5,$B$1)</f>
        <v>0.1</v>
      </c>
      <c r="AS78" s="55">
        <f>_xll.EQNXTDZ($A$1,$B78,AS$5,$B$1)</f>
        <v>0</v>
      </c>
      <c r="AT78" s="55">
        <f>_xll.EQNXTDZ($A$1,$B78,AT$5,$B$1)</f>
        <v>0.08</v>
      </c>
      <c r="AU78" s="55">
        <f>_xll.EQNXTDZ($A$1,$B78,AU$5,$B$1)</f>
        <v>0</v>
      </c>
      <c r="AV78" s="55">
        <f>_xll.EQNXTDZ($A$1,$B78,AV$5,$B$1)</f>
        <v>0.06</v>
      </c>
      <c r="AW78" s="55">
        <f>_xll.EQNXTDZ($A$1,$B78,AW$5,$B$1)</f>
        <v>0</v>
      </c>
      <c r="AX78" s="55">
        <f>_xll.EQNXTDZ($A$1,$B78,AX$5,$B$1)</f>
        <v>7.0000000000000007E-2</v>
      </c>
      <c r="AY78" s="55">
        <f>_xll.EQNXTDZ($A$1,$B78,AY$5,$B$1)</f>
        <v>0</v>
      </c>
      <c r="AZ78" s="55">
        <f>_xll.EQNXTDZ($A$1,$B78,AZ$5,$B$1)</f>
        <v>7.0000000000000007E-2</v>
      </c>
      <c r="BA78" s="55">
        <f>_xll.EQNXTDZ($A$1,$B78,BA$5,$B$1)</f>
        <v>0</v>
      </c>
      <c r="BB78" s="55">
        <f>_xll.EQNXTDZ($A$1,$B78,BB$5,$B$1)</f>
        <v>7.0000000000000007E-2</v>
      </c>
      <c r="BC78" s="55">
        <f>_xll.EQNXTDZ($A$1,$B78,BC$5,$B$1)</f>
        <v>0</v>
      </c>
      <c r="BD78" s="55">
        <f>_xll.EQNXTDZ($A$1,$B78,BD$5,$B$1)</f>
        <v>0.06</v>
      </c>
      <c r="BE78" s="55">
        <f>_xll.EQNXTDZ($A$1,$B78,BE$5,$B$1)</f>
        <v>0</v>
      </c>
      <c r="BF78" s="55">
        <f>_xll.EQNXTDZ($A$1,$B78,BF$5,$B$1)</f>
        <v>7.0000000000000007E-2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102.59</v>
      </c>
      <c r="E79" s="55">
        <f>_xll.EQNXTDZ($A$1,$B79,E$5,$B$1)</f>
        <v>0</v>
      </c>
      <c r="F79" s="55">
        <f>_xll.EQNXTDZ($A$1,$B79,F$5,$B$1)</f>
        <v>104.46</v>
      </c>
      <c r="G79" s="55">
        <f>_xll.EQNXTDZ($A$1,$B79,G$5,$B$1)</f>
        <v>0</v>
      </c>
      <c r="H79" s="55">
        <f>_xll.EQNXTDZ($A$1,$B79,H$5,$B$1)</f>
        <v>111.01</v>
      </c>
      <c r="I79" s="55">
        <f>_xll.EQNXTDZ($A$1,$B79,I$5,$B$1)</f>
        <v>0</v>
      </c>
      <c r="J79" s="55">
        <f>_xll.EQNXTDZ($A$1,$B79,J$5,$B$1)</f>
        <v>152.36000000000001</v>
      </c>
      <c r="K79" s="55">
        <f>_xll.EQNXTDZ($A$1,$B79,K$5,$B$1)</f>
        <v>0</v>
      </c>
      <c r="L79" s="55">
        <f>_xll.EQNXTDZ($A$1,$B79,L$5,$B$1)</f>
        <v>172.74</v>
      </c>
      <c r="M79" s="55">
        <f>_xll.EQNXTDZ($A$1,$B79,M$5,$B$1)</f>
        <v>0</v>
      </c>
      <c r="N79" s="55">
        <f>_xll.EQNXTDZ($A$1,$B79,N$5,$B$1)</f>
        <v>105.27</v>
      </c>
      <c r="O79" s="55">
        <f>_xll.EQNXTDZ($A$1,$B79,O$5,$B$1)</f>
        <v>0</v>
      </c>
      <c r="P79" s="55">
        <f>_xll.EQNXTDZ($A$1,$B79,P$5,$B$1)</f>
        <v>155.62</v>
      </c>
      <c r="Q79" s="55">
        <f>_xll.EQNXTDZ($A$1,$B79,Q$5,$B$1)</f>
        <v>0</v>
      </c>
      <c r="R79" s="55">
        <f>_xll.EQNXTDZ($A$1,$B79,R$5,$B$1)</f>
        <v>127.28</v>
      </c>
      <c r="S79" s="55">
        <f>_xll.EQNXTDZ($A$1,$B79,S$5,$B$1)</f>
        <v>0</v>
      </c>
      <c r="T79" s="55">
        <f>_xll.EQNXTDZ($A$1,$B79,T$5,$B$1)</f>
        <v>350.16</v>
      </c>
      <c r="U79" s="55">
        <f>_xll.EQNXTDZ($A$1,$B79,U$5,$B$1)</f>
        <v>0</v>
      </c>
      <c r="V79" s="55">
        <f>_xll.EQNXTDZ($A$1,$B79,V$5,$B$1)</f>
        <v>90.01</v>
      </c>
      <c r="W79" s="55">
        <f>_xll.EQNXTDZ($A$1,$B79,W$5,$B$1)</f>
        <v>0</v>
      </c>
      <c r="X79" s="55">
        <f>_xll.EQNXTDZ($A$1,$B79,X$5,$B$1)</f>
        <v>161.69999999999999</v>
      </c>
      <c r="Y79" s="55">
        <f>_xll.EQNXTDZ($A$1,$B79,Y$5,$B$1)</f>
        <v>0</v>
      </c>
      <c r="Z79" s="55">
        <f>_xll.EQNXTDZ($A$1,$B79,Z$5,$B$1)</f>
        <v>126.59</v>
      </c>
      <c r="AA79" s="55">
        <f>_xll.EQNXTDZ($A$1,$B79,AA$5,$B$1)</f>
        <v>0</v>
      </c>
      <c r="AB79" s="55">
        <f>_xll.EQNXTDZ($A$1,$B79,AB$5,$B$1)</f>
        <v>182.32</v>
      </c>
      <c r="AC79" s="55">
        <f>_xll.EQNXTDZ($A$1,$B79,AC$5,$B$1)</f>
        <v>0</v>
      </c>
      <c r="AD79" s="55">
        <f>_xll.EQNXTDZ($A$1,$B79,AD$5,$B$1)</f>
        <v>259.74</v>
      </c>
      <c r="AE79" s="55">
        <f>_xll.EQNXTDZ($A$1,$B79,AE$5,$B$1)</f>
        <v>0</v>
      </c>
      <c r="AF79" s="55">
        <f>_xll.EQNXTDZ($A$1,$B79,AF$5,$B$1)</f>
        <v>335.91</v>
      </c>
      <c r="AG79" s="55">
        <f>_xll.EQNXTDZ($A$1,$B79,AG$5,$B$1)</f>
        <v>0</v>
      </c>
      <c r="AH79" s="55">
        <f>_xll.EQNXTDZ($A$1,$B79,AH$5,$B$1)</f>
        <v>288</v>
      </c>
      <c r="AI79" s="55">
        <f>_xll.EQNXTDZ($A$1,$B79,AI$5,$B$1)</f>
        <v>0</v>
      </c>
      <c r="AJ79" s="55">
        <f>_xll.EQNXTDZ($A$1,$B79,AJ$5,$B$1)</f>
        <v>275.57</v>
      </c>
      <c r="AK79" s="55">
        <f>_xll.EQNXTDZ($A$1,$B79,AK$5,$B$1)</f>
        <v>0</v>
      </c>
      <c r="AL79" s="55">
        <f>_xll.EQNXTDZ($A$1,$B79,AL$5,$B$1)</f>
        <v>229.52</v>
      </c>
      <c r="AM79" s="55">
        <f>_xll.EQNXTDZ($A$1,$B79,AM$5,$B$1)</f>
        <v>0</v>
      </c>
      <c r="AN79" s="55">
        <f>_xll.EQNXTDZ($A$1,$B79,AN$5,$B$1)</f>
        <v>210.36</v>
      </c>
      <c r="AO79" s="55">
        <f>_xll.EQNXTDZ($A$1,$B79,AO$5,$B$1)</f>
        <v>0</v>
      </c>
      <c r="AP79" s="55">
        <f>_xll.EQNXTDZ($A$1,$B79,AP$5,$B$1)</f>
        <v>219.35</v>
      </c>
      <c r="AQ79" s="55">
        <f>_xll.EQNXTDZ($A$1,$B79,AQ$5,$B$1)</f>
        <v>0</v>
      </c>
      <c r="AR79" s="55">
        <f>_xll.EQNXTDZ($A$1,$B79,AR$5,$B$1)</f>
        <v>291.41000000000003</v>
      </c>
      <c r="AS79" s="55">
        <f>_xll.EQNXTDZ($A$1,$B79,AS$5,$B$1)</f>
        <v>0</v>
      </c>
      <c r="AT79" s="55">
        <f>_xll.EQNXTDZ($A$1,$B79,AT$5,$B$1)</f>
        <v>408.17</v>
      </c>
      <c r="AU79" s="55">
        <f>_xll.EQNXTDZ($A$1,$B79,AU$5,$B$1)</f>
        <v>0</v>
      </c>
      <c r="AV79" s="55">
        <f>_xll.EQNXTDZ($A$1,$B79,AV$5,$B$1)</f>
        <v>413.55</v>
      </c>
      <c r="AW79" s="55">
        <f>_xll.EQNXTDZ($A$1,$B79,AW$5,$B$1)</f>
        <v>0</v>
      </c>
      <c r="AX79" s="55">
        <f>_xll.EQNXTDZ($A$1,$B79,AX$5,$B$1)</f>
        <v>382.42</v>
      </c>
      <c r="AY79" s="55">
        <f>_xll.EQNXTDZ($A$1,$B79,AY$5,$B$1)</f>
        <v>0</v>
      </c>
      <c r="AZ79" s="55">
        <f>_xll.EQNXTDZ($A$1,$B79,AZ$5,$B$1)</f>
        <v>318.56</v>
      </c>
      <c r="BA79" s="55">
        <f>_xll.EQNXTDZ($A$1,$B79,BA$5,$B$1)</f>
        <v>0</v>
      </c>
      <c r="BB79" s="55">
        <f>_xll.EQNXTDZ($A$1,$B79,BB$5,$B$1)</f>
        <v>363.29</v>
      </c>
      <c r="BC79" s="55">
        <f>_xll.EQNXTDZ($A$1,$B79,BC$5,$B$1)</f>
        <v>0</v>
      </c>
      <c r="BD79" s="55">
        <f>_xll.EQNXTDZ($A$1,$B79,BD$5,$B$1)</f>
        <v>635.74</v>
      </c>
      <c r="BE79" s="55">
        <f>_xll.EQNXTDZ($A$1,$B79,BE$5,$B$1)</f>
        <v>0</v>
      </c>
      <c r="BF79" s="55">
        <f>_xll.EQNXTDZ($A$1,$B79,BF$5,$B$1)</f>
        <v>574.32000000000005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217.56</v>
      </c>
      <c r="E80" s="55">
        <f>_xll.EQNXTDZ($A$1,$B80,E$5,$B$1)</f>
        <v>0</v>
      </c>
      <c r="F80" s="55">
        <f>_xll.EQNXTDZ($A$1,$B80,F$5,$B$1)</f>
        <v>268.04000000000002</v>
      </c>
      <c r="G80" s="55">
        <f>_xll.EQNXTDZ($A$1,$B80,G$5,$B$1)</f>
        <v>0</v>
      </c>
      <c r="H80" s="55">
        <f>_xll.EQNXTDZ($A$1,$B80,H$5,$B$1)</f>
        <v>585.83000000000004</v>
      </c>
      <c r="I80" s="55">
        <f>_xll.EQNXTDZ($A$1,$B80,I$5,$B$1)</f>
        <v>0</v>
      </c>
      <c r="J80" s="55">
        <f>_xll.EQNXTDZ($A$1,$B80,J$5,$B$1)</f>
        <v>592.71</v>
      </c>
      <c r="K80" s="55">
        <f>_xll.EQNXTDZ($A$1,$B80,K$5,$B$1)</f>
        <v>0</v>
      </c>
      <c r="L80" s="55">
        <f>_xll.EQNXTDZ($A$1,$B80,L$5,$B$1)</f>
        <v>649.82000000000005</v>
      </c>
      <c r="M80" s="55">
        <f>_xll.EQNXTDZ($A$1,$B80,M$5,$B$1)</f>
        <v>0</v>
      </c>
      <c r="N80" s="55">
        <f>_xll.EQNXTDZ($A$1,$B80,N$5,$B$1)</f>
        <v>466.98</v>
      </c>
      <c r="O80" s="55">
        <f>_xll.EQNXTDZ($A$1,$B80,O$5,$B$1)</f>
        <v>0</v>
      </c>
      <c r="P80" s="55">
        <f>_xll.EQNXTDZ($A$1,$B80,P$5,$B$1)</f>
        <v>430.88</v>
      </c>
      <c r="Q80" s="55">
        <f>_xll.EQNXTDZ($A$1,$B80,Q$5,$B$1)</f>
        <v>0</v>
      </c>
      <c r="R80" s="55">
        <f>_xll.EQNXTDZ($A$1,$B80,R$5,$B$1)</f>
        <v>667.65</v>
      </c>
      <c r="S80" s="55">
        <f>_xll.EQNXTDZ($A$1,$B80,S$5,$B$1)</f>
        <v>0</v>
      </c>
      <c r="T80" s="55">
        <f>_xll.EQNXTDZ($A$1,$B80,T$5,$B$1)</f>
        <v>238.6</v>
      </c>
      <c r="U80" s="55">
        <f>_xll.EQNXTDZ($A$1,$B80,U$5,$B$1)</f>
        <v>0</v>
      </c>
      <c r="V80" s="55">
        <f>_xll.EQNXTDZ($A$1,$B80,V$5,$B$1)</f>
        <v>199.54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487.64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1235.69</v>
      </c>
      <c r="AE80" s="55">
        <f>_xll.EQNXTDZ($A$1,$B80,AE$5,$B$1)</f>
        <v>0</v>
      </c>
      <c r="AF80" s="55">
        <f>_xll.EQNXTDZ($A$1,$B80,AF$5,$B$1)</f>
        <v>1378.4</v>
      </c>
      <c r="AG80" s="55">
        <f>_xll.EQNXTDZ($A$1,$B80,AG$5,$B$1)</f>
        <v>0</v>
      </c>
      <c r="AH80" s="55">
        <f>_xll.EQNXTDZ($A$1,$B80,AH$5,$B$1)</f>
        <v>520.39</v>
      </c>
      <c r="AI80" s="55">
        <f>_xll.EQNXTDZ($A$1,$B80,AI$5,$B$1)</f>
        <v>0</v>
      </c>
      <c r="AJ80" s="55">
        <f>_xll.EQNXTDZ($A$1,$B80,AJ$5,$B$1)</f>
        <v>164.38</v>
      </c>
      <c r="AK80" s="55">
        <f>_xll.EQNXTDZ($A$1,$B80,AK$5,$B$1)</f>
        <v>0</v>
      </c>
      <c r="AL80" s="55">
        <f>_xll.EQNXTDZ($A$1,$B80,AL$5,$B$1)</f>
        <v>249.32</v>
      </c>
      <c r="AM80" s="55">
        <f>_xll.EQNXTDZ($A$1,$B80,AM$5,$B$1)</f>
        <v>0</v>
      </c>
      <c r="AN80" s="55">
        <f>_xll.EQNXTDZ($A$1,$B80,AN$5,$B$1)</f>
        <v>205.49</v>
      </c>
      <c r="AO80" s="55">
        <f>_xll.EQNXTDZ($A$1,$B80,AO$5,$B$1)</f>
        <v>0</v>
      </c>
      <c r="AP80" s="55">
        <f>_xll.EQNXTDZ($A$1,$B80,AP$5,$B$1)</f>
        <v>434.27</v>
      </c>
      <c r="AQ80" s="55">
        <f>_xll.EQNXTDZ($A$1,$B80,AQ$5,$B$1)</f>
        <v>0</v>
      </c>
      <c r="AR80" s="55">
        <f>_xll.EQNXTDZ($A$1,$B80,AR$5,$B$1)</f>
        <v>673.34</v>
      </c>
      <c r="AS80" s="55">
        <f>_xll.EQNXTDZ($A$1,$B80,AS$5,$B$1)</f>
        <v>0</v>
      </c>
      <c r="AT80" s="55">
        <f>_xll.EQNXTDZ($A$1,$B80,AT$5,$B$1)</f>
        <v>307.16000000000003</v>
      </c>
      <c r="AU80" s="55">
        <f>_xll.EQNXTDZ($A$1,$B80,AU$5,$B$1)</f>
        <v>0</v>
      </c>
      <c r="AV80" s="55">
        <f>_xll.EQNXTDZ($A$1,$B80,AV$5,$B$1)</f>
        <v>209.86</v>
      </c>
      <c r="AW80" s="55">
        <f>_xll.EQNXTDZ($A$1,$B80,AW$5,$B$1)</f>
        <v>0</v>
      </c>
      <c r="AX80" s="55">
        <f>_xll.EQNXTDZ($A$1,$B80,AX$5,$B$1)</f>
        <v>501.46</v>
      </c>
      <c r="AY80" s="55">
        <f>_xll.EQNXTDZ($A$1,$B80,AY$5,$B$1)</f>
        <v>0</v>
      </c>
      <c r="AZ80" s="55">
        <f>_xll.EQNXTDZ($A$1,$B80,AZ$5,$B$1)</f>
        <v>285.89</v>
      </c>
      <c r="BA80" s="55">
        <f>_xll.EQNXTDZ($A$1,$B80,BA$5,$B$1)</f>
        <v>0</v>
      </c>
      <c r="BB80" s="55">
        <f>_xll.EQNXTDZ($A$1,$B80,BB$5,$B$1)</f>
        <v>398.66</v>
      </c>
      <c r="BC80" s="55">
        <f>_xll.EQNXTDZ($A$1,$B80,BC$5,$B$1)</f>
        <v>0</v>
      </c>
      <c r="BD80" s="55">
        <f>_xll.EQNXTDZ($A$1,$B80,BD$5,$B$1)</f>
        <v>318.66000000000003</v>
      </c>
      <c r="BE80" s="55">
        <f>_xll.EQNXTDZ($A$1,$B80,BE$5,$B$1)</f>
        <v>0</v>
      </c>
      <c r="BF80" s="55">
        <f>_xll.EQNXTDZ($A$1,$B80,BF$5,$B$1)</f>
        <v>277.08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853.2</v>
      </c>
      <c r="E81" s="55">
        <f>_xll.EQNXTDZ($A$1,$B81,E$5,$B$1)</f>
        <v>0</v>
      </c>
      <c r="F81" s="55">
        <f>_xll.EQNXTDZ($A$1,$B81,F$5,$B$1)</f>
        <v>978.4</v>
      </c>
      <c r="G81" s="55">
        <f>_xll.EQNXTDZ($A$1,$B81,G$5,$B$1)</f>
        <v>0</v>
      </c>
      <c r="H81" s="55">
        <f>_xll.EQNXTDZ($A$1,$B81,H$5,$B$1)</f>
        <v>850.58</v>
      </c>
      <c r="I81" s="55">
        <f>_xll.EQNXTDZ($A$1,$B81,I$5,$B$1)</f>
        <v>0</v>
      </c>
      <c r="J81" s="55">
        <f>_xll.EQNXTDZ($A$1,$B81,J$5,$B$1)</f>
        <v>900.98</v>
      </c>
      <c r="K81" s="55">
        <f>_xll.EQNXTDZ($A$1,$B81,K$5,$B$1)</f>
        <v>0</v>
      </c>
      <c r="L81" s="55">
        <f>_xll.EQNXTDZ($A$1,$B81,L$5,$B$1)</f>
        <v>847.16</v>
      </c>
      <c r="M81" s="55">
        <f>_xll.EQNXTDZ($A$1,$B81,M$5,$B$1)</f>
        <v>0</v>
      </c>
      <c r="N81" s="55">
        <f>_xll.EQNXTDZ($A$1,$B81,N$5,$B$1)</f>
        <v>867.06</v>
      </c>
      <c r="O81" s="55">
        <f>_xll.EQNXTDZ($A$1,$B81,O$5,$B$1)</f>
        <v>0</v>
      </c>
      <c r="P81" s="55">
        <f>_xll.EQNXTDZ($A$1,$B81,P$5,$B$1)</f>
        <v>945.25</v>
      </c>
      <c r="Q81" s="55">
        <f>_xll.EQNXTDZ($A$1,$B81,Q$5,$B$1)</f>
        <v>0</v>
      </c>
      <c r="R81" s="55">
        <f>_xll.EQNXTDZ($A$1,$B81,R$5,$B$1)</f>
        <v>724.68</v>
      </c>
      <c r="S81" s="55">
        <f>_xll.EQNXTDZ($A$1,$B81,S$5,$B$1)</f>
        <v>0</v>
      </c>
      <c r="T81" s="55">
        <f>_xll.EQNXTDZ($A$1,$B81,T$5,$B$1)</f>
        <v>716.58</v>
      </c>
      <c r="U81" s="55">
        <f>_xll.EQNXTDZ($A$1,$B81,U$5,$B$1)</f>
        <v>0</v>
      </c>
      <c r="V81" s="55">
        <f>_xll.EQNXTDZ($A$1,$B81,V$5,$B$1)</f>
        <v>907.03</v>
      </c>
      <c r="W81" s="55">
        <f>_xll.EQNXTDZ($A$1,$B81,W$5,$B$1)</f>
        <v>0</v>
      </c>
      <c r="X81" s="55">
        <f>_xll.EQNXTDZ($A$1,$B81,X$5,$B$1)</f>
        <v>702.87</v>
      </c>
      <c r="Y81" s="55">
        <f>_xll.EQNXTDZ($A$1,$B81,Y$5,$B$1)</f>
        <v>0</v>
      </c>
      <c r="Z81" s="55">
        <f>_xll.EQNXTDZ($A$1,$B81,Z$5,$B$1)</f>
        <v>812.99</v>
      </c>
      <c r="AA81" s="55">
        <f>_xll.EQNXTDZ($A$1,$B81,AA$5,$B$1)</f>
        <v>0</v>
      </c>
      <c r="AB81" s="55">
        <f>_xll.EQNXTDZ($A$1,$B81,AB$5,$B$1)</f>
        <v>1076.48</v>
      </c>
      <c r="AC81" s="55">
        <f>_xll.EQNXTDZ($A$1,$B81,AC$5,$B$1)</f>
        <v>0</v>
      </c>
      <c r="AD81" s="55">
        <f>_xll.EQNXTDZ($A$1,$B81,AD$5,$B$1)</f>
        <v>1090.6600000000001</v>
      </c>
      <c r="AE81" s="55">
        <f>_xll.EQNXTDZ($A$1,$B81,AE$5,$B$1)</f>
        <v>0</v>
      </c>
      <c r="AF81" s="55">
        <f>_xll.EQNXTDZ($A$1,$B81,AF$5,$B$1)</f>
        <v>815.68</v>
      </c>
      <c r="AG81" s="55">
        <f>_xll.EQNXTDZ($A$1,$B81,AG$5,$B$1)</f>
        <v>0</v>
      </c>
      <c r="AH81" s="55">
        <f>_xll.EQNXTDZ($A$1,$B81,AH$5,$B$1)</f>
        <v>1468.94</v>
      </c>
      <c r="AI81" s="55">
        <f>_xll.EQNXTDZ($A$1,$B81,AI$5,$B$1)</f>
        <v>0</v>
      </c>
      <c r="AJ81" s="55">
        <f>_xll.EQNXTDZ($A$1,$B81,AJ$5,$B$1)</f>
        <v>1277.52</v>
      </c>
      <c r="AK81" s="55">
        <f>_xll.EQNXTDZ($A$1,$B81,AK$5,$B$1)</f>
        <v>0</v>
      </c>
      <c r="AL81" s="55">
        <f>_xll.EQNXTDZ($A$1,$B81,AL$5,$B$1)</f>
        <v>1279.5999999999999</v>
      </c>
      <c r="AM81" s="55">
        <f>_xll.EQNXTDZ($A$1,$B81,AM$5,$B$1)</f>
        <v>0</v>
      </c>
      <c r="AN81" s="55">
        <f>_xll.EQNXTDZ($A$1,$B81,AN$5,$B$1)</f>
        <v>1214.45</v>
      </c>
      <c r="AO81" s="55">
        <f>_xll.EQNXTDZ($A$1,$B81,AO$5,$B$1)</f>
        <v>0</v>
      </c>
      <c r="AP81" s="55">
        <f>_xll.EQNXTDZ($A$1,$B81,AP$5,$B$1)</f>
        <v>1661.39</v>
      </c>
      <c r="AQ81" s="55">
        <f>_xll.EQNXTDZ($A$1,$B81,AQ$5,$B$1)</f>
        <v>0</v>
      </c>
      <c r="AR81" s="55">
        <f>_xll.EQNXTDZ($A$1,$B81,AR$5,$B$1)</f>
        <v>1561.04</v>
      </c>
      <c r="AS81" s="55">
        <f>_xll.EQNXTDZ($A$1,$B81,AS$5,$B$1)</f>
        <v>0</v>
      </c>
      <c r="AT81" s="55">
        <f>_xll.EQNXTDZ($A$1,$B81,AT$5,$B$1)</f>
        <v>1591.97</v>
      </c>
      <c r="AU81" s="55">
        <f>_xll.EQNXTDZ($A$1,$B81,AU$5,$B$1)</f>
        <v>0</v>
      </c>
      <c r="AV81" s="55">
        <f>_xll.EQNXTDZ($A$1,$B81,AV$5,$B$1)</f>
        <v>1600.18</v>
      </c>
      <c r="AW81" s="55">
        <f>_xll.EQNXTDZ($A$1,$B81,AW$5,$B$1)</f>
        <v>0</v>
      </c>
      <c r="AX81" s="55">
        <f>_xll.EQNXTDZ($A$1,$B81,AX$5,$B$1)</f>
        <v>2135.38</v>
      </c>
      <c r="AY81" s="55">
        <f>_xll.EQNXTDZ($A$1,$B81,AY$5,$B$1)</f>
        <v>0</v>
      </c>
      <c r="AZ81" s="55">
        <f>_xll.EQNXTDZ($A$1,$B81,AZ$5,$B$1)</f>
        <v>2103.4899999999998</v>
      </c>
      <c r="BA81" s="55">
        <f>_xll.EQNXTDZ($A$1,$B81,BA$5,$B$1)</f>
        <v>0</v>
      </c>
      <c r="BB81" s="55">
        <f>_xll.EQNXTDZ($A$1,$B81,BB$5,$B$1)</f>
        <v>2714.81</v>
      </c>
      <c r="BC81" s="55">
        <f>_xll.EQNXTDZ($A$1,$B81,BC$5,$B$1)</f>
        <v>0</v>
      </c>
      <c r="BD81" s="55">
        <f>_xll.EQNXTDZ($A$1,$B81,BD$5,$B$1)</f>
        <v>3110.48</v>
      </c>
      <c r="BE81" s="55">
        <f>_xll.EQNXTDZ($A$1,$B81,BE$5,$B$1)</f>
        <v>0</v>
      </c>
      <c r="BF81" s="55">
        <f>_xll.EQNXTDZ($A$1,$B81,BF$5,$B$1)</f>
        <v>3432.85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1157.18</v>
      </c>
      <c r="E82" s="55">
        <f>_xll.EQNXTDZ($A$1,$B82,E$5,$B$1)</f>
        <v>0</v>
      </c>
      <c r="F82" s="55">
        <f>_xll.EQNXTDZ($A$1,$B82,F$5,$B$1)</f>
        <v>1361.78</v>
      </c>
      <c r="G82" s="55">
        <f>_xll.EQNXTDZ($A$1,$B82,G$5,$B$1)</f>
        <v>0</v>
      </c>
      <c r="H82" s="55">
        <f>_xll.EQNXTDZ($A$1,$B82,H$5,$B$1)</f>
        <v>1137.71</v>
      </c>
      <c r="I82" s="55">
        <f>_xll.EQNXTDZ($A$1,$B82,I$5,$B$1)</f>
        <v>0</v>
      </c>
      <c r="J82" s="55">
        <f>_xll.EQNXTDZ($A$1,$B82,J$5,$B$1)</f>
        <v>1335.17</v>
      </c>
      <c r="K82" s="55">
        <f>_xll.EQNXTDZ($A$1,$B82,K$5,$B$1)</f>
        <v>0</v>
      </c>
      <c r="L82" s="55">
        <f>_xll.EQNXTDZ($A$1,$B82,L$5,$B$1)</f>
        <v>1123.49</v>
      </c>
      <c r="M82" s="55">
        <f>_xll.EQNXTDZ($A$1,$B82,M$5,$B$1)</f>
        <v>0</v>
      </c>
      <c r="N82" s="55">
        <f>_xll.EQNXTDZ($A$1,$B82,N$5,$B$1)</f>
        <v>1338.6</v>
      </c>
      <c r="O82" s="55">
        <f>_xll.EQNXTDZ($A$1,$B82,O$5,$B$1)</f>
        <v>0</v>
      </c>
      <c r="P82" s="55">
        <f>_xll.EQNXTDZ($A$1,$B82,P$5,$B$1)</f>
        <v>1100.9100000000001</v>
      </c>
      <c r="Q82" s="55">
        <f>_xll.EQNXTDZ($A$1,$B82,Q$5,$B$1)</f>
        <v>0</v>
      </c>
      <c r="R82" s="55">
        <f>_xll.EQNXTDZ($A$1,$B82,R$5,$B$1)</f>
        <v>1367.22</v>
      </c>
      <c r="S82" s="55">
        <f>_xll.EQNXTDZ($A$1,$B82,S$5,$B$1)</f>
        <v>0</v>
      </c>
      <c r="T82" s="55">
        <f>_xll.EQNXTDZ($A$1,$B82,T$5,$B$1)</f>
        <v>761.1</v>
      </c>
      <c r="U82" s="55">
        <f>_xll.EQNXTDZ($A$1,$B82,U$5,$B$1)</f>
        <v>0</v>
      </c>
      <c r="V82" s="55">
        <f>_xll.EQNXTDZ($A$1,$B82,V$5,$B$1)</f>
        <v>1454.11</v>
      </c>
      <c r="W82" s="55">
        <f>_xll.EQNXTDZ($A$1,$B82,W$5,$B$1)</f>
        <v>0</v>
      </c>
      <c r="X82" s="55">
        <f>_xll.EQNXTDZ($A$1,$B82,X$5,$B$1)</f>
        <v>1273.0899999999999</v>
      </c>
      <c r="Y82" s="55">
        <f>_xll.EQNXTDZ($A$1,$B82,Y$5,$B$1)</f>
        <v>0</v>
      </c>
      <c r="Z82" s="55">
        <f>_xll.EQNXTDZ($A$1,$B82,Z$5,$B$1)</f>
        <v>1570.28</v>
      </c>
      <c r="AA82" s="55">
        <f>_xll.EQNXTDZ($A$1,$B82,AA$5,$B$1)</f>
        <v>0</v>
      </c>
      <c r="AB82" s="55">
        <f>_xll.EQNXTDZ($A$1,$B82,AB$5,$B$1)</f>
        <v>1477.14</v>
      </c>
      <c r="AC82" s="55">
        <f>_xll.EQNXTDZ($A$1,$B82,AC$5,$B$1)</f>
        <v>0</v>
      </c>
      <c r="AD82" s="55">
        <f>_xll.EQNXTDZ($A$1,$B82,AD$5,$B$1)</f>
        <v>1803.17</v>
      </c>
      <c r="AE82" s="55">
        <f>_xll.EQNXTDZ($A$1,$B82,AE$5,$B$1)</f>
        <v>0</v>
      </c>
      <c r="AF82" s="55">
        <f>_xll.EQNXTDZ($A$1,$B82,AF$5,$B$1)</f>
        <v>1623.81</v>
      </c>
      <c r="AG82" s="55">
        <f>_xll.EQNXTDZ($A$1,$B82,AG$5,$B$1)</f>
        <v>0</v>
      </c>
      <c r="AH82" s="55">
        <f>_xll.EQNXTDZ($A$1,$B82,AH$5,$B$1)</f>
        <v>1827.25</v>
      </c>
      <c r="AI82" s="55">
        <f>_xll.EQNXTDZ($A$1,$B82,AI$5,$B$1)</f>
        <v>0</v>
      </c>
      <c r="AJ82" s="55">
        <f>_xll.EQNXTDZ($A$1,$B82,AJ$5,$B$1)</f>
        <v>1599.61</v>
      </c>
      <c r="AK82" s="55">
        <f>_xll.EQNXTDZ($A$1,$B82,AK$5,$B$1)</f>
        <v>0</v>
      </c>
      <c r="AL82" s="55">
        <f>_xll.EQNXTDZ($A$1,$B82,AL$5,$B$1)</f>
        <v>1800.93</v>
      </c>
      <c r="AM82" s="55">
        <f>_xll.EQNXTDZ($A$1,$B82,AM$5,$B$1)</f>
        <v>0</v>
      </c>
      <c r="AN82" s="55">
        <f>_xll.EQNXTDZ($A$1,$B82,AN$5,$B$1)</f>
        <v>1793</v>
      </c>
      <c r="AO82" s="55">
        <f>_xll.EQNXTDZ($A$1,$B82,AO$5,$B$1)</f>
        <v>0</v>
      </c>
      <c r="AP82" s="55">
        <f>_xll.EQNXTDZ($A$1,$B82,AP$5,$B$1)</f>
        <v>2109.67</v>
      </c>
      <c r="AQ82" s="55">
        <f>_xll.EQNXTDZ($A$1,$B82,AQ$5,$B$1)</f>
        <v>0</v>
      </c>
      <c r="AR82" s="55">
        <f>_xll.EQNXTDZ($A$1,$B82,AR$5,$B$1)</f>
        <v>1799.47</v>
      </c>
      <c r="AS82" s="55">
        <f>_xll.EQNXTDZ($A$1,$B82,AS$5,$B$1)</f>
        <v>0</v>
      </c>
      <c r="AT82" s="55">
        <f>_xll.EQNXTDZ($A$1,$B82,AT$5,$B$1)</f>
        <v>2191.85</v>
      </c>
      <c r="AU82" s="55">
        <f>_xll.EQNXTDZ($A$1,$B82,AU$5,$B$1)</f>
        <v>0</v>
      </c>
      <c r="AV82" s="55">
        <f>_xll.EQNXTDZ($A$1,$B82,AV$5,$B$1)</f>
        <v>1512.56</v>
      </c>
      <c r="AW82" s="55">
        <f>_xll.EQNXTDZ($A$1,$B82,AW$5,$B$1)</f>
        <v>0</v>
      </c>
      <c r="AX82" s="55">
        <f>_xll.EQNXTDZ($A$1,$B82,AX$5,$B$1)</f>
        <v>2400.31</v>
      </c>
      <c r="AY82" s="55">
        <f>_xll.EQNXTDZ($A$1,$B82,AY$5,$B$1)</f>
        <v>0</v>
      </c>
      <c r="AZ82" s="55">
        <f>_xll.EQNXTDZ($A$1,$B82,AZ$5,$B$1)</f>
        <v>1907.72</v>
      </c>
      <c r="BA82" s="55">
        <f>_xll.EQNXTDZ($A$1,$B82,BA$5,$B$1)</f>
        <v>0</v>
      </c>
      <c r="BB82" s="55">
        <f>_xll.EQNXTDZ($A$1,$B82,BB$5,$B$1)</f>
        <v>2231.86</v>
      </c>
      <c r="BC82" s="55">
        <f>_xll.EQNXTDZ($A$1,$B82,BC$5,$B$1)</f>
        <v>0</v>
      </c>
      <c r="BD82" s="55">
        <f>_xll.EQNXTDZ($A$1,$B82,BD$5,$B$1)</f>
        <v>1794.58</v>
      </c>
      <c r="BE82" s="55">
        <f>_xll.EQNXTDZ($A$1,$B82,BE$5,$B$1)</f>
        <v>0</v>
      </c>
      <c r="BF82" s="55">
        <f>_xll.EQNXTDZ($A$1,$B82,BF$5,$B$1)</f>
        <v>3034.95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247.22</v>
      </c>
      <c r="E83" s="55">
        <f>_xll.EQNXTDZ($A$1,$B83,E$5,$B$1)</f>
        <v>0</v>
      </c>
      <c r="F83" s="55">
        <f>_xll.EQNXTDZ($A$1,$B83,F$5,$B$1)</f>
        <v>349.83</v>
      </c>
      <c r="G83" s="55">
        <f>_xll.EQNXTDZ($A$1,$B83,G$5,$B$1)</f>
        <v>0</v>
      </c>
      <c r="H83" s="55">
        <f>_xll.EQNXTDZ($A$1,$B83,H$5,$B$1)</f>
        <v>204.64</v>
      </c>
      <c r="I83" s="55">
        <f>_xll.EQNXTDZ($A$1,$B83,I$5,$B$1)</f>
        <v>0</v>
      </c>
      <c r="J83" s="55">
        <f>_xll.EQNXTDZ($A$1,$B83,J$5,$B$1)</f>
        <v>281.8</v>
      </c>
      <c r="K83" s="55">
        <f>_xll.EQNXTDZ($A$1,$B83,K$5,$B$1)</f>
        <v>0</v>
      </c>
      <c r="L83" s="55">
        <f>_xll.EQNXTDZ($A$1,$B83,L$5,$B$1)</f>
        <v>193.97</v>
      </c>
      <c r="M83" s="55">
        <f>_xll.EQNXTDZ($A$1,$B83,M$5,$B$1)</f>
        <v>0</v>
      </c>
      <c r="N83" s="55">
        <f>_xll.EQNXTDZ($A$1,$B83,N$5,$B$1)</f>
        <v>251.63</v>
      </c>
      <c r="O83" s="55">
        <f>_xll.EQNXTDZ($A$1,$B83,O$5,$B$1)</f>
        <v>0</v>
      </c>
      <c r="P83" s="55">
        <f>_xll.EQNXTDZ($A$1,$B83,P$5,$B$1)</f>
        <v>247.25</v>
      </c>
      <c r="Q83" s="55">
        <f>_xll.EQNXTDZ($A$1,$B83,Q$5,$B$1)</f>
        <v>0</v>
      </c>
      <c r="R83" s="55">
        <f>_xll.EQNXTDZ($A$1,$B83,R$5,$B$1)</f>
        <v>185.48</v>
      </c>
      <c r="S83" s="55">
        <f>_xll.EQNXTDZ($A$1,$B83,S$5,$B$1)</f>
        <v>0</v>
      </c>
      <c r="T83" s="55">
        <f>_xll.EQNXTDZ($A$1,$B83,T$5,$B$1)</f>
        <v>186.35</v>
      </c>
      <c r="U83" s="55">
        <f>_xll.EQNXTDZ($A$1,$B83,U$5,$B$1)</f>
        <v>0</v>
      </c>
      <c r="V83" s="55">
        <f>_xll.EQNXTDZ($A$1,$B83,V$5,$B$1)</f>
        <v>331.43</v>
      </c>
      <c r="W83" s="55">
        <f>_xll.EQNXTDZ($A$1,$B83,W$5,$B$1)</f>
        <v>0</v>
      </c>
      <c r="X83" s="55">
        <f>_xll.EQNXTDZ($A$1,$B83,X$5,$B$1)</f>
        <v>258.67</v>
      </c>
      <c r="Y83" s="55">
        <f>_xll.EQNXTDZ($A$1,$B83,Y$5,$B$1)</f>
        <v>0</v>
      </c>
      <c r="Z83" s="55">
        <f>_xll.EQNXTDZ($A$1,$B83,Z$5,$B$1)</f>
        <v>283.69</v>
      </c>
      <c r="AA83" s="55">
        <f>_xll.EQNXTDZ($A$1,$B83,AA$5,$B$1)</f>
        <v>0</v>
      </c>
      <c r="AB83" s="55">
        <f>_xll.EQNXTDZ($A$1,$B83,AB$5,$B$1)</f>
        <v>262.32</v>
      </c>
      <c r="AC83" s="55">
        <f>_xll.EQNXTDZ($A$1,$B83,AC$5,$B$1)</f>
        <v>0</v>
      </c>
      <c r="AD83" s="55">
        <f>_xll.EQNXTDZ($A$1,$B83,AD$5,$B$1)</f>
        <v>321.11</v>
      </c>
      <c r="AE83" s="55">
        <f>_xll.EQNXTDZ($A$1,$B83,AE$5,$B$1)</f>
        <v>0</v>
      </c>
      <c r="AF83" s="55">
        <f>_xll.EQNXTDZ($A$1,$B83,AF$5,$B$1)</f>
        <v>282.39999999999998</v>
      </c>
      <c r="AG83" s="55">
        <f>_xll.EQNXTDZ($A$1,$B83,AG$5,$B$1)</f>
        <v>0</v>
      </c>
      <c r="AH83" s="55">
        <f>_xll.EQNXTDZ($A$1,$B83,AH$5,$B$1)</f>
        <v>308.41000000000003</v>
      </c>
      <c r="AI83" s="55">
        <f>_xll.EQNXTDZ($A$1,$B83,AI$5,$B$1)</f>
        <v>0</v>
      </c>
      <c r="AJ83" s="55">
        <f>_xll.EQNXTDZ($A$1,$B83,AJ$5,$B$1)</f>
        <v>331.06</v>
      </c>
      <c r="AK83" s="55">
        <f>_xll.EQNXTDZ($A$1,$B83,AK$5,$B$1)</f>
        <v>0</v>
      </c>
      <c r="AL83" s="55">
        <f>_xll.EQNXTDZ($A$1,$B83,AL$5,$B$1)</f>
        <v>458.79</v>
      </c>
      <c r="AM83" s="55">
        <f>_xll.EQNXTDZ($A$1,$B83,AM$5,$B$1)</f>
        <v>0</v>
      </c>
      <c r="AN83" s="55">
        <f>_xll.EQNXTDZ($A$1,$B83,AN$5,$B$1)</f>
        <v>397.01</v>
      </c>
      <c r="AO83" s="55">
        <f>_xll.EQNXTDZ($A$1,$B83,AO$5,$B$1)</f>
        <v>0</v>
      </c>
      <c r="AP83" s="55">
        <f>_xll.EQNXTDZ($A$1,$B83,AP$5,$B$1)</f>
        <v>571.66999999999996</v>
      </c>
      <c r="AQ83" s="55">
        <f>_xll.EQNXTDZ($A$1,$B83,AQ$5,$B$1)</f>
        <v>0</v>
      </c>
      <c r="AR83" s="55">
        <f>_xll.EQNXTDZ($A$1,$B83,AR$5,$B$1)</f>
        <v>553.46</v>
      </c>
      <c r="AS83" s="55">
        <f>_xll.EQNXTDZ($A$1,$B83,AS$5,$B$1)</f>
        <v>0</v>
      </c>
      <c r="AT83" s="55">
        <f>_xll.EQNXTDZ($A$1,$B83,AT$5,$B$1)</f>
        <v>708.38</v>
      </c>
      <c r="AU83" s="55">
        <f>_xll.EQNXTDZ($A$1,$B83,AU$5,$B$1)</f>
        <v>0</v>
      </c>
      <c r="AV83" s="55">
        <f>_xll.EQNXTDZ($A$1,$B83,AV$5,$B$1)</f>
        <v>679.84</v>
      </c>
      <c r="AW83" s="55">
        <f>_xll.EQNXTDZ($A$1,$B83,AW$5,$B$1)</f>
        <v>0</v>
      </c>
      <c r="AX83" s="55">
        <f>_xll.EQNXTDZ($A$1,$B83,AX$5,$B$1)</f>
        <v>852.32</v>
      </c>
      <c r="AY83" s="55">
        <f>_xll.EQNXTDZ($A$1,$B83,AY$5,$B$1)</f>
        <v>0</v>
      </c>
      <c r="AZ83" s="55">
        <f>_xll.EQNXTDZ($A$1,$B83,AZ$5,$B$1)</f>
        <v>678.14</v>
      </c>
      <c r="BA83" s="55">
        <f>_xll.EQNXTDZ($A$1,$B83,BA$5,$B$1)</f>
        <v>0</v>
      </c>
      <c r="BB83" s="55">
        <f>_xll.EQNXTDZ($A$1,$B83,BB$5,$B$1)</f>
        <v>678.24</v>
      </c>
      <c r="BC83" s="55">
        <f>_xll.EQNXTDZ($A$1,$B83,BC$5,$B$1)</f>
        <v>0</v>
      </c>
      <c r="BD83" s="55">
        <f>_xll.EQNXTDZ($A$1,$B83,BD$5,$B$1)</f>
        <v>498.43</v>
      </c>
      <c r="BE83" s="55">
        <f>_xll.EQNXTDZ($A$1,$B83,BE$5,$B$1)</f>
        <v>0</v>
      </c>
      <c r="BF83" s="55">
        <f>_xll.EQNXTDZ($A$1,$B83,BF$5,$B$1)</f>
        <v>780.93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903.05</v>
      </c>
      <c r="E84" s="55">
        <f>_xll.EQNXTDZ($A$1,$B84,E$5,$B$1)</f>
        <v>0</v>
      </c>
      <c r="F84" s="55">
        <f>_xll.EQNXTDZ($A$1,$B84,F$5,$B$1)</f>
        <v>726.29</v>
      </c>
      <c r="G84" s="55">
        <f>_xll.EQNXTDZ($A$1,$B84,G$5,$B$1)</f>
        <v>0</v>
      </c>
      <c r="H84" s="55">
        <f>_xll.EQNXTDZ($A$1,$B84,H$5,$B$1)</f>
        <v>676.14</v>
      </c>
      <c r="I84" s="55">
        <f>_xll.EQNXTDZ($A$1,$B84,I$5,$B$1)</f>
        <v>0</v>
      </c>
      <c r="J84" s="55">
        <f>_xll.EQNXTDZ($A$1,$B84,J$5,$B$1)</f>
        <v>716.33</v>
      </c>
      <c r="K84" s="55">
        <f>_xll.EQNXTDZ($A$1,$B84,K$5,$B$1)</f>
        <v>0</v>
      </c>
      <c r="L84" s="55">
        <f>_xll.EQNXTDZ($A$1,$B84,L$5,$B$1)</f>
        <v>815.64</v>
      </c>
      <c r="M84" s="55">
        <f>_xll.EQNXTDZ($A$1,$B84,M$5,$B$1)</f>
        <v>0</v>
      </c>
      <c r="N84" s="55">
        <f>_xll.EQNXTDZ($A$1,$B84,N$5,$B$1)</f>
        <v>661.23</v>
      </c>
      <c r="O84" s="55">
        <f>_xll.EQNXTDZ($A$1,$B84,O$5,$B$1)</f>
        <v>0</v>
      </c>
      <c r="P84" s="55">
        <f>_xll.EQNXTDZ($A$1,$B84,P$5,$B$1)</f>
        <v>781.17</v>
      </c>
      <c r="Q84" s="55">
        <f>_xll.EQNXTDZ($A$1,$B84,Q$5,$B$1)</f>
        <v>0</v>
      </c>
      <c r="R84" s="55">
        <f>_xll.EQNXTDZ($A$1,$B84,R$5,$B$1)</f>
        <v>1177.71</v>
      </c>
      <c r="S84" s="55">
        <f>_xll.EQNXTDZ($A$1,$B84,S$5,$B$1)</f>
        <v>0</v>
      </c>
      <c r="T84" s="55">
        <f>_xll.EQNXTDZ($A$1,$B84,T$5,$B$1)</f>
        <v>1242.21</v>
      </c>
      <c r="U84" s="55">
        <f>_xll.EQNXTDZ($A$1,$B84,U$5,$B$1)</f>
        <v>0</v>
      </c>
      <c r="V84" s="55">
        <f>_xll.EQNXTDZ($A$1,$B84,V$5,$B$1)</f>
        <v>1094.71</v>
      </c>
      <c r="W84" s="55">
        <f>_xll.EQNXTDZ($A$1,$B84,W$5,$B$1)</f>
        <v>0</v>
      </c>
      <c r="X84" s="55">
        <f>_xll.EQNXTDZ($A$1,$B84,X$5,$B$1)</f>
        <v>1192.08</v>
      </c>
      <c r="Y84" s="55">
        <f>_xll.EQNXTDZ($A$1,$B84,Y$5,$B$1)</f>
        <v>0</v>
      </c>
      <c r="Z84" s="55">
        <f>_xll.EQNXTDZ($A$1,$B84,Z$5,$B$1)</f>
        <v>1438.62</v>
      </c>
      <c r="AA84" s="55">
        <f>_xll.EQNXTDZ($A$1,$B84,AA$5,$B$1)</f>
        <v>0</v>
      </c>
      <c r="AB84" s="55">
        <f>_xll.EQNXTDZ($A$1,$B84,AB$5,$B$1)</f>
        <v>1647.34</v>
      </c>
      <c r="AC84" s="55">
        <f>_xll.EQNXTDZ($A$1,$B84,AC$5,$B$1)</f>
        <v>0</v>
      </c>
      <c r="AD84" s="55">
        <f>_xll.EQNXTDZ($A$1,$B84,AD$5,$B$1)</f>
        <v>1185.21</v>
      </c>
      <c r="AE84" s="55">
        <f>_xll.EQNXTDZ($A$1,$B84,AE$5,$B$1)</f>
        <v>0</v>
      </c>
      <c r="AF84" s="55">
        <f>_xll.EQNXTDZ($A$1,$B84,AF$5,$B$1)</f>
        <v>1311.98</v>
      </c>
      <c r="AG84" s="55">
        <f>_xll.EQNXTDZ($A$1,$B84,AG$5,$B$1)</f>
        <v>0</v>
      </c>
      <c r="AH84" s="55">
        <f>_xll.EQNXTDZ($A$1,$B84,AH$5,$B$1)</f>
        <v>1451.4</v>
      </c>
      <c r="AI84" s="55">
        <f>_xll.EQNXTDZ($A$1,$B84,AI$5,$B$1)</f>
        <v>0</v>
      </c>
      <c r="AJ84" s="55">
        <f>_xll.EQNXTDZ($A$1,$B84,AJ$5,$B$1)</f>
        <v>1392.56</v>
      </c>
      <c r="AK84" s="55">
        <f>_xll.EQNXTDZ($A$1,$B84,AK$5,$B$1)</f>
        <v>0</v>
      </c>
      <c r="AL84" s="55">
        <f>_xll.EQNXTDZ($A$1,$B84,AL$5,$B$1)</f>
        <v>1398.64</v>
      </c>
      <c r="AM84" s="55">
        <f>_xll.EQNXTDZ($A$1,$B84,AM$5,$B$1)</f>
        <v>0</v>
      </c>
      <c r="AN84" s="55">
        <f>_xll.EQNXTDZ($A$1,$B84,AN$5,$B$1)</f>
        <v>1155.49</v>
      </c>
      <c r="AO84" s="55">
        <f>_xll.EQNXTDZ($A$1,$B84,AO$5,$B$1)</f>
        <v>0</v>
      </c>
      <c r="AP84" s="55">
        <f>_xll.EQNXTDZ($A$1,$B84,AP$5,$B$1)</f>
        <v>1099.1300000000001</v>
      </c>
      <c r="AQ84" s="55">
        <f>_xll.EQNXTDZ($A$1,$B84,AQ$5,$B$1)</f>
        <v>0</v>
      </c>
      <c r="AR84" s="55">
        <f>_xll.EQNXTDZ($A$1,$B84,AR$5,$B$1)</f>
        <v>1404.85</v>
      </c>
      <c r="AS84" s="55">
        <f>_xll.EQNXTDZ($A$1,$B84,AS$5,$B$1)</f>
        <v>0</v>
      </c>
      <c r="AT84" s="55">
        <f>_xll.EQNXTDZ($A$1,$B84,AT$5,$B$1)</f>
        <v>1646.64</v>
      </c>
      <c r="AU84" s="55">
        <f>_xll.EQNXTDZ($A$1,$B84,AU$5,$B$1)</f>
        <v>0</v>
      </c>
      <c r="AV84" s="55">
        <f>_xll.EQNXTDZ($A$1,$B84,AV$5,$B$1)</f>
        <v>1944.05</v>
      </c>
      <c r="AW84" s="55">
        <f>_xll.EQNXTDZ($A$1,$B84,AW$5,$B$1)</f>
        <v>0</v>
      </c>
      <c r="AX84" s="55">
        <f>_xll.EQNXTDZ($A$1,$B84,AX$5,$B$1)</f>
        <v>1833.9</v>
      </c>
      <c r="AY84" s="55">
        <f>_xll.EQNXTDZ($A$1,$B84,AY$5,$B$1)</f>
        <v>0</v>
      </c>
      <c r="AZ84" s="55">
        <f>_xll.EQNXTDZ($A$1,$B84,AZ$5,$B$1)</f>
        <v>2171.81</v>
      </c>
      <c r="BA84" s="55">
        <f>_xll.EQNXTDZ($A$1,$B84,BA$5,$B$1)</f>
        <v>0</v>
      </c>
      <c r="BB84" s="55">
        <f>_xll.EQNXTDZ($A$1,$B84,BB$5,$B$1)</f>
        <v>2853.31</v>
      </c>
      <c r="BC84" s="55">
        <f>_xll.EQNXTDZ($A$1,$B84,BC$5,$B$1)</f>
        <v>0</v>
      </c>
      <c r="BD84" s="55">
        <f>_xll.EQNXTDZ($A$1,$B84,BD$5,$B$1)</f>
        <v>2819.27</v>
      </c>
      <c r="BE84" s="55">
        <f>_xll.EQNXTDZ($A$1,$B84,BE$5,$B$1)</f>
        <v>0</v>
      </c>
      <c r="BF84" s="55">
        <f>_xll.EQNXTDZ($A$1,$B84,BF$5,$B$1)</f>
        <v>2802.19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179.72</v>
      </c>
      <c r="E85" s="55">
        <f>_xll.EQNXTDZ($A$1,$B85,E$5,$B$1)</f>
        <v>0</v>
      </c>
      <c r="F85" s="55">
        <f>_xll.EQNXTDZ($A$1,$B85,F$5,$B$1)</f>
        <v>184.48</v>
      </c>
      <c r="G85" s="55">
        <f>_xll.EQNXTDZ($A$1,$B85,G$5,$B$1)</f>
        <v>0</v>
      </c>
      <c r="H85" s="55">
        <f>_xll.EQNXTDZ($A$1,$B85,H$5,$B$1)</f>
        <v>181.96</v>
      </c>
      <c r="I85" s="55">
        <f>_xll.EQNXTDZ($A$1,$B85,I$5,$B$1)</f>
        <v>0</v>
      </c>
      <c r="J85" s="55">
        <f>_xll.EQNXTDZ($A$1,$B85,J$5,$B$1)</f>
        <v>187.58</v>
      </c>
      <c r="K85" s="55">
        <f>_xll.EQNXTDZ($A$1,$B85,K$5,$B$1)</f>
        <v>0</v>
      </c>
      <c r="L85" s="55">
        <f>_xll.EQNXTDZ($A$1,$B85,L$5,$B$1)</f>
        <v>170.64</v>
      </c>
      <c r="M85" s="55">
        <f>_xll.EQNXTDZ($A$1,$B85,M$5,$B$1)</f>
        <v>0</v>
      </c>
      <c r="N85" s="55">
        <f>_xll.EQNXTDZ($A$1,$B85,N$5,$B$1)</f>
        <v>151.30000000000001</v>
      </c>
      <c r="O85" s="55">
        <f>_xll.EQNXTDZ($A$1,$B85,O$5,$B$1)</f>
        <v>0</v>
      </c>
      <c r="P85" s="55">
        <f>_xll.EQNXTDZ($A$1,$B85,P$5,$B$1)</f>
        <v>177.92</v>
      </c>
      <c r="Q85" s="55">
        <f>_xll.EQNXTDZ($A$1,$B85,Q$5,$B$1)</f>
        <v>0</v>
      </c>
      <c r="R85" s="55">
        <f>_xll.EQNXTDZ($A$1,$B85,R$5,$B$1)</f>
        <v>2.85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2.74</v>
      </c>
      <c r="W85" s="55">
        <f>_xll.EQNXTDZ($A$1,$B85,W$5,$B$1)</f>
        <v>0</v>
      </c>
      <c r="X85" s="55">
        <f>_xll.EQNXTDZ($A$1,$B85,X$5,$B$1)</f>
        <v>3.04</v>
      </c>
      <c r="Y85" s="55">
        <f>_xll.EQNXTDZ($A$1,$B85,Y$5,$B$1)</f>
        <v>0</v>
      </c>
      <c r="Z85" s="55">
        <f>_xll.EQNXTDZ($A$1,$B85,Z$5,$B$1)</f>
        <v>4.32</v>
      </c>
      <c r="AA85" s="55">
        <f>_xll.EQNXTDZ($A$1,$B85,AA$5,$B$1)</f>
        <v>0</v>
      </c>
      <c r="AB85" s="55">
        <f>_xll.EQNXTDZ($A$1,$B85,AB$5,$B$1)</f>
        <v>10.14</v>
      </c>
      <c r="AC85" s="55">
        <f>_xll.EQNXTDZ($A$1,$B85,AC$5,$B$1)</f>
        <v>0</v>
      </c>
      <c r="AD85" s="55">
        <f>_xll.EQNXTDZ($A$1,$B85,AD$5,$B$1)</f>
        <v>11.33</v>
      </c>
      <c r="AE85" s="55">
        <f>_xll.EQNXTDZ($A$1,$B85,AE$5,$B$1)</f>
        <v>0</v>
      </c>
      <c r="AF85" s="55">
        <f>_xll.EQNXTDZ($A$1,$B85,AF$5,$B$1)</f>
        <v>1.25</v>
      </c>
      <c r="AG85" s="55">
        <f>_xll.EQNXTDZ($A$1,$B85,AG$5,$B$1)</f>
        <v>0</v>
      </c>
      <c r="AH85" s="55">
        <f>_xll.EQNXTDZ($A$1,$B85,AH$5,$B$1)</f>
        <v>2.04</v>
      </c>
      <c r="AI85" s="55">
        <f>_xll.EQNXTDZ($A$1,$B85,AI$5,$B$1)</f>
        <v>0</v>
      </c>
      <c r="AJ85" s="55">
        <f>_xll.EQNXTDZ($A$1,$B85,AJ$5,$B$1)</f>
        <v>2.14</v>
      </c>
      <c r="AK85" s="55">
        <f>_xll.EQNXTDZ($A$1,$B85,AK$5,$B$1)</f>
        <v>0</v>
      </c>
      <c r="AL85" s="55">
        <f>_xll.EQNXTDZ($A$1,$B85,AL$5,$B$1)</f>
        <v>2.13</v>
      </c>
      <c r="AM85" s="55">
        <f>_xll.EQNXTDZ($A$1,$B85,AM$5,$B$1)</f>
        <v>0</v>
      </c>
      <c r="AN85" s="55">
        <f>_xll.EQNXTDZ($A$1,$B85,AN$5,$B$1)</f>
        <v>1.98</v>
      </c>
      <c r="AO85" s="55">
        <f>_xll.EQNXTDZ($A$1,$B85,AO$5,$B$1)</f>
        <v>0</v>
      </c>
      <c r="AP85" s="55">
        <f>_xll.EQNXTDZ($A$1,$B85,AP$5,$B$1)</f>
        <v>3.09</v>
      </c>
      <c r="AQ85" s="55">
        <f>_xll.EQNXTDZ($A$1,$B85,AQ$5,$B$1)</f>
        <v>0</v>
      </c>
      <c r="AR85" s="55">
        <f>_xll.EQNXTDZ($A$1,$B85,AR$5,$B$1)</f>
        <v>1.31</v>
      </c>
      <c r="AS85" s="55">
        <f>_xll.EQNXTDZ($A$1,$B85,AS$5,$B$1)</f>
        <v>0</v>
      </c>
      <c r="AT85" s="55">
        <f>_xll.EQNXTDZ($A$1,$B85,AT$5,$B$1)</f>
        <v>0.49</v>
      </c>
      <c r="AU85" s="55">
        <f>_xll.EQNXTDZ($A$1,$B85,AU$5,$B$1)</f>
        <v>0</v>
      </c>
      <c r="AV85" s="55">
        <f>_xll.EQNXTDZ($A$1,$B85,AV$5,$B$1)</f>
        <v>0.4</v>
      </c>
      <c r="AW85" s="55">
        <f>_xll.EQNXTDZ($A$1,$B85,AW$5,$B$1)</f>
        <v>0</v>
      </c>
      <c r="AX85" s="55">
        <f>_xll.EQNXTDZ($A$1,$B85,AX$5,$B$1)</f>
        <v>1.27</v>
      </c>
      <c r="AY85" s="55">
        <f>_xll.EQNXTDZ($A$1,$B85,AY$5,$B$1)</f>
        <v>0</v>
      </c>
      <c r="AZ85" s="55">
        <f>_xll.EQNXTDZ($A$1,$B85,AZ$5,$B$1)</f>
        <v>0.88</v>
      </c>
      <c r="BA85" s="55">
        <f>_xll.EQNXTDZ($A$1,$B85,BA$5,$B$1)</f>
        <v>0</v>
      </c>
      <c r="BB85" s="55">
        <f>_xll.EQNXTDZ($A$1,$B85,BB$5,$B$1)</f>
        <v>1.04</v>
      </c>
      <c r="BC85" s="55">
        <f>_xll.EQNXTDZ($A$1,$B85,BC$5,$B$1)</f>
        <v>0</v>
      </c>
      <c r="BD85" s="55">
        <f>_xll.EQNXTDZ($A$1,$B85,BD$5,$B$1)</f>
        <v>1.1100000000000001</v>
      </c>
      <c r="BE85" s="55">
        <f>_xll.EQNXTDZ($A$1,$B85,BE$5,$B$1)</f>
        <v>0</v>
      </c>
      <c r="BF85" s="55">
        <f>_xll.EQNXTDZ($A$1,$B85,BF$5,$B$1)</f>
        <v>1.19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3557.93</v>
      </c>
      <c r="E86" s="55">
        <f>_xll.EQNXTDZ($A$1,$B86,E$5,$B$1)</f>
        <v>0</v>
      </c>
      <c r="F86" s="55">
        <f>_xll.EQNXTDZ($A$1,$B86,F$5,$B$1)</f>
        <v>3868.82</v>
      </c>
      <c r="G86" s="55">
        <f>_xll.EQNXTDZ($A$1,$B86,G$5,$B$1)</f>
        <v>0</v>
      </c>
      <c r="H86" s="55">
        <f>_xll.EQNXTDZ($A$1,$B86,H$5,$B$1)</f>
        <v>3636.86</v>
      </c>
      <c r="I86" s="55">
        <f>_xll.EQNXTDZ($A$1,$B86,I$5,$B$1)</f>
        <v>0</v>
      </c>
      <c r="J86" s="55">
        <f>_xll.EQNXTDZ($A$1,$B86,J$5,$B$1)</f>
        <v>4014.57</v>
      </c>
      <c r="K86" s="55">
        <f>_xll.EQNXTDZ($A$1,$B86,K$5,$B$1)</f>
        <v>0</v>
      </c>
      <c r="L86" s="55">
        <f>_xll.EQNXTDZ($A$1,$B86,L$5,$B$1)</f>
        <v>3800.72</v>
      </c>
      <c r="M86" s="55">
        <f>_xll.EQNXTDZ($A$1,$B86,M$5,$B$1)</f>
        <v>0</v>
      </c>
      <c r="N86" s="55">
        <f>_xll.EQNXTDZ($A$1,$B86,N$5,$B$1)</f>
        <v>3736.8</v>
      </c>
      <c r="O86" s="55">
        <f>_xll.EQNXTDZ($A$1,$B86,O$5,$B$1)</f>
        <v>0</v>
      </c>
      <c r="P86" s="55">
        <f>_xll.EQNXTDZ($A$1,$B86,P$5,$B$1)</f>
        <v>3683.38</v>
      </c>
      <c r="Q86" s="55">
        <f>_xll.EQNXTDZ($A$1,$B86,Q$5,$B$1)</f>
        <v>0</v>
      </c>
      <c r="R86" s="55">
        <f>_xll.EQNXTDZ($A$1,$B86,R$5,$B$1)</f>
        <v>4125.59</v>
      </c>
      <c r="S86" s="55">
        <f>_xll.EQNXTDZ($A$1,$B86,S$5,$B$1)</f>
        <v>0</v>
      </c>
      <c r="T86" s="55">
        <f>_xll.EQNXTDZ($A$1,$B86,T$5,$B$1)</f>
        <v>3144.84</v>
      </c>
      <c r="U86" s="55">
        <f>_xll.EQNXTDZ($A$1,$B86,U$5,$B$1)</f>
        <v>0</v>
      </c>
      <c r="V86" s="55">
        <f>_xll.EQNXTDZ($A$1,$B86,V$5,$B$1)</f>
        <v>3989.56</v>
      </c>
      <c r="W86" s="55">
        <f>_xll.EQNXTDZ($A$1,$B86,W$5,$B$1)</f>
        <v>0</v>
      </c>
      <c r="X86" s="55">
        <f>_xll.EQNXTDZ($A$1,$B86,X$5,$B$1)</f>
        <v>3429.75</v>
      </c>
      <c r="Y86" s="55">
        <f>_xll.EQNXTDZ($A$1,$B86,Y$5,$B$1)</f>
        <v>0</v>
      </c>
      <c r="Z86" s="55">
        <f>_xll.EQNXTDZ($A$1,$B86,Z$5,$B$1)</f>
        <v>4597.54</v>
      </c>
      <c r="AA86" s="55">
        <f>_xll.EQNXTDZ($A$1,$B86,AA$5,$B$1)</f>
        <v>0</v>
      </c>
      <c r="AB86" s="55">
        <f>_xll.EQNXTDZ($A$1,$B86,AB$5,$B$1)</f>
        <v>4473.42</v>
      </c>
      <c r="AC86" s="55">
        <f>_xll.EQNXTDZ($A$1,$B86,AC$5,$B$1)</f>
        <v>0</v>
      </c>
      <c r="AD86" s="55">
        <f>_xll.EQNXTDZ($A$1,$B86,AD$5,$B$1)</f>
        <v>5647.17</v>
      </c>
      <c r="AE86" s="55">
        <f>_xll.EQNXTDZ($A$1,$B86,AE$5,$B$1)</f>
        <v>0</v>
      </c>
      <c r="AF86" s="55">
        <f>_xll.EQNXTDZ($A$1,$B86,AF$5,$B$1)</f>
        <v>5413.52</v>
      </c>
      <c r="AG86" s="55">
        <f>_xll.EQNXTDZ($A$1,$B86,AG$5,$B$1)</f>
        <v>0</v>
      </c>
      <c r="AH86" s="55">
        <f>_xll.EQNXTDZ($A$1,$B86,AH$5,$B$1)</f>
        <v>5578.43</v>
      </c>
      <c r="AI86" s="55">
        <f>_xll.EQNXTDZ($A$1,$B86,AI$5,$B$1)</f>
        <v>0</v>
      </c>
      <c r="AJ86" s="55">
        <f>_xll.EQNXTDZ($A$1,$B86,AJ$5,$B$1)</f>
        <v>4767.2700000000004</v>
      </c>
      <c r="AK86" s="55">
        <f>_xll.EQNXTDZ($A$1,$B86,AK$5,$B$1)</f>
        <v>0</v>
      </c>
      <c r="AL86" s="55">
        <f>_xll.EQNXTDZ($A$1,$B86,AL$5,$B$1)</f>
        <v>5189.41</v>
      </c>
      <c r="AM86" s="55">
        <f>_xll.EQNXTDZ($A$1,$B86,AM$5,$B$1)</f>
        <v>0</v>
      </c>
      <c r="AN86" s="55">
        <f>_xll.EQNXTDZ($A$1,$B86,AN$5,$B$1)</f>
        <v>4767.42</v>
      </c>
      <c r="AO86" s="55">
        <f>_xll.EQNXTDZ($A$1,$B86,AO$5,$B$1)</f>
        <v>0</v>
      </c>
      <c r="AP86" s="55">
        <f>_xll.EQNXTDZ($A$1,$B86,AP$5,$B$1)</f>
        <v>5879.22</v>
      </c>
      <c r="AQ86" s="55">
        <f>_xll.EQNXTDZ($A$1,$B86,AQ$5,$B$1)</f>
        <v>0</v>
      </c>
      <c r="AR86" s="55">
        <f>_xll.EQNXTDZ($A$1,$B86,AR$5,$B$1)</f>
        <v>5993.47</v>
      </c>
      <c r="AS86" s="55">
        <f>_xll.EQNXTDZ($A$1,$B86,AS$5,$B$1)</f>
        <v>0</v>
      </c>
      <c r="AT86" s="55">
        <f>_xll.EQNXTDZ($A$1,$B86,AT$5,$B$1)</f>
        <v>6446.49</v>
      </c>
      <c r="AU86" s="55">
        <f>_xll.EQNXTDZ($A$1,$B86,AU$5,$B$1)</f>
        <v>0</v>
      </c>
      <c r="AV86" s="55">
        <f>_xll.EQNXTDZ($A$1,$B86,AV$5,$B$1)</f>
        <v>5946.89</v>
      </c>
      <c r="AW86" s="55">
        <f>_xll.EQNXTDZ($A$1,$B86,AW$5,$B$1)</f>
        <v>0</v>
      </c>
      <c r="AX86" s="55">
        <f>_xll.EQNXTDZ($A$1,$B86,AX$5,$B$1)</f>
        <v>7724.64</v>
      </c>
      <c r="AY86" s="55">
        <f>_xll.EQNXTDZ($A$1,$B86,AY$5,$B$1)</f>
        <v>0</v>
      </c>
      <c r="AZ86" s="55">
        <f>_xll.EQNXTDZ($A$1,$B86,AZ$5,$B$1)</f>
        <v>7147.93</v>
      </c>
      <c r="BA86" s="55">
        <f>_xll.EQNXTDZ($A$1,$B86,BA$5,$B$1)</f>
        <v>0</v>
      </c>
      <c r="BB86" s="55">
        <f>_xll.EQNXTDZ($A$1,$B86,BB$5,$B$1)</f>
        <v>8877.92</v>
      </c>
      <c r="BC86" s="55">
        <f>_xll.EQNXTDZ($A$1,$B86,BC$5,$B$1)</f>
        <v>0</v>
      </c>
      <c r="BD86" s="55">
        <f>_xll.EQNXTDZ($A$1,$B86,BD$5,$B$1)</f>
        <v>8542.5300000000007</v>
      </c>
      <c r="BE86" s="55">
        <f>_xll.EQNXTDZ($A$1,$B86,BE$5,$B$1)</f>
        <v>0</v>
      </c>
      <c r="BF86" s="55">
        <f>_xll.EQNXTDZ($A$1,$B86,BF$5,$B$1)</f>
        <v>10329.19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2023.99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292.39999999999998</v>
      </c>
      <c r="E88" s="55">
        <f>_xll.EQNXTDZ($A$1,$B88,E$5,$B$1)</f>
        <v>0</v>
      </c>
      <c r="F88" s="55">
        <f>_xll.EQNXTDZ($A$1,$B88,F$5,$B$1)</f>
        <v>255.22</v>
      </c>
      <c r="G88" s="55">
        <f>_xll.EQNXTDZ($A$1,$B88,G$5,$B$1)</f>
        <v>0</v>
      </c>
      <c r="H88" s="55">
        <f>_xll.EQNXTDZ($A$1,$B88,H$5,$B$1)</f>
        <v>236.59</v>
      </c>
      <c r="I88" s="55">
        <f>_xll.EQNXTDZ($A$1,$B88,I$5,$B$1)</f>
        <v>0</v>
      </c>
      <c r="J88" s="55">
        <f>_xll.EQNXTDZ($A$1,$B88,J$5,$B$1)</f>
        <v>257.52</v>
      </c>
      <c r="K88" s="55">
        <f>_xll.EQNXTDZ($A$1,$B88,K$5,$B$1)</f>
        <v>0</v>
      </c>
      <c r="L88" s="55">
        <f>_xll.EQNXTDZ($A$1,$B88,L$5,$B$1)</f>
        <v>196.83</v>
      </c>
      <c r="M88" s="55">
        <f>_xll.EQNXTDZ($A$1,$B88,M$5,$B$1)</f>
        <v>0</v>
      </c>
      <c r="N88" s="55">
        <f>_xll.EQNXTDZ($A$1,$B88,N$5,$B$1)</f>
        <v>116.98</v>
      </c>
      <c r="O88" s="55">
        <f>_xll.EQNXTDZ($A$1,$B88,O$5,$B$1)</f>
        <v>0</v>
      </c>
      <c r="P88" s="55">
        <f>_xll.EQNXTDZ($A$1,$B88,P$5,$B$1)</f>
        <v>168.18</v>
      </c>
      <c r="Q88" s="55">
        <f>_xll.EQNXTDZ($A$1,$B88,Q$5,$B$1)</f>
        <v>0</v>
      </c>
      <c r="R88" s="55">
        <f>_xll.EQNXTDZ($A$1,$B88,R$5,$B$1)</f>
        <v>270.74</v>
      </c>
      <c r="S88" s="55">
        <f>_xll.EQNXTDZ($A$1,$B88,S$5,$B$1)</f>
        <v>0</v>
      </c>
      <c r="T88" s="55">
        <f>_xll.EQNXTDZ($A$1,$B88,T$5,$B$1)</f>
        <v>169.32</v>
      </c>
      <c r="U88" s="55">
        <f>_xll.EQNXTDZ($A$1,$B88,U$5,$B$1)</f>
        <v>0</v>
      </c>
      <c r="V88" s="55">
        <f>_xll.EQNXTDZ($A$1,$B88,V$5,$B$1)</f>
        <v>170.94</v>
      </c>
      <c r="W88" s="55">
        <f>_xll.EQNXTDZ($A$1,$B88,W$5,$B$1)</f>
        <v>0</v>
      </c>
      <c r="X88" s="55">
        <f>_xll.EQNXTDZ($A$1,$B88,X$5,$B$1)</f>
        <v>165.53</v>
      </c>
      <c r="Y88" s="55">
        <f>_xll.EQNXTDZ($A$1,$B88,Y$5,$B$1)</f>
        <v>0</v>
      </c>
      <c r="Z88" s="55">
        <f>_xll.EQNXTDZ($A$1,$B88,Z$5,$B$1)</f>
        <v>142.29</v>
      </c>
      <c r="AA88" s="55">
        <f>_xll.EQNXTDZ($A$1,$B88,AA$5,$B$1)</f>
        <v>0</v>
      </c>
      <c r="AB88" s="55">
        <f>_xll.EQNXTDZ($A$1,$B88,AB$5,$B$1)</f>
        <v>515.24</v>
      </c>
      <c r="AC88" s="55">
        <f>_xll.EQNXTDZ($A$1,$B88,AC$5,$B$1)</f>
        <v>0</v>
      </c>
      <c r="AD88" s="55">
        <f>_xll.EQNXTDZ($A$1,$B88,AD$5,$B$1)</f>
        <v>314.64999999999998</v>
      </c>
      <c r="AE88" s="55">
        <f>_xll.EQNXTDZ($A$1,$B88,AE$5,$B$1)</f>
        <v>0</v>
      </c>
      <c r="AF88" s="55">
        <f>_xll.EQNXTDZ($A$1,$B88,AF$5,$B$1)</f>
        <v>319.7</v>
      </c>
      <c r="AG88" s="55">
        <f>_xll.EQNXTDZ($A$1,$B88,AG$5,$B$1)</f>
        <v>0</v>
      </c>
      <c r="AH88" s="55">
        <f>_xll.EQNXTDZ($A$1,$B88,AH$5,$B$1)</f>
        <v>212.44</v>
      </c>
      <c r="AI88" s="55">
        <f>_xll.EQNXTDZ($A$1,$B88,AI$5,$B$1)</f>
        <v>0</v>
      </c>
      <c r="AJ88" s="55">
        <f>_xll.EQNXTDZ($A$1,$B88,AJ$5,$B$1)</f>
        <v>423.33</v>
      </c>
      <c r="AK88" s="55">
        <f>_xll.EQNXTDZ($A$1,$B88,AK$5,$B$1)</f>
        <v>0</v>
      </c>
      <c r="AL88" s="55">
        <f>_xll.EQNXTDZ($A$1,$B88,AL$5,$B$1)</f>
        <v>251.4</v>
      </c>
      <c r="AM88" s="55">
        <f>_xll.EQNXTDZ($A$1,$B88,AM$5,$B$1)</f>
        <v>0</v>
      </c>
      <c r="AN88" s="55">
        <f>_xll.EQNXTDZ($A$1,$B88,AN$5,$B$1)</f>
        <v>413.66</v>
      </c>
      <c r="AO88" s="55">
        <f>_xll.EQNXTDZ($A$1,$B88,AO$5,$B$1)</f>
        <v>0</v>
      </c>
      <c r="AP88" s="55">
        <f>_xll.EQNXTDZ($A$1,$B88,AP$5,$B$1)</f>
        <v>343.19</v>
      </c>
      <c r="AQ88" s="55">
        <f>_xll.EQNXTDZ($A$1,$B88,AQ$5,$B$1)</f>
        <v>0</v>
      </c>
      <c r="AR88" s="55">
        <f>_xll.EQNXTDZ($A$1,$B88,AR$5,$B$1)</f>
        <v>366.75</v>
      </c>
      <c r="AS88" s="55">
        <f>_xll.EQNXTDZ($A$1,$B88,AS$5,$B$1)</f>
        <v>0</v>
      </c>
      <c r="AT88" s="55">
        <f>_xll.EQNXTDZ($A$1,$B88,AT$5,$B$1)</f>
        <v>594.82000000000005</v>
      </c>
      <c r="AU88" s="55">
        <f>_xll.EQNXTDZ($A$1,$B88,AU$5,$B$1)</f>
        <v>0</v>
      </c>
      <c r="AV88" s="55">
        <f>_xll.EQNXTDZ($A$1,$B88,AV$5,$B$1)</f>
        <v>522.5</v>
      </c>
      <c r="AW88" s="55">
        <f>_xll.EQNXTDZ($A$1,$B88,AW$5,$B$1)</f>
        <v>0</v>
      </c>
      <c r="AX88" s="55">
        <f>_xll.EQNXTDZ($A$1,$B88,AX$5,$B$1)</f>
        <v>485.31</v>
      </c>
      <c r="AY88" s="55">
        <f>_xll.EQNXTDZ($A$1,$B88,AY$5,$B$1)</f>
        <v>0</v>
      </c>
      <c r="AZ88" s="55">
        <f>_xll.EQNXTDZ($A$1,$B88,AZ$5,$B$1)</f>
        <v>473.58</v>
      </c>
      <c r="BA88" s="55">
        <f>_xll.EQNXTDZ($A$1,$B88,BA$5,$B$1)</f>
        <v>0</v>
      </c>
      <c r="BB88" s="55">
        <f>_xll.EQNXTDZ($A$1,$B88,BB$5,$B$1)</f>
        <v>481.02</v>
      </c>
      <c r="BC88" s="55">
        <f>_xll.EQNXTDZ($A$1,$B88,BC$5,$B$1)</f>
        <v>0</v>
      </c>
      <c r="BD88" s="55">
        <f>_xll.EQNXTDZ($A$1,$B88,BD$5,$B$1)</f>
        <v>1304.21</v>
      </c>
      <c r="BE88" s="55">
        <f>_xll.EQNXTDZ($A$1,$B88,BE$5,$B$1)</f>
        <v>0</v>
      </c>
      <c r="BF88" s="55">
        <f>_xll.EQNXTDZ($A$1,$B88,BF$5,$B$1)</f>
        <v>590.6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1719.1</v>
      </c>
      <c r="G89" s="55">
        <f>_xll.EQNXTDZ($A$1,$B89,G$5,$B$1)</f>
        <v>0</v>
      </c>
      <c r="H89" s="55">
        <f>_xll.EQNXTDZ($A$1,$B89,H$5,$B$1)</f>
        <v>1419.91</v>
      </c>
      <c r="I89" s="55">
        <f>_xll.EQNXTDZ($A$1,$B89,I$5,$B$1)</f>
        <v>0</v>
      </c>
      <c r="J89" s="55">
        <f>_xll.EQNXTDZ($A$1,$B89,J$5,$B$1)</f>
        <v>1626.74</v>
      </c>
      <c r="K89" s="55">
        <f>_xll.EQNXTDZ($A$1,$B89,K$5,$B$1)</f>
        <v>0</v>
      </c>
      <c r="L89" s="55">
        <f>_xll.EQNXTDZ($A$1,$B89,L$5,$B$1)</f>
        <v>1350.64</v>
      </c>
      <c r="M89" s="55">
        <f>_xll.EQNXTDZ($A$1,$B89,M$5,$B$1)</f>
        <v>0</v>
      </c>
      <c r="N89" s="55">
        <f>_xll.EQNXTDZ($A$1,$B89,N$5,$B$1)</f>
        <v>1541.45</v>
      </c>
      <c r="O89" s="55">
        <f>_xll.EQNXTDZ($A$1,$B89,O$5,$B$1)</f>
        <v>0</v>
      </c>
      <c r="P89" s="55">
        <f>_xll.EQNXTDZ($A$1,$B89,P$5,$B$1)</f>
        <v>1367.03</v>
      </c>
      <c r="Q89" s="55">
        <f>_xll.EQNXTDZ($A$1,$B89,Q$5,$B$1)</f>
        <v>0</v>
      </c>
      <c r="R89" s="55">
        <f>_xll.EQNXTDZ($A$1,$B89,R$5,$B$1)</f>
        <v>1748.78</v>
      </c>
      <c r="S89" s="55">
        <f>_xll.EQNXTDZ($A$1,$B89,S$5,$B$1)</f>
        <v>0</v>
      </c>
      <c r="T89" s="55">
        <f>_xll.EQNXTDZ($A$1,$B89,T$5,$B$1)</f>
        <v>1310.6300000000001</v>
      </c>
      <c r="U89" s="55">
        <f>_xll.EQNXTDZ($A$1,$B89,U$5,$B$1)</f>
        <v>0</v>
      </c>
      <c r="V89" s="55">
        <f>_xll.EQNXTDZ($A$1,$B89,V$5,$B$1)</f>
        <v>1994.57</v>
      </c>
      <c r="W89" s="55">
        <f>_xll.EQNXTDZ($A$1,$B89,W$5,$B$1)</f>
        <v>0</v>
      </c>
      <c r="X89" s="55">
        <f>_xll.EQNXTDZ($A$1,$B89,X$5,$B$1)</f>
        <v>1479.54</v>
      </c>
      <c r="Y89" s="55">
        <f>_xll.EQNXTDZ($A$1,$B89,Y$5,$B$1)</f>
        <v>0</v>
      </c>
      <c r="Z89" s="55">
        <f>_xll.EQNXTDZ($A$1,$B89,Z$5,$B$1)</f>
        <v>2176.41</v>
      </c>
      <c r="AA89" s="55">
        <f>_xll.EQNXTDZ($A$1,$B89,AA$5,$B$1)</f>
        <v>0</v>
      </c>
      <c r="AB89" s="55">
        <f>_xll.EQNXTDZ($A$1,$B89,AB$5,$B$1)</f>
        <v>1832.37</v>
      </c>
      <c r="AC89" s="55">
        <f>_xll.EQNXTDZ($A$1,$B89,AC$5,$B$1)</f>
        <v>0</v>
      </c>
      <c r="AD89" s="55">
        <f>_xll.EQNXTDZ($A$1,$B89,AD$5,$B$1)</f>
        <v>2374.4899999999998</v>
      </c>
      <c r="AE89" s="55">
        <f>_xll.EQNXTDZ($A$1,$B89,AE$5,$B$1)</f>
        <v>0</v>
      </c>
      <c r="AF89" s="55">
        <f>_xll.EQNXTDZ($A$1,$B89,AF$5,$B$1)</f>
        <v>1932.17</v>
      </c>
      <c r="AG89" s="55">
        <f>_xll.EQNXTDZ($A$1,$B89,AG$5,$B$1)</f>
        <v>0</v>
      </c>
      <c r="AH89" s="55">
        <f>_xll.EQNXTDZ($A$1,$B89,AH$5,$B$1)</f>
        <v>2688.89</v>
      </c>
      <c r="AI89" s="55">
        <f>_xll.EQNXTDZ($A$1,$B89,AI$5,$B$1)</f>
        <v>0</v>
      </c>
      <c r="AJ89" s="55">
        <f>_xll.EQNXTDZ($A$1,$B89,AJ$5,$B$1)</f>
        <v>1861.64</v>
      </c>
      <c r="AK89" s="55">
        <f>_xll.EQNXTDZ($A$1,$B89,AK$5,$B$1)</f>
        <v>0</v>
      </c>
      <c r="AL89" s="55">
        <f>_xll.EQNXTDZ($A$1,$B89,AL$5,$B$1)</f>
        <v>2464.5300000000002</v>
      </c>
      <c r="AM89" s="55">
        <f>_xll.EQNXTDZ($A$1,$B89,AM$5,$B$1)</f>
        <v>0</v>
      </c>
      <c r="AN89" s="55">
        <f>_xll.EQNXTDZ($A$1,$B89,AN$5,$B$1)</f>
        <v>1803.31</v>
      </c>
      <c r="AO89" s="55">
        <f>_xll.EQNXTDZ($A$1,$B89,AO$5,$B$1)</f>
        <v>0</v>
      </c>
      <c r="AP89" s="55">
        <f>_xll.EQNXTDZ($A$1,$B89,AP$5,$B$1)</f>
        <v>2942.05</v>
      </c>
      <c r="AQ89" s="55">
        <f>_xll.EQNXTDZ($A$1,$B89,AQ$5,$B$1)</f>
        <v>0</v>
      </c>
      <c r="AR89" s="55">
        <f>_xll.EQNXTDZ($A$1,$B89,AR$5,$B$1)</f>
        <v>2272.7600000000002</v>
      </c>
      <c r="AS89" s="55">
        <f>_xll.EQNXTDZ($A$1,$B89,AS$5,$B$1)</f>
        <v>0</v>
      </c>
      <c r="AT89" s="55">
        <f>_xll.EQNXTDZ($A$1,$B89,AT$5,$B$1)</f>
        <v>3012.63</v>
      </c>
      <c r="AU89" s="55">
        <f>_xll.EQNXTDZ($A$1,$B89,AU$5,$B$1)</f>
        <v>0</v>
      </c>
      <c r="AV89" s="55">
        <f>_xll.EQNXTDZ($A$1,$B89,AV$5,$B$1)</f>
        <v>2522.17</v>
      </c>
      <c r="AW89" s="55">
        <f>_xll.EQNXTDZ($A$1,$B89,AW$5,$B$1)</f>
        <v>0</v>
      </c>
      <c r="AX89" s="55">
        <f>_xll.EQNXTDZ($A$1,$B89,AX$5,$B$1)</f>
        <v>3775.45</v>
      </c>
      <c r="AY89" s="55">
        <f>_xll.EQNXTDZ($A$1,$B89,AY$5,$B$1)</f>
        <v>0</v>
      </c>
      <c r="AZ89" s="55">
        <f>_xll.EQNXTDZ($A$1,$B89,AZ$5,$B$1)</f>
        <v>3147.32</v>
      </c>
      <c r="BA89" s="55">
        <f>_xll.EQNXTDZ($A$1,$B89,BA$5,$B$1)</f>
        <v>0</v>
      </c>
      <c r="BB89" s="55">
        <f>_xll.EQNXTDZ($A$1,$B89,BB$5,$B$1)</f>
        <v>3892.81</v>
      </c>
      <c r="BC89" s="55">
        <f>_xll.EQNXTDZ($A$1,$B89,BC$5,$B$1)</f>
        <v>0</v>
      </c>
      <c r="BD89" s="55">
        <f>_xll.EQNXTDZ($A$1,$B89,BD$5,$B$1)</f>
        <v>3166.36</v>
      </c>
      <c r="BE89" s="55">
        <f>_xll.EQNXTDZ($A$1,$B89,BE$5,$B$1)</f>
        <v>0</v>
      </c>
      <c r="BF89" s="55">
        <f>_xll.EQNXTDZ($A$1,$B89,BF$5,$B$1)</f>
        <v>5227.78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647.65</v>
      </c>
      <c r="G91" s="55">
        <f>_xll.EQNXTDZ($A$1,$B91,G$5,$B$1)</f>
        <v>0</v>
      </c>
      <c r="H91" s="55">
        <f>_xll.EQNXTDZ($A$1,$B91,H$5,$B$1)</f>
        <v>625.48</v>
      </c>
      <c r="I91" s="55">
        <f>_xll.EQNXTDZ($A$1,$B91,I$5,$B$1)</f>
        <v>0</v>
      </c>
      <c r="J91" s="55">
        <f>_xll.EQNXTDZ($A$1,$B91,J$5,$B$1)</f>
        <v>711.97</v>
      </c>
      <c r="K91" s="55">
        <f>_xll.EQNXTDZ($A$1,$B91,K$5,$B$1)</f>
        <v>0</v>
      </c>
      <c r="L91" s="55">
        <f>_xll.EQNXTDZ($A$1,$B91,L$5,$B$1)</f>
        <v>674.92</v>
      </c>
      <c r="M91" s="55">
        <f>_xll.EQNXTDZ($A$1,$B91,M$5,$B$1)</f>
        <v>0</v>
      </c>
      <c r="N91" s="55">
        <f>_xll.EQNXTDZ($A$1,$B91,N$5,$B$1)</f>
        <v>730.9</v>
      </c>
      <c r="O91" s="55">
        <f>_xll.EQNXTDZ($A$1,$B91,O$5,$B$1)</f>
        <v>0</v>
      </c>
      <c r="P91" s="55">
        <f>_xll.EQNXTDZ($A$1,$B91,P$5,$B$1)</f>
        <v>776.36</v>
      </c>
      <c r="Q91" s="55">
        <f>_xll.EQNXTDZ($A$1,$B91,Q$5,$B$1)</f>
        <v>0</v>
      </c>
      <c r="R91" s="55">
        <f>_xll.EQNXTDZ($A$1,$B91,R$5,$B$1)</f>
        <v>773.94</v>
      </c>
      <c r="S91" s="55">
        <f>_xll.EQNXTDZ($A$1,$B91,S$5,$B$1)</f>
        <v>0</v>
      </c>
      <c r="T91" s="55">
        <f>_xll.EQNXTDZ($A$1,$B91,T$5,$B$1)</f>
        <v>734.81</v>
      </c>
      <c r="U91" s="55">
        <f>_xll.EQNXTDZ($A$1,$B91,U$5,$B$1)</f>
        <v>0</v>
      </c>
      <c r="V91" s="55">
        <f>_xll.EQNXTDZ($A$1,$B91,V$5,$B$1)</f>
        <v>699.54</v>
      </c>
      <c r="W91" s="55">
        <f>_xll.EQNXTDZ($A$1,$B91,W$5,$B$1)</f>
        <v>0</v>
      </c>
      <c r="X91" s="55">
        <f>_xll.EQNXTDZ($A$1,$B91,X$5,$B$1)</f>
        <v>840.28</v>
      </c>
      <c r="Y91" s="55">
        <f>_xll.EQNXTDZ($A$1,$B91,Y$5,$B$1)</f>
        <v>0</v>
      </c>
      <c r="Z91" s="55">
        <f>_xll.EQNXTDZ($A$1,$B91,Z$5,$B$1)</f>
        <v>766.93</v>
      </c>
      <c r="AA91" s="55">
        <f>_xll.EQNXTDZ($A$1,$B91,AA$5,$B$1)</f>
        <v>0</v>
      </c>
      <c r="AB91" s="55">
        <f>_xll.EQNXTDZ($A$1,$B91,AB$5,$B$1)</f>
        <v>865.66</v>
      </c>
      <c r="AC91" s="55">
        <f>_xll.EQNXTDZ($A$1,$B91,AC$5,$B$1)</f>
        <v>0</v>
      </c>
      <c r="AD91" s="55">
        <f>_xll.EQNXTDZ($A$1,$B91,AD$5,$B$1)</f>
        <v>466.26</v>
      </c>
      <c r="AE91" s="55">
        <f>_xll.EQNXTDZ($A$1,$B91,AE$5,$B$1)</f>
        <v>0</v>
      </c>
      <c r="AF91" s="55">
        <f>_xll.EQNXTDZ($A$1,$B91,AF$5,$B$1)</f>
        <v>538.27</v>
      </c>
      <c r="AG91" s="55">
        <f>_xll.EQNXTDZ($A$1,$B91,AG$5,$B$1)</f>
        <v>0</v>
      </c>
      <c r="AH91" s="55">
        <f>_xll.EQNXTDZ($A$1,$B91,AH$5,$B$1)</f>
        <v>695.5</v>
      </c>
      <c r="AI91" s="55">
        <f>_xll.EQNXTDZ($A$1,$B91,AI$5,$B$1)</f>
        <v>0</v>
      </c>
      <c r="AJ91" s="55">
        <f>_xll.EQNXTDZ($A$1,$B91,AJ$5,$B$1)</f>
        <v>542.17999999999995</v>
      </c>
      <c r="AK91" s="55">
        <f>_xll.EQNXTDZ($A$1,$B91,AK$5,$B$1)</f>
        <v>0</v>
      </c>
      <c r="AL91" s="55">
        <f>_xll.EQNXTDZ($A$1,$B91,AL$5,$B$1)</f>
        <v>668.61</v>
      </c>
      <c r="AM91" s="55">
        <f>_xll.EQNXTDZ($A$1,$B91,AM$5,$B$1)</f>
        <v>0</v>
      </c>
      <c r="AN91" s="55">
        <f>_xll.EQNXTDZ($A$1,$B91,AN$5,$B$1)</f>
        <v>582.78</v>
      </c>
      <c r="AO91" s="55">
        <f>_xll.EQNXTDZ($A$1,$B91,AO$5,$B$1)</f>
        <v>0</v>
      </c>
      <c r="AP91" s="55">
        <f>_xll.EQNXTDZ($A$1,$B91,AP$5,$B$1)</f>
        <v>611.82000000000005</v>
      </c>
      <c r="AQ91" s="55">
        <f>_xll.EQNXTDZ($A$1,$B91,AQ$5,$B$1)</f>
        <v>0</v>
      </c>
      <c r="AR91" s="55">
        <f>_xll.EQNXTDZ($A$1,$B91,AR$5,$B$1)</f>
        <v>610.05999999999995</v>
      </c>
      <c r="AS91" s="55">
        <f>_xll.EQNXTDZ($A$1,$B91,AS$5,$B$1)</f>
        <v>0</v>
      </c>
      <c r="AT91" s="55">
        <f>_xll.EQNXTDZ($A$1,$B91,AT$5,$B$1)</f>
        <v>846.09</v>
      </c>
      <c r="AU91" s="55">
        <f>_xll.EQNXTDZ($A$1,$B91,AU$5,$B$1)</f>
        <v>0</v>
      </c>
      <c r="AV91" s="55">
        <f>_xll.EQNXTDZ($A$1,$B91,AV$5,$B$1)</f>
        <v>854.57</v>
      </c>
      <c r="AW91" s="55">
        <f>_xll.EQNXTDZ($A$1,$B91,AW$5,$B$1)</f>
        <v>0</v>
      </c>
      <c r="AX91" s="55">
        <f>_xll.EQNXTDZ($A$1,$B91,AX$5,$B$1)</f>
        <v>1284.55</v>
      </c>
      <c r="AY91" s="55">
        <f>_xll.EQNXTDZ($A$1,$B91,AY$5,$B$1)</f>
        <v>0</v>
      </c>
      <c r="AZ91" s="55">
        <f>_xll.EQNXTDZ($A$1,$B91,AZ$5,$B$1)</f>
        <v>1047.49</v>
      </c>
      <c r="BA91" s="55">
        <f>_xll.EQNXTDZ($A$1,$B91,BA$5,$B$1)</f>
        <v>0</v>
      </c>
      <c r="BB91" s="55">
        <f>_xll.EQNXTDZ($A$1,$B91,BB$5,$B$1)</f>
        <v>1391.86</v>
      </c>
      <c r="BC91" s="55">
        <f>_xll.EQNXTDZ($A$1,$B91,BC$5,$B$1)</f>
        <v>0</v>
      </c>
      <c r="BD91" s="55">
        <f>_xll.EQNXTDZ($A$1,$B91,BD$5,$B$1)</f>
        <v>1078.98</v>
      </c>
      <c r="BE91" s="55">
        <f>_xll.EQNXTDZ($A$1,$B91,BE$5,$B$1)</f>
        <v>0</v>
      </c>
      <c r="BF91" s="55">
        <f>_xll.EQNXTDZ($A$1,$B91,BF$5,$B$1)</f>
        <v>1443.52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152.27000000000001</v>
      </c>
      <c r="E92" s="55">
        <f>_xll.EQNXTDZ($A$1,$B92,E$5,$B$1)</f>
        <v>0</v>
      </c>
      <c r="F92" s="55">
        <f>_xll.EQNXTDZ($A$1,$B92,F$5,$B$1)</f>
        <v>181.14</v>
      </c>
      <c r="G92" s="55">
        <f>_xll.EQNXTDZ($A$1,$B92,G$5,$B$1)</f>
        <v>0</v>
      </c>
      <c r="H92" s="55">
        <f>_xll.EQNXTDZ($A$1,$B92,H$5,$B$1)</f>
        <v>130.47</v>
      </c>
      <c r="I92" s="55">
        <f>_xll.EQNXTDZ($A$1,$B92,I$5,$B$1)</f>
        <v>0</v>
      </c>
      <c r="J92" s="55">
        <f>_xll.EQNXTDZ($A$1,$B92,J$5,$B$1)</f>
        <v>188.75</v>
      </c>
      <c r="K92" s="55">
        <f>_xll.EQNXTDZ($A$1,$B92,K$5,$B$1)</f>
        <v>0</v>
      </c>
      <c r="L92" s="55">
        <f>_xll.EQNXTDZ($A$1,$B92,L$5,$B$1)</f>
        <v>101.99</v>
      </c>
      <c r="M92" s="55">
        <f>_xll.EQNXTDZ($A$1,$B92,M$5,$B$1)</f>
        <v>0</v>
      </c>
      <c r="N92" s="55">
        <f>_xll.EQNXTDZ($A$1,$B92,N$5,$B$1)</f>
        <v>246.17</v>
      </c>
      <c r="O92" s="55">
        <f>_xll.EQNXTDZ($A$1,$B92,O$5,$B$1)</f>
        <v>0</v>
      </c>
      <c r="P92" s="55">
        <f>_xll.EQNXTDZ($A$1,$B92,P$5,$B$1)</f>
        <v>170.89</v>
      </c>
      <c r="Q92" s="55">
        <f>_xll.EQNXTDZ($A$1,$B92,Q$5,$B$1)</f>
        <v>0</v>
      </c>
      <c r="R92" s="55">
        <f>_xll.EQNXTDZ($A$1,$B92,R$5,$B$1)</f>
        <v>156.16999999999999</v>
      </c>
      <c r="S92" s="55">
        <f>_xll.EQNXTDZ($A$1,$B92,S$5,$B$1)</f>
        <v>0</v>
      </c>
      <c r="T92" s="55">
        <f>_xll.EQNXTDZ($A$1,$B92,T$5,$B$1)</f>
        <v>129.47</v>
      </c>
      <c r="U92" s="55">
        <f>_xll.EQNXTDZ($A$1,$B92,U$5,$B$1)</f>
        <v>0</v>
      </c>
      <c r="V92" s="55">
        <f>_xll.EQNXTDZ($A$1,$B92,V$5,$B$1)</f>
        <v>177.02</v>
      </c>
      <c r="W92" s="55">
        <f>_xll.EQNXTDZ($A$1,$B92,W$5,$B$1)</f>
        <v>0</v>
      </c>
      <c r="X92" s="55">
        <f>_xll.EQNXTDZ($A$1,$B92,X$5,$B$1)</f>
        <v>181.26</v>
      </c>
      <c r="Y92" s="55">
        <f>_xll.EQNXTDZ($A$1,$B92,Y$5,$B$1)</f>
        <v>0</v>
      </c>
      <c r="Z92" s="55">
        <f>_xll.EQNXTDZ($A$1,$B92,Z$5,$B$1)</f>
        <v>185.54</v>
      </c>
      <c r="AA92" s="55">
        <f>_xll.EQNXTDZ($A$1,$B92,AA$5,$B$1)</f>
        <v>0</v>
      </c>
      <c r="AB92" s="55">
        <f>_xll.EQNXTDZ($A$1,$B92,AB$5,$B$1)</f>
        <v>133.86000000000001</v>
      </c>
      <c r="AC92" s="55">
        <f>_xll.EQNXTDZ($A$1,$B92,AC$5,$B$1)</f>
        <v>0</v>
      </c>
      <c r="AD92" s="55">
        <f>_xll.EQNXTDZ($A$1,$B92,AD$5,$B$1)</f>
        <v>129.88999999999999</v>
      </c>
      <c r="AE92" s="55">
        <f>_xll.EQNXTDZ($A$1,$B92,AE$5,$B$1)</f>
        <v>0</v>
      </c>
      <c r="AF92" s="55">
        <f>_xll.EQNXTDZ($A$1,$B92,AF$5,$B$1)</f>
        <v>129.77000000000001</v>
      </c>
      <c r="AG92" s="55">
        <f>_xll.EQNXTDZ($A$1,$B92,AG$5,$B$1)</f>
        <v>0</v>
      </c>
      <c r="AH92" s="55">
        <f>_xll.EQNXTDZ($A$1,$B92,AH$5,$B$1)</f>
        <v>116.98</v>
      </c>
      <c r="AI92" s="55">
        <f>_xll.EQNXTDZ($A$1,$B92,AI$5,$B$1)</f>
        <v>0</v>
      </c>
      <c r="AJ92" s="55">
        <f>_xll.EQNXTDZ($A$1,$B92,AJ$5,$B$1)</f>
        <v>99.83</v>
      </c>
      <c r="AK92" s="55">
        <f>_xll.EQNXTDZ($A$1,$B92,AK$5,$B$1)</f>
        <v>0</v>
      </c>
      <c r="AL92" s="55">
        <f>_xll.EQNXTDZ($A$1,$B92,AL$5,$B$1)</f>
        <v>119.55</v>
      </c>
      <c r="AM92" s="55">
        <f>_xll.EQNXTDZ($A$1,$B92,AM$5,$B$1)</f>
        <v>0</v>
      </c>
      <c r="AN92" s="55">
        <f>_xll.EQNXTDZ($A$1,$B92,AN$5,$B$1)</f>
        <v>124.86</v>
      </c>
      <c r="AO92" s="55">
        <f>_xll.EQNXTDZ($A$1,$B92,AO$5,$B$1)</f>
        <v>0</v>
      </c>
      <c r="AP92" s="55">
        <f>_xll.EQNXTDZ($A$1,$B92,AP$5,$B$1)</f>
        <v>158.85</v>
      </c>
      <c r="AQ92" s="55">
        <f>_xll.EQNXTDZ($A$1,$B92,AQ$5,$B$1)</f>
        <v>0</v>
      </c>
      <c r="AR92" s="55">
        <f>_xll.EQNXTDZ($A$1,$B92,AR$5,$B$1)</f>
        <v>232.23</v>
      </c>
      <c r="AS92" s="55">
        <f>_xll.EQNXTDZ($A$1,$B92,AS$5,$B$1)</f>
        <v>0</v>
      </c>
      <c r="AT92" s="55">
        <f>_xll.EQNXTDZ($A$1,$B92,AT$5,$B$1)</f>
        <v>166</v>
      </c>
      <c r="AU92" s="55">
        <f>_xll.EQNXTDZ($A$1,$B92,AU$5,$B$1)</f>
        <v>0</v>
      </c>
      <c r="AV92" s="55">
        <f>_xll.EQNXTDZ($A$1,$B92,AV$5,$B$1)</f>
        <v>175.29</v>
      </c>
      <c r="AW92" s="55">
        <f>_xll.EQNXTDZ($A$1,$B92,AW$5,$B$1)</f>
        <v>0</v>
      </c>
      <c r="AX92" s="55">
        <f>_xll.EQNXTDZ($A$1,$B92,AX$5,$B$1)</f>
        <v>211.07</v>
      </c>
      <c r="AY92" s="55">
        <f>_xll.EQNXTDZ($A$1,$B92,AY$5,$B$1)</f>
        <v>0</v>
      </c>
      <c r="AZ92" s="55">
        <f>_xll.EQNXTDZ($A$1,$B92,AZ$5,$B$1)</f>
        <v>227.34</v>
      </c>
      <c r="BA92" s="55">
        <f>_xll.EQNXTDZ($A$1,$B92,BA$5,$B$1)</f>
        <v>0</v>
      </c>
      <c r="BB92" s="55">
        <f>_xll.EQNXTDZ($A$1,$B92,BB$5,$B$1)</f>
        <v>239.81</v>
      </c>
      <c r="BC92" s="55">
        <f>_xll.EQNXTDZ($A$1,$B92,BC$5,$B$1)</f>
        <v>0</v>
      </c>
      <c r="BD92" s="55">
        <f>_xll.EQNXTDZ($A$1,$B92,BD$5,$B$1)</f>
        <v>252.78</v>
      </c>
      <c r="BE92" s="55">
        <f>_xll.EQNXTDZ($A$1,$B92,BE$5,$B$1)</f>
        <v>0</v>
      </c>
      <c r="BF92" s="55">
        <f>_xll.EQNXTDZ($A$1,$B92,BF$5,$B$1)</f>
        <v>292.13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2468.66</v>
      </c>
      <c r="E93" s="55">
        <f>_xll.EQNXTDZ($A$1,$B93,E$5,$B$1)</f>
        <v>0</v>
      </c>
      <c r="F93" s="55">
        <f>_xll.EQNXTDZ($A$1,$B93,F$5,$B$1)</f>
        <v>2803.11</v>
      </c>
      <c r="G93" s="55">
        <f>_xll.EQNXTDZ($A$1,$B93,G$5,$B$1)</f>
        <v>0</v>
      </c>
      <c r="H93" s="55">
        <f>_xll.EQNXTDZ($A$1,$B93,H$5,$B$1)</f>
        <v>2412.4499999999998</v>
      </c>
      <c r="I93" s="55">
        <f>_xll.EQNXTDZ($A$1,$B93,I$5,$B$1)</f>
        <v>0</v>
      </c>
      <c r="J93" s="55">
        <f>_xll.EQNXTDZ($A$1,$B93,J$5,$B$1)</f>
        <v>2784.98</v>
      </c>
      <c r="K93" s="55">
        <f>_xll.EQNXTDZ($A$1,$B93,K$5,$B$1)</f>
        <v>0</v>
      </c>
      <c r="L93" s="55">
        <f>_xll.EQNXTDZ($A$1,$B93,L$5,$B$1)</f>
        <v>2324.38</v>
      </c>
      <c r="M93" s="55">
        <f>_xll.EQNXTDZ($A$1,$B93,M$5,$B$1)</f>
        <v>0</v>
      </c>
      <c r="N93" s="55">
        <f>_xll.EQNXTDZ($A$1,$B93,N$5,$B$1)</f>
        <v>2635.5</v>
      </c>
      <c r="O93" s="55">
        <f>_xll.EQNXTDZ($A$1,$B93,O$5,$B$1)</f>
        <v>0</v>
      </c>
      <c r="P93" s="55">
        <f>_xll.EQNXTDZ($A$1,$B93,P$5,$B$1)</f>
        <v>2482.46</v>
      </c>
      <c r="Q93" s="55">
        <f>_xll.EQNXTDZ($A$1,$B93,Q$5,$B$1)</f>
        <v>0</v>
      </c>
      <c r="R93" s="55">
        <f>_xll.EQNXTDZ($A$1,$B93,R$5,$B$1)</f>
        <v>2949.63</v>
      </c>
      <c r="S93" s="55">
        <f>_xll.EQNXTDZ($A$1,$B93,S$5,$B$1)</f>
        <v>0</v>
      </c>
      <c r="T93" s="55">
        <f>_xll.EQNXTDZ($A$1,$B93,T$5,$B$1)</f>
        <v>2344.23</v>
      </c>
      <c r="U93" s="55">
        <f>_xll.EQNXTDZ($A$1,$B93,U$5,$B$1)</f>
        <v>0</v>
      </c>
      <c r="V93" s="55">
        <f>_xll.EQNXTDZ($A$1,$B93,V$5,$B$1)</f>
        <v>3042.07</v>
      </c>
      <c r="W93" s="55">
        <f>_xll.EQNXTDZ($A$1,$B93,W$5,$B$1)</f>
        <v>0</v>
      </c>
      <c r="X93" s="55">
        <f>_xll.EQNXTDZ($A$1,$B93,X$5,$B$1)</f>
        <v>2666.61</v>
      </c>
      <c r="Y93" s="55">
        <f>_xll.EQNXTDZ($A$1,$B93,Y$5,$B$1)</f>
        <v>0</v>
      </c>
      <c r="Z93" s="55">
        <f>_xll.EQNXTDZ($A$1,$B93,Z$5,$B$1)</f>
        <v>3271.17</v>
      </c>
      <c r="AA93" s="55">
        <f>_xll.EQNXTDZ($A$1,$B93,AA$5,$B$1)</f>
        <v>0</v>
      </c>
      <c r="AB93" s="55">
        <f>_xll.EQNXTDZ($A$1,$B93,AB$5,$B$1)</f>
        <v>3347.13</v>
      </c>
      <c r="AC93" s="55">
        <f>_xll.EQNXTDZ($A$1,$B93,AC$5,$B$1)</f>
        <v>0</v>
      </c>
      <c r="AD93" s="55">
        <f>_xll.EQNXTDZ($A$1,$B93,AD$5,$B$1)</f>
        <v>3285.29</v>
      </c>
      <c r="AE93" s="55">
        <f>_xll.EQNXTDZ($A$1,$B93,AE$5,$B$1)</f>
        <v>0</v>
      </c>
      <c r="AF93" s="55">
        <f>_xll.EQNXTDZ($A$1,$B93,AF$5,$B$1)</f>
        <v>2919.91</v>
      </c>
      <c r="AG93" s="55">
        <f>_xll.EQNXTDZ($A$1,$B93,AG$5,$B$1)</f>
        <v>0</v>
      </c>
      <c r="AH93" s="55">
        <f>_xll.EQNXTDZ($A$1,$B93,AH$5,$B$1)</f>
        <v>3713.81</v>
      </c>
      <c r="AI93" s="55">
        <f>_xll.EQNXTDZ($A$1,$B93,AI$5,$B$1)</f>
        <v>0</v>
      </c>
      <c r="AJ93" s="55">
        <f>_xll.EQNXTDZ($A$1,$B93,AJ$5,$B$1)</f>
        <v>2926.98</v>
      </c>
      <c r="AK93" s="55">
        <f>_xll.EQNXTDZ($A$1,$B93,AK$5,$B$1)</f>
        <v>0</v>
      </c>
      <c r="AL93" s="55">
        <f>_xll.EQNXTDZ($A$1,$B93,AL$5,$B$1)</f>
        <v>3504.09</v>
      </c>
      <c r="AM93" s="55">
        <f>_xll.EQNXTDZ($A$1,$B93,AM$5,$B$1)</f>
        <v>0</v>
      </c>
      <c r="AN93" s="55">
        <f>_xll.EQNXTDZ($A$1,$B93,AN$5,$B$1)</f>
        <v>2924.61</v>
      </c>
      <c r="AO93" s="55">
        <f>_xll.EQNXTDZ($A$1,$B93,AO$5,$B$1)</f>
        <v>0</v>
      </c>
      <c r="AP93" s="55">
        <f>_xll.EQNXTDZ($A$1,$B93,AP$5,$B$1)</f>
        <v>4055.91</v>
      </c>
      <c r="AQ93" s="55">
        <f>_xll.EQNXTDZ($A$1,$B93,AQ$5,$B$1)</f>
        <v>0</v>
      </c>
      <c r="AR93" s="55">
        <f>_xll.EQNXTDZ($A$1,$B93,AR$5,$B$1)</f>
        <v>3481.8</v>
      </c>
      <c r="AS93" s="55">
        <f>_xll.EQNXTDZ($A$1,$B93,AS$5,$B$1)</f>
        <v>0</v>
      </c>
      <c r="AT93" s="55">
        <f>_xll.EQNXTDZ($A$1,$B93,AT$5,$B$1)</f>
        <v>4619.54</v>
      </c>
      <c r="AU93" s="55">
        <f>_xll.EQNXTDZ($A$1,$B93,AU$5,$B$1)</f>
        <v>0</v>
      </c>
      <c r="AV93" s="55">
        <f>_xll.EQNXTDZ($A$1,$B93,AV$5,$B$1)</f>
        <v>4074.53</v>
      </c>
      <c r="AW93" s="55">
        <f>_xll.EQNXTDZ($A$1,$B93,AW$5,$B$1)</f>
        <v>0</v>
      </c>
      <c r="AX93" s="55">
        <f>_xll.EQNXTDZ($A$1,$B93,AX$5,$B$1)</f>
        <v>5756.38</v>
      </c>
      <c r="AY93" s="55">
        <f>_xll.EQNXTDZ($A$1,$B93,AY$5,$B$1)</f>
        <v>0</v>
      </c>
      <c r="AZ93" s="55">
        <f>_xll.EQNXTDZ($A$1,$B93,AZ$5,$B$1)</f>
        <v>4895.7299999999996</v>
      </c>
      <c r="BA93" s="55">
        <f>_xll.EQNXTDZ($A$1,$B93,BA$5,$B$1)</f>
        <v>0</v>
      </c>
      <c r="BB93" s="55">
        <f>_xll.EQNXTDZ($A$1,$B93,BB$5,$B$1)</f>
        <v>6005.5</v>
      </c>
      <c r="BC93" s="55">
        <f>_xll.EQNXTDZ($A$1,$B93,BC$5,$B$1)</f>
        <v>0</v>
      </c>
      <c r="BD93" s="55">
        <f>_xll.EQNXTDZ($A$1,$B93,BD$5,$B$1)</f>
        <v>5802.33</v>
      </c>
      <c r="BE93" s="55">
        <f>_xll.EQNXTDZ($A$1,$B93,BE$5,$B$1)</f>
        <v>0</v>
      </c>
      <c r="BF93" s="55">
        <f>_xll.EQNXTDZ($A$1,$B93,BF$5,$B$1)</f>
        <v>7554.03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1089.27</v>
      </c>
      <c r="E94" s="55">
        <f>_xll.EQNXTDZ($A$1,$B94,E$5,$B$1)</f>
        <v>0</v>
      </c>
      <c r="F94" s="55">
        <f>_xll.EQNXTDZ($A$1,$B94,F$5,$B$1)</f>
        <v>1065.71</v>
      </c>
      <c r="G94" s="55">
        <f>_xll.EQNXTDZ($A$1,$B94,G$5,$B$1)</f>
        <v>0</v>
      </c>
      <c r="H94" s="55">
        <f>_xll.EQNXTDZ($A$1,$B94,H$5,$B$1)</f>
        <v>1224.4100000000001</v>
      </c>
      <c r="I94" s="55">
        <f>_xll.EQNXTDZ($A$1,$B94,I$5,$B$1)</f>
        <v>0</v>
      </c>
      <c r="J94" s="55">
        <f>_xll.EQNXTDZ($A$1,$B94,J$5,$B$1)</f>
        <v>1229.5899999999999</v>
      </c>
      <c r="K94" s="55">
        <f>_xll.EQNXTDZ($A$1,$B94,K$5,$B$1)</f>
        <v>0</v>
      </c>
      <c r="L94" s="55">
        <f>_xll.EQNXTDZ($A$1,$B94,L$5,$B$1)</f>
        <v>1476.34</v>
      </c>
      <c r="M94" s="55">
        <f>_xll.EQNXTDZ($A$1,$B94,M$5,$B$1)</f>
        <v>0</v>
      </c>
      <c r="N94" s="55">
        <f>_xll.EQNXTDZ($A$1,$B94,N$5,$B$1)</f>
        <v>1101.3</v>
      </c>
      <c r="O94" s="55">
        <f>_xll.EQNXTDZ($A$1,$B94,O$5,$B$1)</f>
        <v>0</v>
      </c>
      <c r="P94" s="55">
        <f>_xll.EQNXTDZ($A$1,$B94,P$5,$B$1)</f>
        <v>1200.92</v>
      </c>
      <c r="Q94" s="55">
        <f>_xll.EQNXTDZ($A$1,$B94,Q$5,$B$1)</f>
        <v>0</v>
      </c>
      <c r="R94" s="55">
        <f>_xll.EQNXTDZ($A$1,$B94,R$5,$B$1)</f>
        <v>1175.96</v>
      </c>
      <c r="S94" s="55">
        <f>_xll.EQNXTDZ($A$1,$B94,S$5,$B$1)</f>
        <v>0</v>
      </c>
      <c r="T94" s="55">
        <f>_xll.EQNXTDZ($A$1,$B94,T$5,$B$1)</f>
        <v>800.61</v>
      </c>
      <c r="U94" s="55">
        <f>_xll.EQNXTDZ($A$1,$B94,U$5,$B$1)</f>
        <v>0</v>
      </c>
      <c r="V94" s="55">
        <f>_xll.EQNXTDZ($A$1,$B94,V$5,$B$1)</f>
        <v>947.49</v>
      </c>
      <c r="W94" s="55">
        <f>_xll.EQNXTDZ($A$1,$B94,W$5,$B$1)</f>
        <v>0</v>
      </c>
      <c r="X94" s="55">
        <f>_xll.EQNXTDZ($A$1,$B94,X$5,$B$1)</f>
        <v>763.14</v>
      </c>
      <c r="Y94" s="55">
        <f>_xll.EQNXTDZ($A$1,$B94,Y$5,$B$1)</f>
        <v>0</v>
      </c>
      <c r="Z94" s="55">
        <f>_xll.EQNXTDZ($A$1,$B94,Z$5,$B$1)</f>
        <v>1326.37</v>
      </c>
      <c r="AA94" s="55">
        <f>_xll.EQNXTDZ($A$1,$B94,AA$5,$B$1)</f>
        <v>0</v>
      </c>
      <c r="AB94" s="55">
        <f>_xll.EQNXTDZ($A$1,$B94,AB$5,$B$1)</f>
        <v>1126.29</v>
      </c>
      <c r="AC94" s="55">
        <f>_xll.EQNXTDZ($A$1,$B94,AC$5,$B$1)</f>
        <v>0</v>
      </c>
      <c r="AD94" s="55">
        <f>_xll.EQNXTDZ($A$1,$B94,AD$5,$B$1)</f>
        <v>2361.88</v>
      </c>
      <c r="AE94" s="55">
        <f>_xll.EQNXTDZ($A$1,$B94,AE$5,$B$1)</f>
        <v>0</v>
      </c>
      <c r="AF94" s="55">
        <f>_xll.EQNXTDZ($A$1,$B94,AF$5,$B$1)</f>
        <v>2493.61</v>
      </c>
      <c r="AG94" s="55">
        <f>_xll.EQNXTDZ($A$1,$B94,AG$5,$B$1)</f>
        <v>0</v>
      </c>
      <c r="AH94" s="55">
        <f>_xll.EQNXTDZ($A$1,$B94,AH$5,$B$1)</f>
        <v>1864.62</v>
      </c>
      <c r="AI94" s="55">
        <f>_xll.EQNXTDZ($A$1,$B94,AI$5,$B$1)</f>
        <v>0</v>
      </c>
      <c r="AJ94" s="55">
        <f>_xll.EQNXTDZ($A$1,$B94,AJ$5,$B$1)</f>
        <v>1840.29</v>
      </c>
      <c r="AK94" s="55">
        <f>_xll.EQNXTDZ($A$1,$B94,AK$5,$B$1)</f>
        <v>0</v>
      </c>
      <c r="AL94" s="55">
        <f>_xll.EQNXTDZ($A$1,$B94,AL$5,$B$1)</f>
        <v>1685.32</v>
      </c>
      <c r="AM94" s="55">
        <f>_xll.EQNXTDZ($A$1,$B94,AM$5,$B$1)</f>
        <v>0</v>
      </c>
      <c r="AN94" s="55">
        <f>_xll.EQNXTDZ($A$1,$B94,AN$5,$B$1)</f>
        <v>1842.81</v>
      </c>
      <c r="AO94" s="55">
        <f>_xll.EQNXTDZ($A$1,$B94,AO$5,$B$1)</f>
        <v>0</v>
      </c>
      <c r="AP94" s="55">
        <f>_xll.EQNXTDZ($A$1,$B94,AP$5,$B$1)</f>
        <v>1823.31</v>
      </c>
      <c r="AQ94" s="55">
        <f>_xll.EQNXTDZ($A$1,$B94,AQ$5,$B$1)</f>
        <v>0</v>
      </c>
      <c r="AR94" s="55">
        <f>_xll.EQNXTDZ($A$1,$B94,AR$5,$B$1)</f>
        <v>2511.67</v>
      </c>
      <c r="AS94" s="55">
        <f>_xll.EQNXTDZ($A$1,$B94,AS$5,$B$1)</f>
        <v>0</v>
      </c>
      <c r="AT94" s="55">
        <f>_xll.EQNXTDZ($A$1,$B94,AT$5,$B$1)</f>
        <v>1826.95</v>
      </c>
      <c r="AU94" s="55">
        <f>_xll.EQNXTDZ($A$1,$B94,AU$5,$B$1)</f>
        <v>0</v>
      </c>
      <c r="AV94" s="55">
        <f>_xll.EQNXTDZ($A$1,$B94,AV$5,$B$1)</f>
        <v>1872.36</v>
      </c>
      <c r="AW94" s="55">
        <f>_xll.EQNXTDZ($A$1,$B94,AW$5,$B$1)</f>
        <v>0</v>
      </c>
      <c r="AX94" s="55">
        <f>_xll.EQNXTDZ($A$1,$B94,AX$5,$B$1)</f>
        <v>1968.26</v>
      </c>
      <c r="AY94" s="55">
        <f>_xll.EQNXTDZ($A$1,$B94,AY$5,$B$1)</f>
        <v>0</v>
      </c>
      <c r="AZ94" s="55">
        <f>_xll.EQNXTDZ($A$1,$B94,AZ$5,$B$1)</f>
        <v>2252.1999999999998</v>
      </c>
      <c r="BA94" s="55">
        <f>_xll.EQNXTDZ($A$1,$B94,BA$5,$B$1)</f>
        <v>0</v>
      </c>
      <c r="BB94" s="55">
        <f>_xll.EQNXTDZ($A$1,$B94,BB$5,$B$1)</f>
        <v>2872.42</v>
      </c>
      <c r="BC94" s="55">
        <f>_xll.EQNXTDZ($A$1,$B94,BC$5,$B$1)</f>
        <v>0</v>
      </c>
      <c r="BD94" s="55">
        <f>_xll.EQNXTDZ($A$1,$B94,BD$5,$B$1)</f>
        <v>2740.2</v>
      </c>
      <c r="BE94" s="55">
        <f>_xll.EQNXTDZ($A$1,$B94,BE$5,$B$1)</f>
        <v>0</v>
      </c>
      <c r="BF94" s="55">
        <f>_xll.EQNXTDZ($A$1,$B94,BF$5,$B$1)</f>
        <v>2775.16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29.26</v>
      </c>
      <c r="E96" s="55">
        <f>_xll.EQNXTDZ($A$1,$B96,E$5,$B$1)</f>
        <v>0</v>
      </c>
      <c r="F96" s="55">
        <f>_xll.EQNXTDZ($A$1,$B96,F$5,$B$1)</f>
        <v>22.18</v>
      </c>
      <c r="G96" s="55">
        <f>_xll.EQNXTDZ($A$1,$B96,G$5,$B$1)</f>
        <v>0</v>
      </c>
      <c r="H96" s="55">
        <f>_xll.EQNXTDZ($A$1,$B96,H$5,$B$1)</f>
        <v>28.22</v>
      </c>
      <c r="I96" s="55">
        <f>_xll.EQNXTDZ($A$1,$B96,I$5,$B$1)</f>
        <v>0</v>
      </c>
      <c r="J96" s="55">
        <f>_xll.EQNXTDZ($A$1,$B96,J$5,$B$1)</f>
        <v>23.89</v>
      </c>
      <c r="K96" s="55">
        <f>_xll.EQNXTDZ($A$1,$B96,K$5,$B$1)</f>
        <v>0</v>
      </c>
      <c r="L96" s="55">
        <f>_xll.EQNXTDZ($A$1,$B96,L$5,$B$1)</f>
        <v>37.270000000000003</v>
      </c>
      <c r="M96" s="55">
        <f>_xll.EQNXTDZ($A$1,$B96,M$5,$B$1)</f>
        <v>0</v>
      </c>
      <c r="N96" s="55">
        <f>_xll.EQNXTDZ($A$1,$B96,N$5,$B$1)</f>
        <v>34.86</v>
      </c>
      <c r="O96" s="55">
        <f>_xll.EQNXTDZ($A$1,$B96,O$5,$B$1)</f>
        <v>0</v>
      </c>
      <c r="P96" s="55">
        <f>_xll.EQNXTDZ($A$1,$B96,P$5,$B$1)</f>
        <v>43.98</v>
      </c>
      <c r="Q96" s="55">
        <f>_xll.EQNXTDZ($A$1,$B96,Q$5,$B$1)</f>
        <v>0</v>
      </c>
      <c r="R96" s="55">
        <f>_xll.EQNXTDZ($A$1,$B96,R$5,$B$1)</f>
        <v>31.05</v>
      </c>
      <c r="S96" s="55">
        <f>_xll.EQNXTDZ($A$1,$B96,S$5,$B$1)</f>
        <v>0</v>
      </c>
      <c r="T96" s="55">
        <f>_xll.EQNXTDZ($A$1,$B96,T$5,$B$1)</f>
        <v>17.71</v>
      </c>
      <c r="U96" s="55">
        <f>_xll.EQNXTDZ($A$1,$B96,U$5,$B$1)</f>
        <v>0</v>
      </c>
      <c r="V96" s="55">
        <f>_xll.EQNXTDZ($A$1,$B96,V$5,$B$1)</f>
        <v>19.78</v>
      </c>
      <c r="W96" s="55">
        <f>_xll.EQNXTDZ($A$1,$B96,W$5,$B$1)</f>
        <v>0</v>
      </c>
      <c r="X96" s="55">
        <f>_xll.EQNXTDZ($A$1,$B96,X$5,$B$1)</f>
        <v>13.41</v>
      </c>
      <c r="Y96" s="55">
        <f>_xll.EQNXTDZ($A$1,$B96,Y$5,$B$1)</f>
        <v>0</v>
      </c>
      <c r="Z96" s="55">
        <f>_xll.EQNXTDZ($A$1,$B96,Z$5,$B$1)</f>
        <v>4.5999999999999996</v>
      </c>
      <c r="AA96" s="55">
        <f>_xll.EQNXTDZ($A$1,$B96,AA$5,$B$1)</f>
        <v>0</v>
      </c>
      <c r="AB96" s="55">
        <f>_xll.EQNXTDZ($A$1,$B96,AB$5,$B$1)</f>
        <v>54.63</v>
      </c>
      <c r="AC96" s="55">
        <f>_xll.EQNXTDZ($A$1,$B96,AC$5,$B$1)</f>
        <v>0</v>
      </c>
      <c r="AD96" s="55">
        <f>_xll.EQNXTDZ($A$1,$B96,AD$5,$B$1)</f>
        <v>99.3</v>
      </c>
      <c r="AE96" s="55">
        <f>_xll.EQNXTDZ($A$1,$B96,AE$5,$B$1)</f>
        <v>0</v>
      </c>
      <c r="AF96" s="55">
        <f>_xll.EQNXTDZ($A$1,$B96,AF$5,$B$1)</f>
        <v>56.92</v>
      </c>
      <c r="AG96" s="55">
        <f>_xll.EQNXTDZ($A$1,$B96,AG$5,$B$1)</f>
        <v>0</v>
      </c>
      <c r="AH96" s="55">
        <f>_xll.EQNXTDZ($A$1,$B96,AH$5,$B$1)</f>
        <v>71.45</v>
      </c>
      <c r="AI96" s="55">
        <f>_xll.EQNXTDZ($A$1,$B96,AI$5,$B$1)</f>
        <v>0</v>
      </c>
      <c r="AJ96" s="55">
        <f>_xll.EQNXTDZ($A$1,$B96,AJ$5,$B$1)</f>
        <v>63.67</v>
      </c>
      <c r="AK96" s="55">
        <f>_xll.EQNXTDZ($A$1,$B96,AK$5,$B$1)</f>
        <v>0</v>
      </c>
      <c r="AL96" s="55">
        <f>_xll.EQNXTDZ($A$1,$B96,AL$5,$B$1)</f>
        <v>55.77</v>
      </c>
      <c r="AM96" s="55">
        <f>_xll.EQNXTDZ($A$1,$B96,AM$5,$B$1)</f>
        <v>0</v>
      </c>
      <c r="AN96" s="55">
        <f>_xll.EQNXTDZ($A$1,$B96,AN$5,$B$1)</f>
        <v>55.29</v>
      </c>
      <c r="AO96" s="55">
        <f>_xll.EQNXTDZ($A$1,$B96,AO$5,$B$1)</f>
        <v>0</v>
      </c>
      <c r="AP96" s="55">
        <f>_xll.EQNXTDZ($A$1,$B96,AP$5,$B$1)</f>
        <v>31.65</v>
      </c>
      <c r="AQ96" s="55">
        <f>_xll.EQNXTDZ($A$1,$B96,AQ$5,$B$1)</f>
        <v>0</v>
      </c>
      <c r="AR96" s="55">
        <f>_xll.EQNXTDZ($A$1,$B96,AR$5,$B$1)</f>
        <v>34.5</v>
      </c>
      <c r="AS96" s="55">
        <f>_xll.EQNXTDZ($A$1,$B96,AS$5,$B$1)</f>
        <v>0</v>
      </c>
      <c r="AT96" s="55">
        <f>_xll.EQNXTDZ($A$1,$B96,AT$5,$B$1)</f>
        <v>30.28</v>
      </c>
      <c r="AU96" s="55">
        <f>_xll.EQNXTDZ($A$1,$B96,AU$5,$B$1)</f>
        <v>0</v>
      </c>
      <c r="AV96" s="55">
        <f>_xll.EQNXTDZ($A$1,$B96,AV$5,$B$1)</f>
        <v>-4.43</v>
      </c>
      <c r="AW96" s="55">
        <f>_xll.EQNXTDZ($A$1,$B96,AW$5,$B$1)</f>
        <v>0</v>
      </c>
      <c r="AX96" s="55">
        <f>_xll.EQNXTDZ($A$1,$B96,AX$5,$B$1)</f>
        <v>-17.59</v>
      </c>
      <c r="AY96" s="55">
        <f>_xll.EQNXTDZ($A$1,$B96,AY$5,$B$1)</f>
        <v>0</v>
      </c>
      <c r="AZ96" s="55">
        <f>_xll.EQNXTDZ($A$1,$B96,AZ$5,$B$1)</f>
        <v>-63.45</v>
      </c>
      <c r="BA96" s="55">
        <f>_xll.EQNXTDZ($A$1,$B96,BA$5,$B$1)</f>
        <v>0</v>
      </c>
      <c r="BB96" s="55">
        <f>_xll.EQNXTDZ($A$1,$B96,BB$5,$B$1)</f>
        <v>-13.95</v>
      </c>
      <c r="BC96" s="55">
        <f>_xll.EQNXTDZ($A$1,$B96,BC$5,$B$1)</f>
        <v>0</v>
      </c>
      <c r="BD96" s="55">
        <f>_xll.EQNXTDZ($A$1,$B96,BD$5,$B$1)</f>
        <v>-16.2</v>
      </c>
      <c r="BE96" s="55">
        <f>_xll.EQNXTDZ($A$1,$B96,BE$5,$B$1)</f>
        <v>0</v>
      </c>
      <c r="BF96" s="55">
        <f>_xll.EQNXTDZ($A$1,$B96,BF$5,$B$1)</f>
        <v>37.01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1746.21</v>
      </c>
      <c r="E97" s="55">
        <f>_xll.EQNXTDZ($A$1,$B97,E$5,$B$1)</f>
        <v>0</v>
      </c>
      <c r="F97" s="55">
        <f>_xll.EQNXTDZ($A$1,$B97,F$5,$B$1)</f>
        <v>1761.24</v>
      </c>
      <c r="G97" s="55">
        <f>_xll.EQNXTDZ($A$1,$B97,G$5,$B$1)</f>
        <v>0</v>
      </c>
      <c r="H97" s="55">
        <f>_xll.EQNXTDZ($A$1,$B97,H$5,$B$1)</f>
        <v>1882.05</v>
      </c>
      <c r="I97" s="55">
        <f>_xll.EQNXTDZ($A$1,$B97,I$5,$B$1)</f>
        <v>0</v>
      </c>
      <c r="J97" s="55">
        <f>_xll.EQNXTDZ($A$1,$B97,J$5,$B$1)</f>
        <v>1958.61</v>
      </c>
      <c r="K97" s="55">
        <f>_xll.EQNXTDZ($A$1,$B97,K$5,$B$1)</f>
        <v>0</v>
      </c>
      <c r="L97" s="55">
        <f>_xll.EQNXTDZ($A$1,$B97,L$5,$B$1)</f>
        <v>2137.36</v>
      </c>
      <c r="M97" s="55">
        <f>_xll.EQNXTDZ($A$1,$B97,M$5,$B$1)</f>
        <v>0</v>
      </c>
      <c r="N97" s="55">
        <f>_xll.EQNXTDZ($A$1,$B97,N$5,$B$1)</f>
        <v>2250.87</v>
      </c>
      <c r="O97" s="55">
        <f>_xll.EQNXTDZ($A$1,$B97,O$5,$B$1)</f>
        <v>0</v>
      </c>
      <c r="P97" s="55">
        <f>_xll.EQNXTDZ($A$1,$B97,P$5,$B$1)</f>
        <v>2434</v>
      </c>
      <c r="Q97" s="55">
        <f>_xll.EQNXTDZ($A$1,$B97,Q$5,$B$1)</f>
        <v>0</v>
      </c>
      <c r="R97" s="55">
        <f>_xll.EQNXTDZ($A$1,$B97,R$5,$B$1)</f>
        <v>2919.83</v>
      </c>
      <c r="S97" s="55">
        <f>_xll.EQNXTDZ($A$1,$B97,S$5,$B$1)</f>
        <v>0</v>
      </c>
      <c r="T97" s="55">
        <f>_xll.EQNXTDZ($A$1,$B97,T$5,$B$1)</f>
        <v>3208.85</v>
      </c>
      <c r="U97" s="55">
        <f>_xll.EQNXTDZ($A$1,$B97,U$5,$B$1)</f>
        <v>0</v>
      </c>
      <c r="V97" s="55">
        <f>_xll.EQNXTDZ($A$1,$B97,V$5,$B$1)</f>
        <v>3426.77</v>
      </c>
      <c r="W97" s="55">
        <f>_xll.EQNXTDZ($A$1,$B97,W$5,$B$1)</f>
        <v>0</v>
      </c>
      <c r="X97" s="55">
        <f>_xll.EQNXTDZ($A$1,$B97,X$5,$B$1)</f>
        <v>3660.4</v>
      </c>
      <c r="Y97" s="55">
        <f>_xll.EQNXTDZ($A$1,$B97,Y$5,$B$1)</f>
        <v>0</v>
      </c>
      <c r="Z97" s="55">
        <f>_xll.EQNXTDZ($A$1,$B97,Z$5,$B$1)</f>
        <v>4025.24</v>
      </c>
      <c r="AA97" s="55">
        <f>_xll.EQNXTDZ($A$1,$B97,AA$5,$B$1)</f>
        <v>0</v>
      </c>
      <c r="AB97" s="55">
        <f>_xll.EQNXTDZ($A$1,$B97,AB$5,$B$1)</f>
        <v>4020.05</v>
      </c>
      <c r="AC97" s="55">
        <f>_xll.EQNXTDZ($A$1,$B97,AC$5,$B$1)</f>
        <v>0</v>
      </c>
      <c r="AD97" s="55">
        <f>_xll.EQNXTDZ($A$1,$B97,AD$5,$B$1)</f>
        <v>4230.1000000000004</v>
      </c>
      <c r="AE97" s="55">
        <f>_xll.EQNXTDZ($A$1,$B97,AE$5,$B$1)</f>
        <v>0</v>
      </c>
      <c r="AF97" s="55">
        <f>_xll.EQNXTDZ($A$1,$B97,AF$5,$B$1)</f>
        <v>4237.6099999999997</v>
      </c>
      <c r="AG97" s="55">
        <f>_xll.EQNXTDZ($A$1,$B97,AG$5,$B$1)</f>
        <v>0</v>
      </c>
      <c r="AH97" s="55">
        <f>_xll.EQNXTDZ($A$1,$B97,AH$5,$B$1)</f>
        <v>4440.83</v>
      </c>
      <c r="AI97" s="55">
        <f>_xll.EQNXTDZ($A$1,$B97,AI$5,$B$1)</f>
        <v>0</v>
      </c>
      <c r="AJ97" s="55">
        <f>_xll.EQNXTDZ($A$1,$B97,AJ$5,$B$1)</f>
        <v>4547.88</v>
      </c>
      <c r="AK97" s="55">
        <f>_xll.EQNXTDZ($A$1,$B97,AK$5,$B$1)</f>
        <v>0</v>
      </c>
      <c r="AL97" s="55">
        <f>_xll.EQNXTDZ($A$1,$B97,AL$5,$B$1)</f>
        <v>5151.3900000000003</v>
      </c>
      <c r="AM97" s="55">
        <f>_xll.EQNXTDZ($A$1,$B97,AM$5,$B$1)</f>
        <v>0</v>
      </c>
      <c r="AN97" s="55">
        <f>_xll.EQNXTDZ($A$1,$B97,AN$5,$B$1)</f>
        <v>5295.89</v>
      </c>
      <c r="AO97" s="55">
        <f>_xll.EQNXTDZ($A$1,$B97,AO$5,$B$1)</f>
        <v>0</v>
      </c>
      <c r="AP97" s="55">
        <f>_xll.EQNXTDZ($A$1,$B97,AP$5,$B$1)</f>
        <v>5678.07</v>
      </c>
      <c r="AQ97" s="55">
        <f>_xll.EQNXTDZ($A$1,$B97,AQ$5,$B$1)</f>
        <v>0</v>
      </c>
      <c r="AR97" s="55">
        <f>_xll.EQNXTDZ($A$1,$B97,AR$5,$B$1)</f>
        <v>5775.45</v>
      </c>
      <c r="AS97" s="55">
        <f>_xll.EQNXTDZ($A$1,$B97,AS$5,$B$1)</f>
        <v>0</v>
      </c>
      <c r="AT97" s="55">
        <f>_xll.EQNXTDZ($A$1,$B97,AT$5,$B$1)</f>
        <v>5654.19</v>
      </c>
      <c r="AU97" s="55">
        <f>_xll.EQNXTDZ($A$1,$B97,AU$5,$B$1)</f>
        <v>0</v>
      </c>
      <c r="AV97" s="55">
        <f>_xll.EQNXTDZ($A$1,$B97,AV$5,$B$1)</f>
        <v>5893.4</v>
      </c>
      <c r="AW97" s="55">
        <f>_xll.EQNXTDZ($A$1,$B97,AW$5,$B$1)</f>
        <v>0</v>
      </c>
      <c r="AX97" s="55">
        <f>_xll.EQNXTDZ($A$1,$B97,AX$5,$B$1)</f>
        <v>6220.46</v>
      </c>
      <c r="AY97" s="55">
        <f>_xll.EQNXTDZ($A$1,$B97,AY$5,$B$1)</f>
        <v>0</v>
      </c>
      <c r="AZ97" s="55">
        <f>_xll.EQNXTDZ($A$1,$B97,AZ$5,$B$1)</f>
        <v>6839.63</v>
      </c>
      <c r="BA97" s="55">
        <f>_xll.EQNXTDZ($A$1,$B97,BA$5,$B$1)</f>
        <v>0</v>
      </c>
      <c r="BB97" s="55">
        <f>_xll.EQNXTDZ($A$1,$B97,BB$5,$B$1)</f>
        <v>7088.2</v>
      </c>
      <c r="BC97" s="55">
        <f>_xll.EQNXTDZ($A$1,$B97,BC$5,$B$1)</f>
        <v>0</v>
      </c>
      <c r="BD97" s="55">
        <f>_xll.EQNXTDZ($A$1,$B97,BD$5,$B$1)</f>
        <v>7006.81</v>
      </c>
      <c r="BE97" s="55">
        <f>_xll.EQNXTDZ($A$1,$B97,BE$5,$B$1)</f>
        <v>0</v>
      </c>
      <c r="BF97" s="55">
        <f>_xll.EQNXTDZ($A$1,$B97,BF$5,$B$1)</f>
        <v>6942.05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100575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Voltas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853.71659999999997</v>
      </c>
      <c r="D6" s="100">
        <f>_xll.EQNXTDZ($A$1,$B6,D$1,$B$1)</f>
        <v>956.76239999999996</v>
      </c>
      <c r="E6" s="100">
        <f>_xll.EQNXTDZ($A$1,$B6,E$1,$B$1)</f>
        <v>1342.1175000000001</v>
      </c>
      <c r="F6" s="100">
        <f>_xll.EQNXTDZ($A$1,$B6,F$1,$B$1)</f>
        <v>1437.5206000000001</v>
      </c>
      <c r="G6" s="100">
        <f>_xll.EQNXTDZ($A$1,$B6,G$1,$B$1)</f>
        <v>1550.7879</v>
      </c>
      <c r="H6" s="100">
        <f>_xll.EQNXTDZ($A$1,$B6,H$1,$B$1)</f>
        <v>2022.7089000000001</v>
      </c>
      <c r="I6" s="100">
        <f>_xll.EQNXTDZ($A$1,$B6,I$1,$B$1)</f>
        <v>2598.3009999999999</v>
      </c>
      <c r="J6" s="100">
        <f>_xll.EQNXTDZ($A$1,$B6,J$1,$B$1)</f>
        <v>3264.3878</v>
      </c>
      <c r="K6" s="100">
        <f>_xll.EQNXTDZ($A$1,$B6,K$1,$B$1)</f>
        <v>4373.9093999999996</v>
      </c>
      <c r="L6" s="100">
        <f>_xll.EQNXTDZ($A$1,$B6,L$1,$B$1)</f>
        <v>4781.8289000000004</v>
      </c>
      <c r="M6" s="100">
        <f>_xll.EQNXTDZ($A$1,$B6,M$1,$B$1)</f>
        <v>5225.9672</v>
      </c>
      <c r="N6" s="100">
        <f>_xll.EQNXTDZ($A$1,$B6,N$1,$B$1)</f>
        <v>5219.0048999999999</v>
      </c>
      <c r="O6" s="100">
        <f>_xll.EQNXTDZ($A$1,$B6,O$1,$B$1)</f>
        <v>5583.5321999999996</v>
      </c>
      <c r="P6" s="100">
        <f>_xll.EQNXTDZ($A$1,$B6,P$1,$B$1)</f>
        <v>5302.8548000000001</v>
      </c>
      <c r="Q6" s="100">
        <f>_xll.EQNXTDZ($A$1,$B6,Q$1,$B$1)</f>
        <v>5204.7966999999999</v>
      </c>
      <c r="R6" s="100">
        <f>_xll.EQNXTDZ($A$1,$B6,R$1,$B$1)</f>
        <v>5746.6529</v>
      </c>
      <c r="S6" s="100">
        <f>_xll.EQNXTDZ($A$1,$B6,S$1,$B$1)</f>
        <v>6095.02</v>
      </c>
      <c r="T6" s="100">
        <f>_xll.EQNXTDZ($A$1,$B6,T$1,$B$1)</f>
        <v>6427.87</v>
      </c>
      <c r="U6" s="100">
        <f>_xll.EQNXTDZ($A$1,$B6,U$1,$B$1)</f>
        <v>7124.07</v>
      </c>
      <c r="V6" s="100">
        <f>_xll.EQNXTDZ($A$1,$B6,V$1,$B$1)</f>
        <v>7658.08</v>
      </c>
      <c r="W6" s="100">
        <f>_xll.EQNXTDZ($A$1,$B6,W$1,$B$1)</f>
        <v>7555.78</v>
      </c>
      <c r="X6" s="100">
        <f>_xll.EQNXTDZ($A$1,$B6,X$1,$B$1)</f>
        <v>7934.45</v>
      </c>
      <c r="Y6" s="100">
        <f>_xll.EQNXTDZ($A$1,$B6,Y$1,$B$1)</f>
        <v>9498.77</v>
      </c>
      <c r="Z6" s="100">
        <f>_xll.EQNXTDZ($A$1,$B6,Z$1,$B$1)</f>
        <v>12481.21</v>
      </c>
      <c r="AA6" s="100">
        <f>_xll.EQNXTDZ($A$1,$B6,AA$1,$B$1)</f>
        <v>15412.79</v>
      </c>
      <c r="AB6" s="100">
        <f>_xll.EQNXTDZ($A$1,$B6,AB$1,$B$1)</f>
        <v>14244.5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89.163600000000002</v>
      </c>
      <c r="D9" s="100">
        <f>_xll.EQNXTDZ($A$1,$B9,D$1,$B$1)</f>
        <v>75.602000000000004</v>
      </c>
      <c r="E9" s="100">
        <f>_xll.EQNXTDZ($A$1,$B9,E$1,$B$1)</f>
        <v>86.575000000000003</v>
      </c>
      <c r="F9" s="100">
        <f>_xll.EQNXTDZ($A$1,$B9,F$1,$B$1)</f>
        <v>77.566999999999993</v>
      </c>
      <c r="G9" s="100">
        <f>_xll.EQNXTDZ($A$1,$B9,G$1,$B$1)</f>
        <v>73.720299999999995</v>
      </c>
      <c r="H9" s="100">
        <f>_xll.EQNXTDZ($A$1,$B9,H$1,$B$1)</f>
        <v>68.271699999999996</v>
      </c>
      <c r="I9" s="100">
        <f>_xll.EQNXTDZ($A$1,$B9,I$1,$B$1)</f>
        <v>71.563999999999993</v>
      </c>
      <c r="J9" s="100">
        <f>_xll.EQNXTDZ($A$1,$B9,J$1,$B$1)</f>
        <v>61.461100000000002</v>
      </c>
      <c r="K9" s="100">
        <f>_xll.EQNXTDZ($A$1,$B9,K$1,$B$1)</f>
        <v>48.011600000000001</v>
      </c>
      <c r="L9" s="100">
        <f>_xll.EQNXTDZ($A$1,$B9,L$1,$B$1)</f>
        <v>24.3614</v>
      </c>
      <c r="M9" s="100">
        <f>_xll.EQNXTDZ($A$1,$B9,M$1,$B$1)</f>
        <v>34.589199999999998</v>
      </c>
      <c r="N9" s="100">
        <f>_xll.EQNXTDZ($A$1,$B9,N$1,$B$1)</f>
        <v>33.268599999999999</v>
      </c>
      <c r="O9" s="100">
        <f>_xll.EQNXTDZ($A$1,$B9,O$1,$B$1)</f>
        <v>52.572099999999999</v>
      </c>
      <c r="P9" s="100">
        <f>_xll.EQNXTDZ($A$1,$B9,P$1,$B$1)</f>
        <v>36.809899999999999</v>
      </c>
      <c r="Q9" s="100">
        <f>_xll.EQNXTDZ($A$1,$B9,Q$1,$B$1)</f>
        <v>21.710100000000001</v>
      </c>
      <c r="R9" s="100">
        <f>_xll.EQNXTDZ($A$1,$B9,R$1,$B$1)</f>
        <v>26.847799999999999</v>
      </c>
      <c r="S9" s="100">
        <f>_xll.EQNXTDZ($A$1,$B9,S$1,$B$1)</f>
        <v>62.22</v>
      </c>
      <c r="T9" s="100">
        <f>_xll.EQNXTDZ($A$1,$B9,T$1,$B$1)</f>
        <v>23.49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764.553</v>
      </c>
      <c r="D10" s="100">
        <f>_xll.EQNXTDZ($A$1,$B10,D$1,$B$1)</f>
        <v>881.16039999999998</v>
      </c>
      <c r="E10" s="100">
        <f>_xll.EQNXTDZ($A$1,$B10,E$1,$B$1)</f>
        <v>1255.5425</v>
      </c>
      <c r="F10" s="100">
        <f>_xll.EQNXTDZ($A$1,$B10,F$1,$B$1)</f>
        <v>1359.9536000000001</v>
      </c>
      <c r="G10" s="100">
        <f>_xll.EQNXTDZ($A$1,$B10,G$1,$B$1)</f>
        <v>1477.0676000000001</v>
      </c>
      <c r="H10" s="100">
        <f>_xll.EQNXTDZ($A$1,$B10,H$1,$B$1)</f>
        <v>1954.4372000000001</v>
      </c>
      <c r="I10" s="100">
        <f>_xll.EQNXTDZ($A$1,$B10,I$1,$B$1)</f>
        <v>2526.7370000000001</v>
      </c>
      <c r="J10" s="100">
        <f>_xll.EQNXTDZ($A$1,$B10,J$1,$B$1)</f>
        <v>3202.9267</v>
      </c>
      <c r="K10" s="100">
        <f>_xll.EQNXTDZ($A$1,$B10,K$1,$B$1)</f>
        <v>4325.8977999999997</v>
      </c>
      <c r="L10" s="100">
        <f>_xll.EQNXTDZ($A$1,$B10,L$1,$B$1)</f>
        <v>4757.4674999999997</v>
      </c>
      <c r="M10" s="100">
        <f>_xll.EQNXTDZ($A$1,$B10,M$1,$B$1)</f>
        <v>5191.3779999999997</v>
      </c>
      <c r="N10" s="100">
        <f>_xll.EQNXTDZ($A$1,$B10,N$1,$B$1)</f>
        <v>5185.7362999999996</v>
      </c>
      <c r="O10" s="100">
        <f>_xll.EQNXTDZ($A$1,$B10,O$1,$B$1)</f>
        <v>5530.9601000000002</v>
      </c>
      <c r="P10" s="100">
        <f>_xll.EQNXTDZ($A$1,$B10,P$1,$B$1)</f>
        <v>5266.0448999999999</v>
      </c>
      <c r="Q10" s="100">
        <f>_xll.EQNXTDZ($A$1,$B10,Q$1,$B$1)</f>
        <v>5183.0865999999996</v>
      </c>
      <c r="R10" s="100">
        <f>_xll.EQNXTDZ($A$1,$B10,R$1,$B$1)</f>
        <v>5719.8050999999996</v>
      </c>
      <c r="S10" s="100">
        <f>_xll.EQNXTDZ($A$1,$B10,S$1,$B$1)</f>
        <v>6032.8</v>
      </c>
      <c r="T10" s="100">
        <f>_xll.EQNXTDZ($A$1,$B10,T$1,$B$1)</f>
        <v>6404.38</v>
      </c>
      <c r="U10" s="100">
        <f>_xll.EQNXTDZ($A$1,$B10,U$1,$B$1)</f>
        <v>7124.07</v>
      </c>
      <c r="V10" s="100">
        <f>_xll.EQNXTDZ($A$1,$B10,V$1,$B$1)</f>
        <v>7658.08</v>
      </c>
      <c r="W10" s="100">
        <f>_xll.EQNXTDZ($A$1,$B10,W$1,$B$1)</f>
        <v>7555.78</v>
      </c>
      <c r="X10" s="100">
        <f>_xll.EQNXTDZ($A$1,$B10,X$1,$B$1)</f>
        <v>7934.45</v>
      </c>
      <c r="Y10" s="100">
        <f>_xll.EQNXTDZ($A$1,$B10,Y$1,$B$1)</f>
        <v>9498.77</v>
      </c>
      <c r="Z10" s="100">
        <f>_xll.EQNXTDZ($A$1,$B10,Z$1,$B$1)</f>
        <v>12481.21</v>
      </c>
      <c r="AA10" s="100">
        <f>_xll.EQNXTDZ($A$1,$B10,AA$1,$B$1)</f>
        <v>15412.79</v>
      </c>
      <c r="AB10" s="100">
        <f>_xll.EQNXTDZ($A$1,$B10,AB$1,$B$1)</f>
        <v>14244.5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29.475999999999999</v>
      </c>
      <c r="D11" s="100">
        <f>_xll.EQNXTDZ($A$1,$B11,D$1,$B$1)</f>
        <v>65.887500000000003</v>
      </c>
      <c r="E11" s="100">
        <f>_xll.EQNXTDZ($A$1,$B11,E$1,$B$1)</f>
        <v>40.003799999999998</v>
      </c>
      <c r="F11" s="100">
        <f>_xll.EQNXTDZ($A$1,$B11,F$1,$B$1)</f>
        <v>10.4407</v>
      </c>
      <c r="G11" s="100">
        <f>_xll.EQNXTDZ($A$1,$B11,G$1,$B$1)</f>
        <v>-346.5813</v>
      </c>
      <c r="H11" s="100">
        <f>_xll.EQNXTDZ($A$1,$B11,H$1,$B$1)</f>
        <v>-608.10940000000005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-173.8426</v>
      </c>
      <c r="L11" s="100">
        <f>_xll.EQNXTDZ($A$1,$B11,L$1,$B$1)</f>
        <v>-69.358500000000006</v>
      </c>
      <c r="M11" s="100">
        <f>_xll.EQNXTDZ($A$1,$B11,M$1,$B$1)</f>
        <v>-122.76739999999999</v>
      </c>
      <c r="N11" s="100">
        <f>_xll.EQNXTDZ($A$1,$B11,N$1,$B$1)</f>
        <v>-14.199400000000001</v>
      </c>
      <c r="O11" s="100">
        <f>_xll.EQNXTDZ($A$1,$B11,O$1,$B$1)</f>
        <v>-136.21809999999999</v>
      </c>
      <c r="P11" s="100">
        <f>_xll.EQNXTDZ($A$1,$B11,P$1,$B$1)</f>
        <v>117.9462</v>
      </c>
      <c r="Q11" s="100">
        <f>_xll.EQNXTDZ($A$1,$B11,Q$1,$B$1)</f>
        <v>16.6616</v>
      </c>
      <c r="R11" s="100">
        <f>_xll.EQNXTDZ($A$1,$B11,R$1,$B$1)</f>
        <v>59.298699999999997</v>
      </c>
      <c r="S11" s="100">
        <f>_xll.EQNXTDZ($A$1,$B11,S$1,$B$1)</f>
        <v>-190.25</v>
      </c>
      <c r="T11" s="100">
        <f>_xll.EQNXTDZ($A$1,$B11,T$1,$B$1)</f>
        <v>105.41</v>
      </c>
      <c r="U11" s="100">
        <f>_xll.EQNXTDZ($A$1,$B11,U$1,$B$1)</f>
        <v>-279.55</v>
      </c>
      <c r="V11" s="100">
        <f>_xll.EQNXTDZ($A$1,$B11,V$1,$B$1)</f>
        <v>-302.29000000000002</v>
      </c>
      <c r="W11" s="100">
        <f>_xll.EQNXTDZ($A$1,$B11,W$1,$B$1)</f>
        <v>279.3</v>
      </c>
      <c r="X11" s="100">
        <f>_xll.EQNXTDZ($A$1,$B11,X$1,$B$1)</f>
        <v>-178.25</v>
      </c>
      <c r="Y11" s="100">
        <f>_xll.EQNXTDZ($A$1,$B11,Y$1,$B$1)</f>
        <v>273.56</v>
      </c>
      <c r="Z11" s="100">
        <f>_xll.EQNXTDZ($A$1,$B11,Z$1,$B$1)</f>
        <v>-391.15</v>
      </c>
      <c r="AA11" s="100">
        <f>_xll.EQNXTDZ($A$1,$B11,AA$1,$B$1)</f>
        <v>-182.54</v>
      </c>
      <c r="AB11" s="100">
        <f>_xll.EQNXTDZ($A$1,$B11,AB$1,$B$1)</f>
        <v>-269.75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632.75</v>
      </c>
      <c r="D12" s="100">
        <f>_xll.EQNXTDZ($A$1,$B12,D$1,$B$1)</f>
        <v>612.74760000000003</v>
      </c>
      <c r="E12" s="100">
        <f>_xll.EQNXTDZ($A$1,$B12,E$1,$B$1)</f>
        <v>974.49279999999999</v>
      </c>
      <c r="F12" s="100">
        <f>_xll.EQNXTDZ($A$1,$B12,F$1,$B$1)</f>
        <v>991.79070000000002</v>
      </c>
      <c r="G12" s="100">
        <f>_xll.EQNXTDZ($A$1,$B12,G$1,$B$1)</f>
        <v>1434.6836000000001</v>
      </c>
      <c r="H12" s="100">
        <f>_xll.EQNXTDZ($A$1,$B12,H$1,$B$1)</f>
        <v>2065.1993000000002</v>
      </c>
      <c r="I12" s="100">
        <f>_xll.EQNXTDZ($A$1,$B12,I$1,$B$1)</f>
        <v>1878.1578999999999</v>
      </c>
      <c r="J12" s="100">
        <f>_xll.EQNXTDZ($A$1,$B12,J$1,$B$1)</f>
        <v>2338.4081999999999</v>
      </c>
      <c r="K12" s="100">
        <f>_xll.EQNXTDZ($A$1,$B12,K$1,$B$1)</f>
        <v>3342.373</v>
      </c>
      <c r="L12" s="100">
        <f>_xll.EQNXTDZ($A$1,$B12,L$1,$B$1)</f>
        <v>3347.1723999999999</v>
      </c>
      <c r="M12" s="100">
        <f>_xll.EQNXTDZ($A$1,$B12,M$1,$B$1)</f>
        <v>3803.5349000000001</v>
      </c>
      <c r="N12" s="100">
        <f>_xll.EQNXTDZ($A$1,$B12,N$1,$B$1)</f>
        <v>3794.1588000000002</v>
      </c>
      <c r="O12" s="100">
        <f>_xll.EQNXTDZ($A$1,$B12,O$1,$B$1)</f>
        <v>4303.2426999999998</v>
      </c>
      <c r="P12" s="100">
        <f>_xll.EQNXTDZ($A$1,$B12,P$1,$B$1)</f>
        <v>3736.3119000000002</v>
      </c>
      <c r="Q12" s="100">
        <f>_xll.EQNXTDZ($A$1,$B12,Q$1,$B$1)</f>
        <v>3580.7847999999999</v>
      </c>
      <c r="R12" s="100">
        <f>_xll.EQNXTDZ($A$1,$B12,R$1,$B$1)</f>
        <v>4027.8453</v>
      </c>
      <c r="S12" s="100">
        <f>_xll.EQNXTDZ($A$1,$B12,S$1,$B$1)</f>
        <v>4426.1400000000003</v>
      </c>
      <c r="T12" s="100">
        <f>_xll.EQNXTDZ($A$1,$B12,T$1,$B$1)</f>
        <v>4462.1099999999997</v>
      </c>
      <c r="U12" s="100">
        <f>_xll.EQNXTDZ($A$1,$B12,U$1,$B$1)</f>
        <v>5541.78</v>
      </c>
      <c r="V12" s="100">
        <f>_xll.EQNXTDZ($A$1,$B12,V$1,$B$1)</f>
        <v>5857.23</v>
      </c>
      <c r="W12" s="100">
        <f>_xll.EQNXTDZ($A$1,$B12,W$1,$B$1)</f>
        <v>5299.16</v>
      </c>
      <c r="X12" s="100">
        <f>_xll.EQNXTDZ($A$1,$B12,X$1,$B$1)</f>
        <v>6074.91</v>
      </c>
      <c r="Y12" s="100">
        <f>_xll.EQNXTDZ($A$1,$B12,Y$1,$B$1)</f>
        <v>7104.62</v>
      </c>
      <c r="Z12" s="100">
        <f>_xll.EQNXTDZ($A$1,$B12,Z$1,$B$1)</f>
        <v>10205.19</v>
      </c>
      <c r="AA12" s="100">
        <f>_xll.EQNXTDZ($A$1,$B12,AA$1,$B$1)</f>
        <v>12142.93</v>
      </c>
      <c r="AB12" s="100">
        <f>_xll.EQNXTDZ($A$1,$B12,AB$1,$B$1)</f>
        <v>11339.53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6.6359000000000004</v>
      </c>
      <c r="D13" s="100">
        <f>_xll.EQNXTDZ($A$1,$B13,D$1,$B$1)</f>
        <v>5.8440000000000003</v>
      </c>
      <c r="E13" s="100">
        <f>_xll.EQNXTDZ($A$1,$B13,E$1,$B$1)</f>
        <v>5.1779000000000002</v>
      </c>
      <c r="F13" s="100">
        <f>_xll.EQNXTDZ($A$1,$B13,F$1,$B$1)</f>
        <v>4.9363999999999999</v>
      </c>
      <c r="G13" s="100">
        <f>_xll.EQNXTDZ($A$1,$B13,G$1,$B$1)</f>
        <v>4.3907999999999996</v>
      </c>
      <c r="H13" s="100">
        <f>_xll.EQNXTDZ($A$1,$B13,H$1,$B$1)</f>
        <v>4.1447000000000003</v>
      </c>
      <c r="I13" s="100">
        <f>_xll.EQNXTDZ($A$1,$B13,I$1,$B$1)</f>
        <v>4.258</v>
      </c>
      <c r="J13" s="100">
        <f>_xll.EQNXTDZ($A$1,$B13,J$1,$B$1)</f>
        <v>4.0643000000000002</v>
      </c>
      <c r="K13" s="100">
        <f>_xll.EQNXTDZ($A$1,$B13,K$1,$B$1)</f>
        <v>3.7930999999999999</v>
      </c>
      <c r="L13" s="100">
        <f>_xll.EQNXTDZ($A$1,$B13,L$1,$B$1)</f>
        <v>3.5769000000000002</v>
      </c>
      <c r="M13" s="100">
        <f>_xll.EQNXTDZ($A$1,$B13,M$1,$B$1)</f>
        <v>4.3343999999999996</v>
      </c>
      <c r="N13" s="100">
        <f>_xll.EQNXTDZ($A$1,$B13,N$1,$B$1)</f>
        <v>4.5308000000000002</v>
      </c>
      <c r="O13" s="100">
        <f>_xll.EQNXTDZ($A$1,$B13,O$1,$B$1)</f>
        <v>5.3045</v>
      </c>
      <c r="P13" s="100">
        <f>_xll.EQNXTDZ($A$1,$B13,P$1,$B$1)</f>
        <v>6.6555</v>
      </c>
      <c r="Q13" s="100">
        <f>_xll.EQNXTDZ($A$1,$B13,Q$1,$B$1)</f>
        <v>5.7808000000000002</v>
      </c>
      <c r="R13" s="100">
        <f>_xll.EQNXTDZ($A$1,$B13,R$1,$B$1)</f>
        <v>7.4550999999999998</v>
      </c>
      <c r="S13" s="100">
        <f>_xll.EQNXTDZ($A$1,$B13,S$1,$B$1)</f>
        <v>14.51</v>
      </c>
      <c r="T13" s="100">
        <f>_xll.EQNXTDZ($A$1,$B13,T$1,$B$1)</f>
        <v>10.39</v>
      </c>
      <c r="U13" s="100">
        <f>_xll.EQNXTDZ($A$1,$B13,U$1,$B$1)</f>
        <v>11.22</v>
      </c>
      <c r="V13" s="100">
        <f>_xll.EQNXTDZ($A$1,$B13,V$1,$B$1)</f>
        <v>12.79</v>
      </c>
      <c r="W13" s="100">
        <f>_xll.EQNXTDZ($A$1,$B13,W$1,$B$1)</f>
        <v>9.69</v>
      </c>
      <c r="X13" s="100">
        <f>_xll.EQNXTDZ($A$1,$B13,X$1,$B$1)</f>
        <v>11.95</v>
      </c>
      <c r="Y13" s="100">
        <f>_xll.EQNXTDZ($A$1,$B13,Y$1,$B$1)</f>
        <v>15.16</v>
      </c>
      <c r="Z13" s="100">
        <f>_xll.EQNXTDZ($A$1,$B13,Z$1,$B$1)</f>
        <v>17.28</v>
      </c>
      <c r="AA13" s="100">
        <f>_xll.EQNXTDZ($A$1,$B13,AA$1,$B$1)</f>
        <v>25.61</v>
      </c>
      <c r="AB13" s="100">
        <f>_xll.EQNXTDZ($A$1,$B13,AB$1,$B$1)</f>
        <v>30.29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100.30370000000001</v>
      </c>
      <c r="D14" s="100">
        <f>_xll.EQNXTDZ($A$1,$B14,D$1,$B$1)</f>
        <v>110.80110000000001</v>
      </c>
      <c r="E14" s="100">
        <f>_xll.EQNXTDZ($A$1,$B14,E$1,$B$1)</f>
        <v>134.5882</v>
      </c>
      <c r="F14" s="100">
        <f>_xll.EQNXTDZ($A$1,$B14,F$1,$B$1)</f>
        <v>135.19710000000001</v>
      </c>
      <c r="G14" s="100">
        <f>_xll.EQNXTDZ($A$1,$B14,G$1,$B$1)</f>
        <v>153.69579999999999</v>
      </c>
      <c r="H14" s="100">
        <f>_xll.EQNXTDZ($A$1,$B14,H$1,$B$1)</f>
        <v>190.96960000000001</v>
      </c>
      <c r="I14" s="100">
        <f>_xll.EQNXTDZ($A$1,$B14,I$1,$B$1)</f>
        <v>258.63369999999998</v>
      </c>
      <c r="J14" s="100">
        <f>_xll.EQNXTDZ($A$1,$B14,J$1,$B$1)</f>
        <v>297.68329999999997</v>
      </c>
      <c r="K14" s="100">
        <f>_xll.EQNXTDZ($A$1,$B14,K$1,$B$1)</f>
        <v>463.77600000000001</v>
      </c>
      <c r="L14" s="100">
        <f>_xll.EQNXTDZ($A$1,$B14,L$1,$B$1)</f>
        <v>542.57719999999995</v>
      </c>
      <c r="M14" s="100">
        <f>_xll.EQNXTDZ($A$1,$B14,M$1,$B$1)</f>
        <v>556.2577</v>
      </c>
      <c r="N14" s="100">
        <f>_xll.EQNXTDZ($A$1,$B14,N$1,$B$1)</f>
        <v>599.52080000000001</v>
      </c>
      <c r="O14" s="100">
        <f>_xll.EQNXTDZ($A$1,$B14,O$1,$B$1)</f>
        <v>632.53160000000003</v>
      </c>
      <c r="P14" s="100">
        <f>_xll.EQNXTDZ($A$1,$B14,P$1,$B$1)</f>
        <v>594.68719999999996</v>
      </c>
      <c r="Q14" s="100">
        <f>_xll.EQNXTDZ($A$1,$B14,Q$1,$B$1)</f>
        <v>589.91560000000004</v>
      </c>
      <c r="R14" s="100">
        <f>_xll.EQNXTDZ($A$1,$B14,R$1,$B$1)</f>
        <v>635.13620000000003</v>
      </c>
      <c r="S14" s="100">
        <f>_xll.EQNXTDZ($A$1,$B14,S$1,$B$1)</f>
        <v>618.42999999999995</v>
      </c>
      <c r="T14" s="100">
        <f>_xll.EQNXTDZ($A$1,$B14,T$1,$B$1)</f>
        <v>586.73</v>
      </c>
      <c r="U14" s="100">
        <f>_xll.EQNXTDZ($A$1,$B14,U$1,$B$1)</f>
        <v>641.86</v>
      </c>
      <c r="V14" s="100">
        <f>_xll.EQNXTDZ($A$1,$B14,V$1,$B$1)</f>
        <v>671.72</v>
      </c>
      <c r="W14" s="100">
        <f>_xll.EQNXTDZ($A$1,$B14,W$1,$B$1)</f>
        <v>601.67999999999995</v>
      </c>
      <c r="X14" s="100">
        <f>_xll.EQNXTDZ($A$1,$B14,X$1,$B$1)</f>
        <v>617.62</v>
      </c>
      <c r="Y14" s="100">
        <f>_xll.EQNXTDZ($A$1,$B14,Y$1,$B$1)</f>
        <v>667.21</v>
      </c>
      <c r="Z14" s="100">
        <f>_xll.EQNXTDZ($A$1,$B14,Z$1,$B$1)</f>
        <v>778.76</v>
      </c>
      <c r="AA14" s="100">
        <f>_xll.EQNXTDZ($A$1,$B14,AA$1,$B$1)</f>
        <v>890.07</v>
      </c>
      <c r="AB14" s="100">
        <f>_xll.EQNXTDZ($A$1,$B14,AB$1,$B$1)</f>
        <v>938.59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7.5552999999999999</v>
      </c>
      <c r="D15" s="100">
        <f>_xll.EQNXTDZ($A$1,$B15,D$1,$B$1)</f>
        <v>8.8409999999999993</v>
      </c>
      <c r="E15" s="100">
        <f>_xll.EQNXTDZ($A$1,$B15,E$1,$B$1)</f>
        <v>7.32</v>
      </c>
      <c r="F15" s="100">
        <f>_xll.EQNXTDZ($A$1,$B15,F$1,$B$1)</f>
        <v>7.5075000000000003</v>
      </c>
      <c r="G15" s="100">
        <f>_xll.EQNXTDZ($A$1,$B15,G$1,$B$1)</f>
        <v>6.7282000000000002</v>
      </c>
      <c r="H15" s="100">
        <f>_xll.EQNXTDZ($A$1,$B15,H$1,$B$1)</f>
        <v>7.0118</v>
      </c>
      <c r="I15" s="100">
        <f>_xll.EQNXTDZ($A$1,$B15,I$1,$B$1)</f>
        <v>10.0716</v>
      </c>
      <c r="J15" s="100">
        <f>_xll.EQNXTDZ($A$1,$B15,J$1,$B$1)</f>
        <v>12.8489</v>
      </c>
      <c r="K15" s="100">
        <f>_xll.EQNXTDZ($A$1,$B15,K$1,$B$1)</f>
        <v>15.150499999999999</v>
      </c>
      <c r="L15" s="100">
        <f>_xll.EQNXTDZ($A$1,$B15,L$1,$B$1)</f>
        <v>13.922499999999999</v>
      </c>
      <c r="M15" s="100">
        <f>_xll.EQNXTDZ($A$1,$B15,M$1,$B$1)</f>
        <v>14.1816</v>
      </c>
      <c r="N15" s="100">
        <f>_xll.EQNXTDZ($A$1,$B15,N$1,$B$1)</f>
        <v>13.3729</v>
      </c>
      <c r="O15" s="100">
        <f>_xll.EQNXTDZ($A$1,$B15,O$1,$B$1)</f>
        <v>12.4313</v>
      </c>
      <c r="P15" s="100">
        <f>_xll.EQNXTDZ($A$1,$B15,P$1,$B$1)</f>
        <v>12.8856</v>
      </c>
      <c r="Q15" s="100">
        <f>_xll.EQNXTDZ($A$1,$B15,Q$1,$B$1)</f>
        <v>13.8933</v>
      </c>
      <c r="R15" s="100">
        <f>_xll.EQNXTDZ($A$1,$B15,R$1,$B$1)</f>
        <v>15.708299999999999</v>
      </c>
      <c r="S15" s="100">
        <f>_xll.EQNXTDZ($A$1,$B15,S$1,$B$1)</f>
        <v>15.55</v>
      </c>
      <c r="T15" s="100">
        <f>_xll.EQNXTDZ($A$1,$B15,T$1,$B$1)</f>
        <v>13.71</v>
      </c>
      <c r="U15" s="100">
        <f>_xll.EQNXTDZ($A$1,$B15,U$1,$B$1)</f>
        <v>14.33</v>
      </c>
      <c r="V15" s="100">
        <f>_xll.EQNXTDZ($A$1,$B15,V$1,$B$1)</f>
        <v>17.07</v>
      </c>
      <c r="W15" s="100">
        <f>_xll.EQNXTDZ($A$1,$B15,W$1,$B$1)</f>
        <v>16.2</v>
      </c>
      <c r="X15" s="100">
        <f>_xll.EQNXTDZ($A$1,$B15,X$1,$B$1)</f>
        <v>17.72</v>
      </c>
      <c r="Y15" s="100">
        <f>_xll.EQNXTDZ($A$1,$B15,Y$1,$B$1)</f>
        <v>36.6</v>
      </c>
      <c r="Z15" s="100">
        <f>_xll.EQNXTDZ($A$1,$B15,Z$1,$B$1)</f>
        <v>51.66</v>
      </c>
      <c r="AA15" s="100">
        <f>_xll.EQNXTDZ($A$1,$B15,AA$1,$B$1)</f>
        <v>80</v>
      </c>
      <c r="AB15" s="100">
        <f>_xll.EQNXTDZ($A$1,$B15,AB$1,$B$1)</f>
        <v>117.42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-68.081999999999994</v>
      </c>
      <c r="D17" s="100">
        <f>_xll.EQNXTDZ($A$1,$B17,D$1,$B$1)</f>
        <v>19.881599999999999</v>
      </c>
      <c r="E17" s="100">
        <f>_xll.EQNXTDZ($A$1,$B17,E$1,$B$1)</f>
        <v>12.0623</v>
      </c>
      <c r="F17" s="100">
        <f>_xll.EQNXTDZ($A$1,$B17,F$1,$B$1)</f>
        <v>115.50020000000001</v>
      </c>
      <c r="G17" s="100">
        <f>_xll.EQNXTDZ($A$1,$B17,G$1,$B$1)</f>
        <v>122.9156</v>
      </c>
      <c r="H17" s="100">
        <f>_xll.EQNXTDZ($A$1,$B17,H$1,$B$1)</f>
        <v>138.06290000000001</v>
      </c>
      <c r="I17" s="100">
        <f>_xll.EQNXTDZ($A$1,$B17,I$1,$B$1)</f>
        <v>184.709</v>
      </c>
      <c r="J17" s="100">
        <f>_xll.EQNXTDZ($A$1,$B17,J$1,$B$1)</f>
        <v>209.07650000000001</v>
      </c>
      <c r="K17" s="100">
        <f>_xll.EQNXTDZ($A$1,$B17,K$1,$B$1)</f>
        <v>300.32639999999998</v>
      </c>
      <c r="L17" s="100">
        <f>_xll.EQNXTDZ($A$1,$B17,L$1,$B$1)</f>
        <v>317.63</v>
      </c>
      <c r="M17" s="100">
        <f>_xll.EQNXTDZ($A$1,$B17,M$1,$B$1)</f>
        <v>363.80349999999999</v>
      </c>
      <c r="N17" s="100">
        <f>_xll.EQNXTDZ($A$1,$B17,N$1,$B$1)</f>
        <v>356.42349999999999</v>
      </c>
      <c r="O17" s="100">
        <f>_xll.EQNXTDZ($A$1,$B17,O$1,$B$1)</f>
        <v>369.63069999999999</v>
      </c>
      <c r="P17" s="100">
        <f>_xll.EQNXTDZ($A$1,$B17,P$1,$B$1)</f>
        <v>389.91449999999998</v>
      </c>
      <c r="Q17" s="100">
        <f>_xll.EQNXTDZ($A$1,$B17,Q$1,$B$1)</f>
        <v>415.60430000000002</v>
      </c>
      <c r="R17" s="100">
        <f>_xll.EQNXTDZ($A$1,$B17,R$1,$B$1)</f>
        <v>347.08330000000001</v>
      </c>
      <c r="S17" s="100">
        <f>_xll.EQNXTDZ($A$1,$B17,S$1,$B$1)</f>
        <v>217.21</v>
      </c>
      <c r="T17" s="100">
        <f>_xll.EQNXTDZ($A$1,$B17,T$1,$B$1)</f>
        <v>251.23</v>
      </c>
      <c r="U17" s="100">
        <f>_xll.EQNXTDZ($A$1,$B17,U$1,$B$1)</f>
        <v>253.34</v>
      </c>
      <c r="V17" s="100">
        <f>_xll.EQNXTDZ($A$1,$B17,V$1,$B$1)</f>
        <v>259.39</v>
      </c>
      <c r="W17" s="100">
        <f>_xll.EQNXTDZ($A$1,$B17,W$1,$B$1)</f>
        <v>256.41000000000003</v>
      </c>
      <c r="X17" s="100">
        <f>_xll.EQNXTDZ($A$1,$B17,X$1,$B$1)</f>
        <v>245.32</v>
      </c>
      <c r="Y17" s="100">
        <f>_xll.EQNXTDZ($A$1,$B17,Y$1,$B$1)</f>
        <v>302.81</v>
      </c>
      <c r="Z17" s="100">
        <f>_xll.EQNXTDZ($A$1,$B17,Z$1,$B$1)</f>
        <v>431.82</v>
      </c>
      <c r="AA17" s="100">
        <f>_xll.EQNXTDZ($A$1,$B17,AA$1,$B$1)</f>
        <v>571.16999999999996</v>
      </c>
      <c r="AB17" s="100">
        <f>_xll.EQNXTDZ($A$1,$B17,AB$1,$B$1)</f>
        <v>674.14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21.430199999999999</v>
      </c>
      <c r="D18" s="100">
        <f>_xll.EQNXTDZ($A$1,$B18,D$1,$B$1)</f>
        <v>25.227599999999999</v>
      </c>
      <c r="E18" s="100">
        <f>_xll.EQNXTDZ($A$1,$B18,E$1,$B$1)</f>
        <v>36.891399999999997</v>
      </c>
      <c r="F18" s="100">
        <f>_xll.EQNXTDZ($A$1,$B18,F$1,$B$1)</f>
        <v>35.8005</v>
      </c>
      <c r="G18" s="100">
        <f>_xll.EQNXTDZ($A$1,$B18,G$1,$B$1)</f>
        <v>33.265999999999998</v>
      </c>
      <c r="H18" s="100">
        <f>_xll.EQNXTDZ($A$1,$B18,H$1,$B$1)</f>
        <v>37.953800000000001</v>
      </c>
      <c r="I18" s="100">
        <f>_xll.EQNXTDZ($A$1,$B18,I$1,$B$1)</f>
        <v>46.844000000000001</v>
      </c>
      <c r="J18" s="100">
        <f>_xll.EQNXTDZ($A$1,$B18,J$1,$B$1)</f>
        <v>75.739400000000003</v>
      </c>
      <c r="K18" s="100">
        <f>_xll.EQNXTDZ($A$1,$B18,K$1,$B$1)</f>
        <v>83.074799999999996</v>
      </c>
      <c r="L18" s="100">
        <f>_xll.EQNXTDZ($A$1,$B18,L$1,$B$1)</f>
        <v>118.72450000000001</v>
      </c>
      <c r="M18" s="100">
        <f>_xll.EQNXTDZ($A$1,$B18,M$1,$B$1)</f>
        <v>89.787599999999998</v>
      </c>
      <c r="N18" s="100">
        <f>_xll.EQNXTDZ($A$1,$B18,N$1,$B$1)</f>
        <v>80.055300000000003</v>
      </c>
      <c r="O18" s="100">
        <f>_xll.EQNXTDZ($A$1,$B18,O$1,$B$1)</f>
        <v>91.110699999999994</v>
      </c>
      <c r="P18" s="100">
        <f>_xll.EQNXTDZ($A$1,$B18,P$1,$B$1)</f>
        <v>113.4015</v>
      </c>
      <c r="Q18" s="100">
        <f>_xll.EQNXTDZ($A$1,$B18,Q$1,$B$1)</f>
        <v>106.0466</v>
      </c>
      <c r="R18" s="100">
        <f>_xll.EQNXTDZ($A$1,$B18,R$1,$B$1)</f>
        <v>149.7679</v>
      </c>
      <c r="S18" s="100">
        <f>_xll.EQNXTDZ($A$1,$B18,S$1,$B$1)</f>
        <v>194.08</v>
      </c>
      <c r="T18" s="100">
        <f>_xll.EQNXTDZ($A$1,$B18,T$1,$B$1)</f>
        <v>197.77</v>
      </c>
      <c r="U18" s="100">
        <f>_xll.EQNXTDZ($A$1,$B18,U$1,$B$1)</f>
        <v>209.98</v>
      </c>
      <c r="V18" s="100">
        <f>_xll.EQNXTDZ($A$1,$B18,V$1,$B$1)</f>
        <v>256.25</v>
      </c>
      <c r="W18" s="100">
        <f>_xll.EQNXTDZ($A$1,$B18,W$1,$B$1)</f>
        <v>183.09</v>
      </c>
      <c r="X18" s="100">
        <f>_xll.EQNXTDZ($A$1,$B18,X$1,$B$1)</f>
        <v>245.52</v>
      </c>
      <c r="Y18" s="100">
        <f>_xll.EQNXTDZ($A$1,$B18,Y$1,$B$1)</f>
        <v>303.98</v>
      </c>
      <c r="Z18" s="100">
        <f>_xll.EQNXTDZ($A$1,$B18,Z$1,$B$1)</f>
        <v>366.6</v>
      </c>
      <c r="AA18" s="100">
        <f>_xll.EQNXTDZ($A$1,$B18,AA$1,$B$1)</f>
        <v>527.03</v>
      </c>
      <c r="AB18" s="100">
        <f>_xll.EQNXTDZ($A$1,$B18,AB$1,$B$1)</f>
        <v>620.72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6.9943</v>
      </c>
      <c r="D19" s="100">
        <f>_xll.EQNXTDZ($A$1,$B19,D$1,$B$1)</f>
        <v>9.6995000000000005</v>
      </c>
      <c r="E19" s="100">
        <f>_xll.EQNXTDZ($A$1,$B19,E$1,$B$1)</f>
        <v>10.137700000000001</v>
      </c>
      <c r="F19" s="100">
        <f>_xll.EQNXTDZ($A$1,$B19,F$1,$B$1)</f>
        <v>17.768699999999999</v>
      </c>
      <c r="G19" s="100">
        <f>_xll.EQNXTDZ($A$1,$B19,G$1,$B$1)</f>
        <v>15.192399999999999</v>
      </c>
      <c r="H19" s="100">
        <f>_xll.EQNXTDZ($A$1,$B19,H$1,$B$1)</f>
        <v>7.6245000000000003</v>
      </c>
      <c r="I19" s="100">
        <f>_xll.EQNXTDZ($A$1,$B19,I$1,$B$1)</f>
        <v>15.9955</v>
      </c>
      <c r="J19" s="100">
        <f>_xll.EQNXTDZ($A$1,$B19,J$1,$B$1)</f>
        <v>12.104200000000001</v>
      </c>
      <c r="K19" s="100">
        <f>_xll.EQNXTDZ($A$1,$B19,K$1,$B$1)</f>
        <v>8.1914999999999996</v>
      </c>
      <c r="L19" s="100">
        <f>_xll.EQNXTDZ($A$1,$B19,L$1,$B$1)</f>
        <v>23.651800000000001</v>
      </c>
      <c r="M19" s="100">
        <f>_xll.EQNXTDZ($A$1,$B19,M$1,$B$1)</f>
        <v>27.268899999999999</v>
      </c>
      <c r="N19" s="100">
        <f>_xll.EQNXTDZ($A$1,$B19,N$1,$B$1)</f>
        <v>15.404199999999999</v>
      </c>
      <c r="O19" s="100">
        <f>_xll.EQNXTDZ($A$1,$B19,O$1,$B$1)</f>
        <v>14.915800000000001</v>
      </c>
      <c r="P19" s="100">
        <f>_xll.EQNXTDZ($A$1,$B19,P$1,$B$1)</f>
        <v>28.6309</v>
      </c>
      <c r="Q19" s="100">
        <f>_xll.EQNXTDZ($A$1,$B19,Q$1,$B$1)</f>
        <v>44.361800000000002</v>
      </c>
      <c r="R19" s="100">
        <f>_xll.EQNXTDZ($A$1,$B19,R$1,$B$1)</f>
        <v>44.548699999999997</v>
      </c>
      <c r="S19" s="100">
        <f>_xll.EQNXTDZ($A$1,$B19,S$1,$B$1)</f>
        <v>170.24</v>
      </c>
      <c r="T19" s="100">
        <f>_xll.EQNXTDZ($A$1,$B19,T$1,$B$1)</f>
        <v>125.38</v>
      </c>
      <c r="U19" s="100">
        <f>_xll.EQNXTDZ($A$1,$B19,U$1,$B$1)</f>
        <v>130.57</v>
      </c>
      <c r="V19" s="100">
        <f>_xll.EQNXTDZ($A$1,$B19,V$1,$B$1)</f>
        <v>199.97</v>
      </c>
      <c r="W19" s="100">
        <f>_xll.EQNXTDZ($A$1,$B19,W$1,$B$1)</f>
        <v>268.89</v>
      </c>
      <c r="X19" s="100">
        <f>_xll.EQNXTDZ($A$1,$B19,X$1,$B$1)</f>
        <v>218.11</v>
      </c>
      <c r="Y19" s="100">
        <f>_xll.EQNXTDZ($A$1,$B19,Y$1,$B$1)</f>
        <v>222.46</v>
      </c>
      <c r="Z19" s="100">
        <f>_xll.EQNXTDZ($A$1,$B19,Z$1,$B$1)</f>
        <v>548.16999999999996</v>
      </c>
      <c r="AA19" s="100">
        <f>_xll.EQNXTDZ($A$1,$B19,AA$1,$B$1)</f>
        <v>242.34</v>
      </c>
      <c r="AB19" s="100">
        <f>_xll.EQNXTDZ($A$1,$B19,AB$1,$B$1)</f>
        <v>191.46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737.0634</v>
      </c>
      <c r="D21" s="100">
        <f>_xll.EQNXTDZ($A$1,$B21,D$1,$B$1)</f>
        <v>858.92989999999998</v>
      </c>
      <c r="E21" s="100">
        <f>_xll.EQNXTDZ($A$1,$B21,E$1,$B$1)</f>
        <v>1220.6741</v>
      </c>
      <c r="F21" s="100">
        <f>_xll.EQNXTDZ($A$1,$B21,F$1,$B$1)</f>
        <v>1318.9418000000001</v>
      </c>
      <c r="G21" s="100">
        <f>_xll.EQNXTDZ($A$1,$B21,G$1,$B$1)</f>
        <v>1424.2910999999999</v>
      </c>
      <c r="H21" s="100">
        <f>_xll.EQNXTDZ($A$1,$B21,H$1,$B$1)</f>
        <v>1842.8571999999999</v>
      </c>
      <c r="I21" s="100">
        <f>_xll.EQNXTDZ($A$1,$B21,I$1,$B$1)</f>
        <v>2398.6696999999999</v>
      </c>
      <c r="J21" s="100">
        <f>_xll.EQNXTDZ($A$1,$B21,J$1,$B$1)</f>
        <v>2949.9247999999998</v>
      </c>
      <c r="K21" s="100">
        <f>_xll.EQNXTDZ($A$1,$B21,K$1,$B$1)</f>
        <v>4042.8427000000001</v>
      </c>
      <c r="L21" s="100">
        <f>_xll.EQNXTDZ($A$1,$B21,L$1,$B$1)</f>
        <v>4297.8968000000004</v>
      </c>
      <c r="M21" s="100">
        <f>_xll.EQNXTDZ($A$1,$B21,M$1,$B$1)</f>
        <v>4736.4012000000002</v>
      </c>
      <c r="N21" s="100">
        <f>_xll.EQNXTDZ($A$1,$B21,N$1,$B$1)</f>
        <v>4849.2668999999996</v>
      </c>
      <c r="O21" s="100">
        <f>_xll.EQNXTDZ($A$1,$B21,O$1,$B$1)</f>
        <v>5292.9492</v>
      </c>
      <c r="P21" s="100">
        <f>_xll.EQNXTDZ($A$1,$B21,P$1,$B$1)</f>
        <v>5000.4332999999997</v>
      </c>
      <c r="Q21" s="100">
        <f>_xll.EQNXTDZ($A$1,$B21,Q$1,$B$1)</f>
        <v>4773.0487999999996</v>
      </c>
      <c r="R21" s="100">
        <f>_xll.EQNXTDZ($A$1,$B21,R$1,$B$1)</f>
        <v>5286.8434999999999</v>
      </c>
      <c r="S21" s="100">
        <f>_xll.EQNXTDZ($A$1,$B21,S$1,$B$1)</f>
        <v>5465.91</v>
      </c>
      <c r="T21" s="100">
        <f>_xll.EQNXTDZ($A$1,$B21,T$1,$B$1)</f>
        <v>5752.73</v>
      </c>
      <c r="U21" s="100">
        <f>_xll.EQNXTDZ($A$1,$B21,U$1,$B$1)</f>
        <v>6523.53</v>
      </c>
      <c r="V21" s="100">
        <f>_xll.EQNXTDZ($A$1,$B21,V$1,$B$1)</f>
        <v>6972.13</v>
      </c>
      <c r="W21" s="100">
        <f>_xll.EQNXTDZ($A$1,$B21,W$1,$B$1)</f>
        <v>6914.42</v>
      </c>
      <c r="X21" s="100">
        <f>_xll.EQNXTDZ($A$1,$B21,X$1,$B$1)</f>
        <v>7252.9</v>
      </c>
      <c r="Y21" s="100">
        <f>_xll.EQNXTDZ($A$1,$B21,Y$1,$B$1)</f>
        <v>8926.4</v>
      </c>
      <c r="Z21" s="100">
        <f>_xll.EQNXTDZ($A$1,$B21,Z$1,$B$1)</f>
        <v>12008.33</v>
      </c>
      <c r="AA21" s="100">
        <f>_xll.EQNXTDZ($A$1,$B21,AA$1,$B$1)</f>
        <v>14296.61</v>
      </c>
      <c r="AB21" s="100">
        <f>_xll.EQNXTDZ($A$1,$B21,AB$1,$B$1)</f>
        <v>13642.4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27.489599999999999</v>
      </c>
      <c r="D22" s="100">
        <f>_xll.EQNXTDZ($A$1,$B22,D$1,$B$1)</f>
        <v>22.2304999999999</v>
      </c>
      <c r="E22" s="100">
        <f>_xll.EQNXTDZ($A$1,$B22,E$1,$B$1)</f>
        <v>34.868400000000001</v>
      </c>
      <c r="F22" s="100">
        <f>_xll.EQNXTDZ($A$1,$B22,F$1,$B$1)</f>
        <v>41.011799999999901</v>
      </c>
      <c r="G22" s="100">
        <f>_xll.EQNXTDZ($A$1,$B22,G$1,$B$1)</f>
        <v>52.776500000000198</v>
      </c>
      <c r="H22" s="100">
        <f>_xll.EQNXTDZ($A$1,$B22,H$1,$B$1)</f>
        <v>111.58</v>
      </c>
      <c r="I22" s="100">
        <f>_xll.EQNXTDZ($A$1,$B22,I$1,$B$1)</f>
        <v>128.06729999999999</v>
      </c>
      <c r="J22" s="100">
        <f>_xll.EQNXTDZ($A$1,$B22,J$1,$B$1)</f>
        <v>253.00190000000001</v>
      </c>
      <c r="K22" s="100">
        <f>_xll.EQNXTDZ($A$1,$B22,K$1,$B$1)</f>
        <v>283.05509999999998</v>
      </c>
      <c r="L22" s="100">
        <f>_xll.EQNXTDZ($A$1,$B22,L$1,$B$1)</f>
        <v>459.57069999999999</v>
      </c>
      <c r="M22" s="100">
        <f>_xll.EQNXTDZ($A$1,$B22,M$1,$B$1)</f>
        <v>454.97680000000003</v>
      </c>
      <c r="N22" s="100">
        <f>_xll.EQNXTDZ($A$1,$B22,N$1,$B$1)</f>
        <v>336.46940000000001</v>
      </c>
      <c r="O22" s="100">
        <f>_xll.EQNXTDZ($A$1,$B22,O$1,$B$1)</f>
        <v>238.01089999999999</v>
      </c>
      <c r="P22" s="100">
        <f>_xll.EQNXTDZ($A$1,$B22,P$1,$B$1)</f>
        <v>265.61160000000001</v>
      </c>
      <c r="Q22" s="100">
        <f>_xll.EQNXTDZ($A$1,$B22,Q$1,$B$1)</f>
        <v>410.0378</v>
      </c>
      <c r="R22" s="100">
        <f>_xll.EQNXTDZ($A$1,$B22,R$1,$B$1)</f>
        <v>432.96159999999998</v>
      </c>
      <c r="S22" s="100">
        <f>_xll.EQNXTDZ($A$1,$B22,S$1,$B$1)</f>
        <v>566.89</v>
      </c>
      <c r="T22" s="100">
        <f>_xll.EQNXTDZ($A$1,$B22,T$1,$B$1)</f>
        <v>651.650000000001</v>
      </c>
      <c r="U22" s="100">
        <f>_xll.EQNXTDZ($A$1,$B22,U$1,$B$1)</f>
        <v>600.54</v>
      </c>
      <c r="V22" s="100">
        <f>_xll.EQNXTDZ($A$1,$B22,V$1,$B$1)</f>
        <v>685.95</v>
      </c>
      <c r="W22" s="100">
        <f>_xll.EQNXTDZ($A$1,$B22,W$1,$B$1)</f>
        <v>641.36</v>
      </c>
      <c r="X22" s="100">
        <f>_xll.EQNXTDZ($A$1,$B22,X$1,$B$1)</f>
        <v>681.55</v>
      </c>
      <c r="Y22" s="100">
        <f>_xll.EQNXTDZ($A$1,$B22,Y$1,$B$1)</f>
        <v>572.37000000000103</v>
      </c>
      <c r="Z22" s="100">
        <f>_xll.EQNXTDZ($A$1,$B22,Z$1,$B$1)</f>
        <v>472.87999999999897</v>
      </c>
      <c r="AA22" s="100">
        <f>_xll.EQNXTDZ($A$1,$B22,AA$1,$B$1)</f>
        <v>1116.18</v>
      </c>
      <c r="AB22" s="100">
        <f>_xll.EQNXTDZ($A$1,$B22,AB$1,$B$1)</f>
        <v>602.1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19.0685</v>
      </c>
      <c r="D23" s="100">
        <f>_xll.EQNXTDZ($A$1,$B23,D$1,$B$1)</f>
        <v>26.7028</v>
      </c>
      <c r="E23" s="100">
        <f>_xll.EQNXTDZ($A$1,$B23,E$1,$B$1)</f>
        <v>21.1738</v>
      </c>
      <c r="F23" s="100">
        <f>_xll.EQNXTDZ($A$1,$B23,F$1,$B$1)</f>
        <v>23.286200000000001</v>
      </c>
      <c r="G23" s="100">
        <f>_xll.EQNXTDZ($A$1,$B23,G$1,$B$1)</f>
        <v>24.355</v>
      </c>
      <c r="H23" s="100">
        <f>_xll.EQNXTDZ($A$1,$B23,H$1,$B$1)</f>
        <v>31.192299999999999</v>
      </c>
      <c r="I23" s="100">
        <f>_xll.EQNXTDZ($A$1,$B23,I$1,$B$1)</f>
        <v>70.180800000000005</v>
      </c>
      <c r="J23" s="100">
        <f>_xll.EQNXTDZ($A$1,$B23,J$1,$B$1)</f>
        <v>48.337200000000003</v>
      </c>
      <c r="K23" s="100">
        <f>_xll.EQNXTDZ($A$1,$B23,K$1,$B$1)</f>
        <v>96.251599999999996</v>
      </c>
      <c r="L23" s="100">
        <f>_xll.EQNXTDZ($A$1,$B23,L$1,$B$1)</f>
        <v>78.456900000000005</v>
      </c>
      <c r="M23" s="100">
        <f>_xll.EQNXTDZ($A$1,$B23,M$1,$B$1)</f>
        <v>66.436300000000003</v>
      </c>
      <c r="N23" s="100">
        <f>_xll.EQNXTDZ($A$1,$B23,N$1,$B$1)</f>
        <v>98.496799999999993</v>
      </c>
      <c r="O23" s="100">
        <f>_xll.EQNXTDZ($A$1,$B23,O$1,$B$1)</f>
        <v>90.126199999999997</v>
      </c>
      <c r="P23" s="100">
        <f>_xll.EQNXTDZ($A$1,$B23,P$1,$B$1)</f>
        <v>100.1781</v>
      </c>
      <c r="Q23" s="100">
        <f>_xll.EQNXTDZ($A$1,$B23,Q$1,$B$1)</f>
        <v>108.71899999999999</v>
      </c>
      <c r="R23" s="100">
        <f>_xll.EQNXTDZ($A$1,$B23,R$1,$B$1)</f>
        <v>136.71</v>
      </c>
      <c r="S23" s="100">
        <f>_xll.EQNXTDZ($A$1,$B23,S$1,$B$1)</f>
        <v>212.02</v>
      </c>
      <c r="T23" s="100">
        <f>_xll.EQNXTDZ($A$1,$B23,T$1,$B$1)</f>
        <v>185.12</v>
      </c>
      <c r="U23" s="100">
        <f>_xll.EQNXTDZ($A$1,$B23,U$1,$B$1)</f>
        <v>197.42</v>
      </c>
      <c r="V23" s="100">
        <f>_xll.EQNXTDZ($A$1,$B23,V$1,$B$1)</f>
        <v>231.31</v>
      </c>
      <c r="W23" s="100">
        <f>_xll.EQNXTDZ($A$1,$B23,W$1,$B$1)</f>
        <v>188.86</v>
      </c>
      <c r="X23" s="100">
        <f>_xll.EQNXTDZ($A$1,$B23,X$1,$B$1)</f>
        <v>189.19</v>
      </c>
      <c r="Y23" s="100">
        <f>_xll.EQNXTDZ($A$1,$B23,Y$1,$B$1)</f>
        <v>168.45</v>
      </c>
      <c r="Z23" s="100">
        <f>_xll.EQNXTDZ($A$1,$B23,Z$1,$B$1)</f>
        <v>255</v>
      </c>
      <c r="AA23" s="100">
        <f>_xll.EQNXTDZ($A$1,$B23,AA$1,$B$1)</f>
        <v>324.45999999999998</v>
      </c>
      <c r="AB23" s="100">
        <f>_xll.EQNXTDZ($A$1,$B23,AB$1,$B$1)</f>
        <v>282.95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46.558100000000003</v>
      </c>
      <c r="D24" s="100">
        <f>_xll.EQNXTDZ($A$1,$B24,D$1,$B$1)</f>
        <v>48.933300000000003</v>
      </c>
      <c r="E24" s="100">
        <f>_xll.EQNXTDZ($A$1,$B24,E$1,$B$1)</f>
        <v>56.042200000000001</v>
      </c>
      <c r="F24" s="100">
        <f>_xll.EQNXTDZ($A$1,$B24,F$1,$B$1)</f>
        <v>64.298000000000002</v>
      </c>
      <c r="G24" s="100">
        <f>_xll.EQNXTDZ($A$1,$B24,G$1,$B$1)</f>
        <v>77.131500000000003</v>
      </c>
      <c r="H24" s="100">
        <f>_xll.EQNXTDZ($A$1,$B24,H$1,$B$1)</f>
        <v>142.7723</v>
      </c>
      <c r="I24" s="100">
        <f>_xll.EQNXTDZ($A$1,$B24,I$1,$B$1)</f>
        <v>198.24809999999999</v>
      </c>
      <c r="J24" s="100">
        <f>_xll.EQNXTDZ($A$1,$B24,J$1,$B$1)</f>
        <v>301.33909999999997</v>
      </c>
      <c r="K24" s="100">
        <f>_xll.EQNXTDZ($A$1,$B24,K$1,$B$1)</f>
        <v>379.30669999999998</v>
      </c>
      <c r="L24" s="100">
        <f>_xll.EQNXTDZ($A$1,$B24,L$1,$B$1)</f>
        <v>538.02760000000001</v>
      </c>
      <c r="M24" s="100">
        <f>_xll.EQNXTDZ($A$1,$B24,M$1,$B$1)</f>
        <v>521.41309999999999</v>
      </c>
      <c r="N24" s="100">
        <f>_xll.EQNXTDZ($A$1,$B24,N$1,$B$1)</f>
        <v>434.96620000000001</v>
      </c>
      <c r="O24" s="100">
        <f>_xll.EQNXTDZ($A$1,$B24,O$1,$B$1)</f>
        <v>328.13709999999998</v>
      </c>
      <c r="P24" s="100">
        <f>_xll.EQNXTDZ($A$1,$B24,P$1,$B$1)</f>
        <v>365.78969999999998</v>
      </c>
      <c r="Q24" s="100">
        <f>_xll.EQNXTDZ($A$1,$B24,Q$1,$B$1)</f>
        <v>518.7568</v>
      </c>
      <c r="R24" s="100">
        <f>_xll.EQNXTDZ($A$1,$B24,R$1,$B$1)</f>
        <v>569.67160000000001</v>
      </c>
      <c r="S24" s="100">
        <f>_xll.EQNXTDZ($A$1,$B24,S$1,$B$1)</f>
        <v>778.91</v>
      </c>
      <c r="T24" s="100">
        <f>_xll.EQNXTDZ($A$1,$B24,T$1,$B$1)</f>
        <v>836.77</v>
      </c>
      <c r="U24" s="100">
        <f>_xll.EQNXTDZ($A$1,$B24,U$1,$B$1)</f>
        <v>797.96</v>
      </c>
      <c r="V24" s="100">
        <f>_xll.EQNXTDZ($A$1,$B24,V$1,$B$1)</f>
        <v>917.26</v>
      </c>
      <c r="W24" s="100">
        <f>_xll.EQNXTDZ($A$1,$B24,W$1,$B$1)</f>
        <v>830.22</v>
      </c>
      <c r="X24" s="100">
        <f>_xll.EQNXTDZ($A$1,$B24,X$1,$B$1)</f>
        <v>870.74</v>
      </c>
      <c r="Y24" s="100">
        <f>_xll.EQNXTDZ($A$1,$B24,Y$1,$B$1)</f>
        <v>740.82</v>
      </c>
      <c r="Z24" s="100">
        <f>_xll.EQNXTDZ($A$1,$B24,Z$1,$B$1)</f>
        <v>727.88</v>
      </c>
      <c r="AA24" s="100">
        <f>_xll.EQNXTDZ($A$1,$B24,AA$1,$B$1)</f>
        <v>1440.64</v>
      </c>
      <c r="AB24" s="100">
        <f>_xll.EQNXTDZ($A$1,$B24,AB$1,$B$1)</f>
        <v>885.05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14.5763</v>
      </c>
      <c r="D25" s="100">
        <f>_xll.EQNXTDZ($A$1,$B25,D$1,$B$1)</f>
        <v>12.21</v>
      </c>
      <c r="E25" s="100">
        <f>_xll.EQNXTDZ($A$1,$B25,E$1,$B$1)</f>
        <v>9.7594999999999992</v>
      </c>
      <c r="F25" s="100">
        <f>_xll.EQNXTDZ($A$1,$B25,F$1,$B$1)</f>
        <v>8.2192000000000007</v>
      </c>
      <c r="G25" s="100">
        <f>_xll.EQNXTDZ($A$1,$B25,G$1,$B$1)</f>
        <v>8.7385999999999999</v>
      </c>
      <c r="H25" s="100">
        <f>_xll.EQNXTDZ($A$1,$B25,H$1,$B$1)</f>
        <v>6.4469000000000003</v>
      </c>
      <c r="I25" s="100">
        <f>_xll.EQNXTDZ($A$1,$B25,I$1,$B$1)</f>
        <v>9.8649000000000004</v>
      </c>
      <c r="J25" s="100">
        <f>_xll.EQNXTDZ($A$1,$B25,J$1,$B$1)</f>
        <v>8.9749999999999996</v>
      </c>
      <c r="K25" s="100">
        <f>_xll.EQNXTDZ($A$1,$B25,K$1,$B$1)</f>
        <v>12.751899999999999</v>
      </c>
      <c r="L25" s="100">
        <f>_xll.EQNXTDZ($A$1,$B25,L$1,$B$1)</f>
        <v>9.8439999999999994</v>
      </c>
      <c r="M25" s="100">
        <f>_xll.EQNXTDZ($A$1,$B25,M$1,$B$1)</f>
        <v>16.5351</v>
      </c>
      <c r="N25" s="100">
        <f>_xll.EQNXTDZ($A$1,$B25,N$1,$B$1)</f>
        <v>31.4194</v>
      </c>
      <c r="O25" s="100">
        <f>_xll.EQNXTDZ($A$1,$B25,O$1,$B$1)</f>
        <v>32.5473</v>
      </c>
      <c r="P25" s="100">
        <f>_xll.EQNXTDZ($A$1,$B25,P$1,$B$1)</f>
        <v>22.5457</v>
      </c>
      <c r="Q25" s="100">
        <f>_xll.EQNXTDZ($A$1,$B25,Q$1,$B$1)</f>
        <v>23.2575</v>
      </c>
      <c r="R25" s="100">
        <f>_xll.EQNXTDZ($A$1,$B25,R$1,$B$1)</f>
        <v>15.799200000000001</v>
      </c>
      <c r="S25" s="100">
        <f>_xll.EQNXTDZ($A$1,$B25,S$1,$B$1)</f>
        <v>16.04</v>
      </c>
      <c r="T25" s="100">
        <f>_xll.EQNXTDZ($A$1,$B25,T$1,$B$1)</f>
        <v>11.92</v>
      </c>
      <c r="U25" s="100">
        <f>_xll.EQNXTDZ($A$1,$B25,U$1,$B$1)</f>
        <v>32.979999999999997</v>
      </c>
      <c r="V25" s="100">
        <f>_xll.EQNXTDZ($A$1,$B25,V$1,$B$1)</f>
        <v>21.1</v>
      </c>
      <c r="W25" s="100">
        <f>_xll.EQNXTDZ($A$1,$B25,W$1,$B$1)</f>
        <v>26.15</v>
      </c>
      <c r="X25" s="100">
        <f>_xll.EQNXTDZ($A$1,$B25,X$1,$B$1)</f>
        <v>25.87</v>
      </c>
      <c r="Y25" s="100">
        <f>_xll.EQNXTDZ($A$1,$B25,Y$1,$B$1)</f>
        <v>29.59</v>
      </c>
      <c r="Z25" s="100">
        <f>_xll.EQNXTDZ($A$1,$B25,Z$1,$B$1)</f>
        <v>55.88</v>
      </c>
      <c r="AA25" s="100">
        <f>_xll.EQNXTDZ($A$1,$B25,AA$1,$B$1)</f>
        <v>62.11</v>
      </c>
      <c r="AB25" s="100">
        <f>_xll.EQNXTDZ($A$1,$B25,AB$1,$B$1)</f>
        <v>86.78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31.9818</v>
      </c>
      <c r="D26" s="100">
        <f>_xll.EQNXTDZ($A$1,$B26,D$1,$B$1)</f>
        <v>36.723300000000002</v>
      </c>
      <c r="E26" s="100">
        <f>_xll.EQNXTDZ($A$1,$B26,E$1,$B$1)</f>
        <v>46.282699999999998</v>
      </c>
      <c r="F26" s="100">
        <f>_xll.EQNXTDZ($A$1,$B26,F$1,$B$1)</f>
        <v>56.078800000000001</v>
      </c>
      <c r="G26" s="100">
        <f>_xll.EQNXTDZ($A$1,$B26,G$1,$B$1)</f>
        <v>68.392899999999997</v>
      </c>
      <c r="H26" s="100">
        <f>_xll.EQNXTDZ($A$1,$B26,H$1,$B$1)</f>
        <v>136.3254</v>
      </c>
      <c r="I26" s="100">
        <f>_xll.EQNXTDZ($A$1,$B26,I$1,$B$1)</f>
        <v>188.38319999999999</v>
      </c>
      <c r="J26" s="100">
        <f>_xll.EQNXTDZ($A$1,$B26,J$1,$B$1)</f>
        <v>292.36410000000001</v>
      </c>
      <c r="K26" s="100">
        <f>_xll.EQNXTDZ($A$1,$B26,K$1,$B$1)</f>
        <v>366.5548</v>
      </c>
      <c r="L26" s="100">
        <f>_xll.EQNXTDZ($A$1,$B26,L$1,$B$1)</f>
        <v>528.18359999999996</v>
      </c>
      <c r="M26" s="100">
        <f>_xll.EQNXTDZ($A$1,$B26,M$1,$B$1)</f>
        <v>504.87799999999999</v>
      </c>
      <c r="N26" s="100">
        <f>_xll.EQNXTDZ($A$1,$B26,N$1,$B$1)</f>
        <v>403.54680000000002</v>
      </c>
      <c r="O26" s="100">
        <f>_xll.EQNXTDZ($A$1,$B26,O$1,$B$1)</f>
        <v>295.58980000000003</v>
      </c>
      <c r="P26" s="100">
        <f>_xll.EQNXTDZ($A$1,$B26,P$1,$B$1)</f>
        <v>343.24400000000003</v>
      </c>
      <c r="Q26" s="100">
        <f>_xll.EQNXTDZ($A$1,$B26,Q$1,$B$1)</f>
        <v>495.49930000000001</v>
      </c>
      <c r="R26" s="100">
        <f>_xll.EQNXTDZ($A$1,$B26,R$1,$B$1)</f>
        <v>553.87239999999997</v>
      </c>
      <c r="S26" s="100">
        <f>_xll.EQNXTDZ($A$1,$B26,S$1,$B$1)</f>
        <v>762.87</v>
      </c>
      <c r="T26" s="100">
        <f>_xll.EQNXTDZ($A$1,$B26,T$1,$B$1)</f>
        <v>824.85</v>
      </c>
      <c r="U26" s="100">
        <f>_xll.EQNXTDZ($A$1,$B26,U$1,$B$1)</f>
        <v>764.98</v>
      </c>
      <c r="V26" s="100">
        <f>_xll.EQNXTDZ($A$1,$B26,V$1,$B$1)</f>
        <v>896.16</v>
      </c>
      <c r="W26" s="100">
        <f>_xll.EQNXTDZ($A$1,$B26,W$1,$B$1)</f>
        <v>804.07</v>
      </c>
      <c r="X26" s="100">
        <f>_xll.EQNXTDZ($A$1,$B26,X$1,$B$1)</f>
        <v>844.87</v>
      </c>
      <c r="Y26" s="100">
        <f>_xll.EQNXTDZ($A$1,$B26,Y$1,$B$1)</f>
        <v>711.23</v>
      </c>
      <c r="Z26" s="100">
        <f>_xll.EQNXTDZ($A$1,$B26,Z$1,$B$1)</f>
        <v>672</v>
      </c>
      <c r="AA26" s="100">
        <f>_xll.EQNXTDZ($A$1,$B26,AA$1,$B$1)</f>
        <v>1378.53</v>
      </c>
      <c r="AB26" s="100">
        <f>_xll.EQNXTDZ($A$1,$B26,AB$1,$B$1)</f>
        <v>798.27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14.792</v>
      </c>
      <c r="D27" s="100">
        <f>_xll.EQNXTDZ($A$1,$B27,D$1,$B$1)</f>
        <v>15.225099999999999</v>
      </c>
      <c r="E27" s="100">
        <f>_xll.EQNXTDZ($A$1,$B27,E$1,$B$1)</f>
        <v>17.6584</v>
      </c>
      <c r="F27" s="100">
        <f>_xll.EQNXTDZ($A$1,$B27,F$1,$B$1)</f>
        <v>15.952400000000001</v>
      </c>
      <c r="G27" s="100">
        <f>_xll.EQNXTDZ($A$1,$B27,G$1,$B$1)</f>
        <v>13.269</v>
      </c>
      <c r="H27" s="100">
        <f>_xll.EQNXTDZ($A$1,$B27,H$1,$B$1)</f>
        <v>14.0906</v>
      </c>
      <c r="I27" s="100">
        <f>_xll.EQNXTDZ($A$1,$B27,I$1,$B$1)</f>
        <v>15.566800000000001</v>
      </c>
      <c r="J27" s="100">
        <f>_xll.EQNXTDZ($A$1,$B27,J$1,$B$1)</f>
        <v>16.692599999999999</v>
      </c>
      <c r="K27" s="100">
        <f>_xll.EQNXTDZ($A$1,$B27,K$1,$B$1)</f>
        <v>20.9636</v>
      </c>
      <c r="L27" s="100">
        <f>_xll.EQNXTDZ($A$1,$B27,L$1,$B$1)</f>
        <v>21.409600000000001</v>
      </c>
      <c r="M27" s="100">
        <f>_xll.EQNXTDZ($A$1,$B27,M$1,$B$1)</f>
        <v>21.017099999999999</v>
      </c>
      <c r="N27" s="100">
        <f>_xll.EQNXTDZ($A$1,$B27,N$1,$B$1)</f>
        <v>33.958199999999998</v>
      </c>
      <c r="O27" s="100">
        <f>_xll.EQNXTDZ($A$1,$B27,O$1,$B$1)</f>
        <v>27.840299999999999</v>
      </c>
      <c r="P27" s="100">
        <f>_xll.EQNXTDZ($A$1,$B27,P$1,$B$1)</f>
        <v>24.843299999999999</v>
      </c>
      <c r="Q27" s="100">
        <f>_xll.EQNXTDZ($A$1,$B27,Q$1,$B$1)</f>
        <v>28.0412</v>
      </c>
      <c r="R27" s="100">
        <f>_xll.EQNXTDZ($A$1,$B27,R$1,$B$1)</f>
        <v>26.346900000000002</v>
      </c>
      <c r="S27" s="100">
        <f>_xll.EQNXTDZ($A$1,$B27,S$1,$B$1)</f>
        <v>24.45</v>
      </c>
      <c r="T27" s="100">
        <f>_xll.EQNXTDZ($A$1,$B27,T$1,$B$1)</f>
        <v>24.35</v>
      </c>
      <c r="U27" s="100">
        <f>_xll.EQNXTDZ($A$1,$B27,U$1,$B$1)</f>
        <v>23.98</v>
      </c>
      <c r="V27" s="100">
        <f>_xll.EQNXTDZ($A$1,$B27,V$1,$B$1)</f>
        <v>31.96</v>
      </c>
      <c r="W27" s="100">
        <f>_xll.EQNXTDZ($A$1,$B27,W$1,$B$1)</f>
        <v>33.89</v>
      </c>
      <c r="X27" s="100">
        <f>_xll.EQNXTDZ($A$1,$B27,X$1,$B$1)</f>
        <v>37.26</v>
      </c>
      <c r="Y27" s="100">
        <f>_xll.EQNXTDZ($A$1,$B27,Y$1,$B$1)</f>
        <v>39.619999999999997</v>
      </c>
      <c r="Z27" s="100">
        <f>_xll.EQNXTDZ($A$1,$B27,Z$1,$B$1)</f>
        <v>47.59</v>
      </c>
      <c r="AA27" s="100">
        <f>_xll.EQNXTDZ($A$1,$B27,AA$1,$B$1)</f>
        <v>61.78</v>
      </c>
      <c r="AB27" s="100">
        <f>_xll.EQNXTDZ($A$1,$B27,AB$1,$B$1)</f>
        <v>84.1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6.2191999999999998</v>
      </c>
      <c r="S28" s="100">
        <f>_xll.EQNXTDZ($A$1,$B28,S$1,$B$1)</f>
        <v>-19.25</v>
      </c>
      <c r="T28" s="100">
        <f>_xll.EQNXTDZ($A$1,$B28,T$1,$B$1)</f>
        <v>3.8</v>
      </c>
      <c r="U28" s="100">
        <f>_xll.EQNXTDZ($A$1,$B28,U$1,$B$1)</f>
        <v>-51.82</v>
      </c>
      <c r="V28" s="100">
        <f>_xll.EQNXTDZ($A$1,$B28,V$1,$B$1)</f>
        <v>-68.7</v>
      </c>
      <c r="W28" s="100">
        <f>_xll.EQNXTDZ($A$1,$B28,W$1,$B$1)</f>
        <v>-60.97</v>
      </c>
      <c r="X28" s="100">
        <f>_xll.EQNXTDZ($A$1,$B28,X$1,$B$1)</f>
        <v>-110.31</v>
      </c>
      <c r="Y28" s="100">
        <f>_xll.EQNXTDZ($A$1,$B28,Y$1,$B$1)</f>
        <v>-120.65</v>
      </c>
      <c r="Z28" s="100">
        <f>_xll.EQNXTDZ($A$1,$B28,Z$1,$B$1)</f>
        <v>-138.61000000000001</v>
      </c>
      <c r="AA28" s="100">
        <f>_xll.EQNXTDZ($A$1,$B28,AA$1,$B$1)</f>
        <v>-126</v>
      </c>
      <c r="AB28" s="100">
        <f>_xll.EQNXTDZ($A$1,$B28,AB$1,$B$1)</f>
        <v>-130.57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-11.465999999999999</v>
      </c>
      <c r="D29" s="100">
        <f>_xll.EQNXTDZ($A$1,$B29,D$1,$B$1)</f>
        <v>5.5109000000000004</v>
      </c>
      <c r="E29" s="100">
        <f>_xll.EQNXTDZ($A$1,$B29,E$1,$B$1)</f>
        <v>5.2744</v>
      </c>
      <c r="F29" s="100">
        <f>_xll.EQNXTDZ($A$1,$B29,F$1,$B$1)</f>
        <v>8.3425999999999991</v>
      </c>
      <c r="G29" s="100">
        <f>_xll.EQNXTDZ($A$1,$B29,G$1,$B$1)</f>
        <v>5.1570999999999998</v>
      </c>
      <c r="H29" s="100">
        <f>_xll.EQNXTDZ($A$1,$B29,H$1,$B$1)</f>
        <v>-26.190999999999999</v>
      </c>
      <c r="I29" s="100">
        <f>_xll.EQNXTDZ($A$1,$B29,I$1,$B$1)</f>
        <v>69.639300000000006</v>
      </c>
      <c r="J29" s="100">
        <f>_xll.EQNXTDZ($A$1,$B29,J$1,$B$1)</f>
        <v>31.5886</v>
      </c>
      <c r="K29" s="100">
        <f>_xll.EQNXTDZ($A$1,$B29,K$1,$B$1)</f>
        <v>26.1312</v>
      </c>
      <c r="L29" s="100">
        <f>_xll.EQNXTDZ($A$1,$B29,L$1,$B$1)</f>
        <v>25.0228</v>
      </c>
      <c r="M29" s="100">
        <f>_xll.EQNXTDZ($A$1,$B29,M$1,$B$1)</f>
        <v>40.185899999999997</v>
      </c>
      <c r="N29" s="100">
        <f>_xll.EQNXTDZ($A$1,$B29,N$1,$B$1)</f>
        <v>-150.4588</v>
      </c>
      <c r="O29" s="100">
        <f>_xll.EQNXTDZ($A$1,$B29,O$1,$B$1)</f>
        <v>12.0823</v>
      </c>
      <c r="P29" s="100">
        <f>_xll.EQNXTDZ($A$1,$B29,P$1,$B$1)</f>
        <v>21.541</v>
      </c>
      <c r="Q29" s="100">
        <f>_xll.EQNXTDZ($A$1,$B29,Q$1,$B$1)</f>
        <v>46.193300000000001</v>
      </c>
      <c r="R29" s="100">
        <f>_xll.EQNXTDZ($A$1,$B29,R$1,$B$1)</f>
        <v>28.937999999999999</v>
      </c>
      <c r="S29" s="100">
        <f>_xll.EQNXTDZ($A$1,$B29,S$1,$B$1)</f>
        <v>1.1000000000000001</v>
      </c>
      <c r="T29" s="100">
        <f>_xll.EQNXTDZ($A$1,$B29,T$1,$B$1)</f>
        <v>0.61</v>
      </c>
      <c r="U29" s="100">
        <f>_xll.EQNXTDZ($A$1,$B29,U$1,$B$1)</f>
        <v>-11.77</v>
      </c>
      <c r="V29" s="100">
        <f>_xll.EQNXTDZ($A$1,$B29,V$1,$B$1)</f>
        <v>-51.19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-243.82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-26.49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0.14369999999999999</v>
      </c>
      <c r="D30" s="100">
        <f>_xll.EQNXTDZ($A$1,$B30,D$1,$B$1)</f>
        <v>1.1987000000000001</v>
      </c>
      <c r="E30" s="100">
        <f>_xll.EQNXTDZ($A$1,$B30,E$1,$B$1)</f>
        <v>4.1550000000000002</v>
      </c>
      <c r="F30" s="100">
        <f>_xll.EQNXTDZ($A$1,$B30,F$1,$B$1)</f>
        <v>8.1564999999999994</v>
      </c>
      <c r="G30" s="100">
        <f>_xll.EQNXTDZ($A$1,$B30,G$1,$B$1)</f>
        <v>8.0123999999999995</v>
      </c>
      <c r="H30" s="100">
        <f>_xll.EQNXTDZ($A$1,$B30,H$1,$B$1)</f>
        <v>22.357700000000001</v>
      </c>
      <c r="I30" s="100">
        <f>_xll.EQNXTDZ($A$1,$B30,I$1,$B$1)</f>
        <v>40.743899999999996</v>
      </c>
      <c r="J30" s="100">
        <f>_xll.EQNXTDZ($A$1,$B30,J$1,$B$1)</f>
        <v>99.663899999999998</v>
      </c>
      <c r="K30" s="100">
        <f>_xll.EQNXTDZ($A$1,$B30,K$1,$B$1)</f>
        <v>117.1849</v>
      </c>
      <c r="L30" s="100">
        <f>_xll.EQNXTDZ($A$1,$B30,L$1,$B$1)</f>
        <v>147.2338</v>
      </c>
      <c r="M30" s="100">
        <f>_xll.EQNXTDZ($A$1,$B30,M$1,$B$1)</f>
        <v>172.4624</v>
      </c>
      <c r="N30" s="100">
        <f>_xll.EQNXTDZ($A$1,$B30,N$1,$B$1)</f>
        <v>57.118000000000002</v>
      </c>
      <c r="O30" s="100">
        <f>_xll.EQNXTDZ($A$1,$B30,O$1,$B$1)</f>
        <v>72.761799999999994</v>
      </c>
      <c r="P30" s="100">
        <f>_xll.EQNXTDZ($A$1,$B30,P$1,$B$1)</f>
        <v>94.133399999999995</v>
      </c>
      <c r="Q30" s="100">
        <f>_xll.EQNXTDZ($A$1,$B30,Q$1,$B$1)</f>
        <v>127.6163</v>
      </c>
      <c r="R30" s="100">
        <f>_xll.EQNXTDZ($A$1,$B30,R$1,$B$1)</f>
        <v>169.57419999999999</v>
      </c>
      <c r="S30" s="100">
        <f>_xll.EQNXTDZ($A$1,$B30,S$1,$B$1)</f>
        <v>200.41</v>
      </c>
      <c r="T30" s="100">
        <f>_xll.EQNXTDZ($A$1,$B30,T$1,$B$1)</f>
        <v>227.01</v>
      </c>
      <c r="U30" s="100">
        <f>_xll.EQNXTDZ($A$1,$B30,U$1,$B$1)</f>
        <v>163.53</v>
      </c>
      <c r="V30" s="100">
        <f>_xll.EQNXTDZ($A$1,$B30,V$1,$B$1)</f>
        <v>223.26</v>
      </c>
      <c r="W30" s="100">
        <f>_xll.EQNXTDZ($A$1,$B30,W$1,$B$1)</f>
        <v>180.42</v>
      </c>
      <c r="X30" s="100">
        <f>_xll.EQNXTDZ($A$1,$B30,X$1,$B$1)</f>
        <v>191.3</v>
      </c>
      <c r="Y30" s="100">
        <f>_xll.EQNXTDZ($A$1,$B30,Y$1,$B$1)</f>
        <v>170.92</v>
      </c>
      <c r="Z30" s="100">
        <f>_xll.EQNXTDZ($A$1,$B30,Z$1,$B$1)</f>
        <v>237.69</v>
      </c>
      <c r="AA30" s="100">
        <f>_xll.EQNXTDZ($A$1,$B30,AA$1,$B$1)</f>
        <v>356.47</v>
      </c>
      <c r="AB30" s="100">
        <f>_xll.EQNXTDZ($A$1,$B30,AB$1,$B$1)</f>
        <v>187.11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0.13239999999999999</v>
      </c>
      <c r="F32" s="100">
        <f>_xll.EQNXTDZ($A$1,$B32,F$1,$B$1)</f>
        <v>4.9700000000000001E-2</v>
      </c>
      <c r="G32" s="100">
        <f>_xll.EQNXTDZ($A$1,$B32,G$1,$B$1)</f>
        <v>-1.77E-2</v>
      </c>
      <c r="H32" s="100">
        <f>_xll.EQNXTDZ($A$1,$B32,H$1,$B$1)</f>
        <v>-3.3500000000000002E-2</v>
      </c>
      <c r="I32" s="100">
        <f>_xll.EQNXTDZ($A$1,$B32,I$1,$B$1)</f>
        <v>-0.17530000000000001</v>
      </c>
      <c r="J32" s="100">
        <f>_xll.EQNXTDZ($A$1,$B32,J$1,$B$1)</f>
        <v>-0.1174</v>
      </c>
      <c r="K32" s="100">
        <f>_xll.EQNXTDZ($A$1,$B32,K$1,$B$1)</f>
        <v>-2.8895</v>
      </c>
      <c r="L32" s="100">
        <f>_xll.EQNXTDZ($A$1,$B32,L$1,$B$1)</f>
        <v>-3.5720000000000001</v>
      </c>
      <c r="M32" s="100">
        <f>_xll.EQNXTDZ($A$1,$B32,M$1,$B$1)</f>
        <v>5.6597</v>
      </c>
      <c r="N32" s="100">
        <f>_xll.EQNXTDZ($A$1,$B32,N$1,$B$1)</f>
        <v>9.3899999999999997E-2</v>
      </c>
      <c r="O32" s="100">
        <f>_xll.EQNXTDZ($A$1,$B32,O$1,$B$1)</f>
        <v>0.70720000000000005</v>
      </c>
      <c r="P32" s="100">
        <f>_xll.EQNXTDZ($A$1,$B32,P$1,$B$1)</f>
        <v>-0.45119999999999999</v>
      </c>
      <c r="Q32" s="100">
        <f>_xll.EQNXTDZ($A$1,$B32,Q$1,$B$1)</f>
        <v>-3.3313999999999999</v>
      </c>
      <c r="R32" s="100">
        <f>_xll.EQNXTDZ($A$1,$B32,R$1,$B$1)</f>
        <v>-6.0152999999999999</v>
      </c>
      <c r="S32" s="100">
        <f>_xll.EQNXTDZ($A$1,$B32,S$1,$B$1)</f>
        <v>-2.4300000000000002</v>
      </c>
      <c r="T32" s="100">
        <f>_xll.EQNXTDZ($A$1,$B32,T$1,$B$1)</f>
        <v>-5.5</v>
      </c>
      <c r="U32" s="100">
        <f>_xll.EQNXTDZ($A$1,$B32,U$1,$B$1)</f>
        <v>-5.97</v>
      </c>
      <c r="V32" s="100">
        <f>_xll.EQNXTDZ($A$1,$B32,V$1,$B$1)</f>
        <v>-3.87</v>
      </c>
      <c r="W32" s="100">
        <f>_xll.EQNXTDZ($A$1,$B32,W$1,$B$1)</f>
        <v>-3.65</v>
      </c>
      <c r="X32" s="100">
        <f>_xll.EQNXTDZ($A$1,$B32,X$1,$B$1)</f>
        <v>-1.91</v>
      </c>
      <c r="Y32" s="100">
        <f>_xll.EQNXTDZ($A$1,$B32,Y$1,$B$1)</f>
        <v>-1.21</v>
      </c>
      <c r="Z32" s="100">
        <f>_xll.EQNXTDZ($A$1,$B32,Z$1,$B$1)</f>
        <v>3.89</v>
      </c>
      <c r="AA32" s="100">
        <f>_xll.EQNXTDZ($A$1,$B32,AA$1,$B$1)</f>
        <v>7.09</v>
      </c>
      <c r="AB32" s="100">
        <f>_xll.EQNXTDZ($A$1,$B32,AB$1,$B$1)</f>
        <v>5.88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-0.15959999999999999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4.3200000000000002E-2</v>
      </c>
      <c r="J33" s="100">
        <f>_xll.EQNXTDZ($A$1,$B33,J$1,$B$1)</f>
        <v>0.20150000000000001</v>
      </c>
      <c r="K33" s="100">
        <f>_xll.EQNXTDZ($A$1,$B33,K$1,$B$1)</f>
        <v>-0.2447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-0.05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1.6332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7.9204999999999997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5.5800999999999998</v>
      </c>
      <c r="D35" s="100">
        <f>_xll.EQNXTDZ($A$1,$B35,D$1,$B$1)</f>
        <v>25.810400000000001</v>
      </c>
      <c r="E35" s="100">
        <f>_xll.EQNXTDZ($A$1,$B35,E$1,$B$1)</f>
        <v>29.7165</v>
      </c>
      <c r="F35" s="100">
        <f>_xll.EQNXTDZ($A$1,$B35,F$1,$B$1)</f>
        <v>40.362200000000001</v>
      </c>
      <c r="G35" s="100">
        <f>_xll.EQNXTDZ($A$1,$B35,G$1,$B$1)</f>
        <v>52.250900000000001</v>
      </c>
      <c r="H35" s="100">
        <f>_xll.EQNXTDZ($A$1,$B35,H$1,$B$1)</f>
        <v>73.652600000000007</v>
      </c>
      <c r="I35" s="100">
        <f>_xll.EQNXTDZ($A$1,$B35,I$1,$B$1)</f>
        <v>201.5797</v>
      </c>
      <c r="J35" s="100">
        <f>_xll.EQNXTDZ($A$1,$B35,J$1,$B$1)</f>
        <v>207.68029999999999</v>
      </c>
      <c r="K35" s="100">
        <f>_xll.EQNXTDZ($A$1,$B35,K$1,$B$1)</f>
        <v>251.4033</v>
      </c>
      <c r="L35" s="100">
        <f>_xll.EQNXTDZ($A$1,$B35,L$1,$B$1)</f>
        <v>380.99099999999999</v>
      </c>
      <c r="M35" s="100">
        <f>_xll.EQNXTDZ($A$1,$B35,M$1,$B$1)</f>
        <v>357.2441</v>
      </c>
      <c r="N35" s="100">
        <f>_xll.EQNXTDZ($A$1,$B35,N$1,$B$1)</f>
        <v>162.0557</v>
      </c>
      <c r="O35" s="100">
        <f>_xll.EQNXTDZ($A$1,$B35,O$1,$B$1)</f>
        <v>215.6977</v>
      </c>
      <c r="P35" s="100">
        <f>_xll.EQNXTDZ($A$1,$B35,P$1,$B$1)</f>
        <v>245.3571</v>
      </c>
      <c r="Q35" s="100">
        <f>_xll.EQNXTDZ($A$1,$B35,Q$1,$B$1)</f>
        <v>384.33690000000001</v>
      </c>
      <c r="R35" s="100">
        <f>_xll.EQNXTDZ($A$1,$B35,R$1,$B$1)</f>
        <v>387.09320000000002</v>
      </c>
      <c r="S35" s="100">
        <f>_xll.EQNXTDZ($A$1,$B35,S$1,$B$1)</f>
        <v>517.42999999999995</v>
      </c>
      <c r="T35" s="100">
        <f>_xll.EQNXTDZ($A$1,$B35,T$1,$B$1)</f>
        <v>572.4</v>
      </c>
      <c r="U35" s="100">
        <f>_xll.EQNXTDZ($A$1,$B35,U$1,$B$1)</f>
        <v>507.91</v>
      </c>
      <c r="V35" s="100">
        <f>_xll.EQNXTDZ($A$1,$B35,V$1,$B$1)</f>
        <v>517.17999999999995</v>
      </c>
      <c r="W35" s="100">
        <f>_xll.EQNXTDZ($A$1,$B35,W$1,$B$1)</f>
        <v>525.14</v>
      </c>
      <c r="X35" s="100">
        <f>_xll.EQNXTDZ($A$1,$B35,X$1,$B$1)</f>
        <v>504.09</v>
      </c>
      <c r="Y35" s="100">
        <f>_xll.EQNXTDZ($A$1,$B35,Y$1,$B$1)</f>
        <v>135.01</v>
      </c>
      <c r="Z35" s="100">
        <f>_xll.EQNXTDZ($A$1,$B35,Z$1,$B$1)</f>
        <v>252</v>
      </c>
      <c r="AA35" s="100">
        <f>_xll.EQNXTDZ($A$1,$B35,AA$1,$B$1)</f>
        <v>841.37</v>
      </c>
      <c r="AB35" s="100">
        <f>_xll.EQNXTDZ($A$1,$B35,AB$1,$B$1)</f>
        <v>375.88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33.053899999999999</v>
      </c>
      <c r="D41" s="55">
        <f>_xll.EQNXTDZ($A$1,$B41,D$1,$B$1)</f>
        <v>33.053899999999999</v>
      </c>
      <c r="E41" s="55">
        <f>_xll.EQNXTDZ($A$1,$B41,E$1,$B$1)</f>
        <v>33.053899999999999</v>
      </c>
      <c r="F41" s="55">
        <f>_xll.EQNXTDZ($A$1,$B41,F$1,$B$1)</f>
        <v>33.055300000000003</v>
      </c>
      <c r="G41" s="55">
        <f>_xll.EQNXTDZ($A$1,$B41,G$1,$B$1)</f>
        <v>33.055300000000003</v>
      </c>
      <c r="H41" s="55">
        <f>_xll.EQNXTDZ($A$1,$B41,H$1,$B$1)</f>
        <v>33.062600000000003</v>
      </c>
      <c r="I41" s="55">
        <f>_xll.EQNXTDZ($A$1,$B41,I$1,$B$1)</f>
        <v>33.068300000000001</v>
      </c>
      <c r="J41" s="55">
        <f>_xll.EQNXTDZ($A$1,$B41,J$1,$B$1)</f>
        <v>33.069499999999998</v>
      </c>
      <c r="K41" s="55">
        <f>_xll.EQNXTDZ($A$1,$B41,K$1,$B$1)</f>
        <v>33.073399999999999</v>
      </c>
      <c r="L41" s="55">
        <f>_xll.EQNXTDZ($A$1,$B41,L$1,$B$1)</f>
        <v>33.073700000000002</v>
      </c>
      <c r="M41" s="55">
        <f>_xll.EQNXTDZ($A$1,$B41,M$1,$B$1)</f>
        <v>33.074300000000001</v>
      </c>
      <c r="N41" s="55">
        <f>_xll.EQNXTDZ($A$1,$B41,N$1,$B$1)</f>
        <v>33.074399999999997</v>
      </c>
      <c r="O41" s="55">
        <f>_xll.EQNXTDZ($A$1,$B41,O$1,$B$1)</f>
        <v>33.074599999999997</v>
      </c>
      <c r="P41" s="55">
        <f>_xll.EQNXTDZ($A$1,$B41,P$1,$B$1)</f>
        <v>33.074800000000003</v>
      </c>
      <c r="Q41" s="55">
        <f>_xll.EQNXTDZ($A$1,$B41,Q$1,$B$1)</f>
        <v>33.074800000000003</v>
      </c>
      <c r="R41" s="55">
        <f>_xll.EQNXTDZ($A$1,$B41,R$1,$B$1)</f>
        <v>33.075200000000002</v>
      </c>
      <c r="S41" s="55">
        <f>_xll.EQNXTDZ($A$1,$B41,S$1,$B$1)</f>
        <v>33.08</v>
      </c>
      <c r="T41" s="55">
        <f>_xll.EQNXTDZ($A$1,$B41,T$1,$B$1)</f>
        <v>33.08</v>
      </c>
      <c r="U41" s="55">
        <f>_xll.EQNXTDZ($A$1,$B41,U$1,$B$1)</f>
        <v>33.08</v>
      </c>
      <c r="V41" s="55">
        <f>_xll.EQNXTDZ($A$1,$B41,V$1,$B$1)</f>
        <v>33.08</v>
      </c>
      <c r="W41" s="55">
        <f>_xll.EQNXTDZ($A$1,$B41,W$1,$B$1)</f>
        <v>33.08</v>
      </c>
      <c r="X41" s="55">
        <f>_xll.EQNXTDZ($A$1,$B41,X$1,$B$1)</f>
        <v>33.08</v>
      </c>
      <c r="Y41" s="55">
        <f>_xll.EQNXTDZ($A$1,$B41,Y$1,$B$1)</f>
        <v>33.08</v>
      </c>
      <c r="Z41" s="55">
        <f>_xll.EQNXTDZ($A$1,$B41,Z$1,$B$1)</f>
        <v>33.08</v>
      </c>
      <c r="AA41" s="55">
        <f>_xll.EQNXTDZ($A$1,$B41,AA$1,$B$1)</f>
        <v>33.08</v>
      </c>
      <c r="AB41" s="55">
        <f>_xll.EQNXTDZ($A$1,$B41,AB$1,$B$1)</f>
        <v>33.08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122.0188</v>
      </c>
      <c r="D43" s="55">
        <f>_xll.EQNXTDZ($A$1,$B43,D$1,$B$1)</f>
        <v>174.88159999999999</v>
      </c>
      <c r="E43" s="55">
        <f>_xll.EQNXTDZ($A$1,$B43,E$1,$B$1)</f>
        <v>153.37440000000001</v>
      </c>
      <c r="F43" s="55">
        <f>_xll.EQNXTDZ($A$1,$B43,F$1,$B$1)</f>
        <v>181.7413</v>
      </c>
      <c r="G43" s="55">
        <f>_xll.EQNXTDZ($A$1,$B43,G$1,$B$1)</f>
        <v>186.48519999999999</v>
      </c>
      <c r="H43" s="55">
        <f>_xll.EQNXTDZ($A$1,$B43,H$1,$B$1)</f>
        <v>238.30199999999999</v>
      </c>
      <c r="I43" s="55">
        <f>_xll.EQNXTDZ($A$1,$B43,I$1,$B$1)</f>
        <v>390.67160000000001</v>
      </c>
      <c r="J43" s="55">
        <f>_xll.EQNXTDZ($A$1,$B43,J$1,$B$1)</f>
        <v>544.15369999999996</v>
      </c>
      <c r="K43" s="55">
        <f>_xll.EQNXTDZ($A$1,$B43,K$1,$B$1)</f>
        <v>756.67619999999999</v>
      </c>
      <c r="L43" s="55">
        <f>_xll.EQNXTDZ($A$1,$B43,L$1,$B$1)</f>
        <v>1052.0949000000001</v>
      </c>
      <c r="M43" s="55">
        <f>_xll.EQNXTDZ($A$1,$B43,M$1,$B$1)</f>
        <v>1328.643</v>
      </c>
      <c r="N43" s="55">
        <f>_xll.EQNXTDZ($A$1,$B43,N$1,$B$1)</f>
        <v>1444.7688000000001</v>
      </c>
      <c r="O43" s="55">
        <f>_xll.EQNXTDZ($A$1,$B43,O$1,$B$1)</f>
        <v>1592.5473999999999</v>
      </c>
      <c r="P43" s="55">
        <f>_xll.EQNXTDZ($A$1,$B43,P$1,$B$1)</f>
        <v>1786.2463</v>
      </c>
      <c r="Q43" s="55">
        <f>_xll.EQNXTDZ($A$1,$B43,Q$1,$B$1)</f>
        <v>2068.9985999999999</v>
      </c>
      <c r="R43" s="55">
        <f>_xll.EQNXTDZ($A$1,$B43,R$1,$B$1)</f>
        <v>2778.0088999999998</v>
      </c>
      <c r="S43" s="55">
        <f>_xll.EQNXTDZ($A$1,$B43,S$1,$B$1)</f>
        <v>3273.54</v>
      </c>
      <c r="T43" s="55">
        <f>_xll.EQNXTDZ($A$1,$B43,T$1,$B$1)</f>
        <v>3872.13</v>
      </c>
      <c r="U43" s="55">
        <f>_xll.EQNXTDZ($A$1,$B43,U$1,$B$1)</f>
        <v>4076.91</v>
      </c>
      <c r="V43" s="55">
        <f>_xll.EQNXTDZ($A$1,$B43,V$1,$B$1)</f>
        <v>4247.13</v>
      </c>
      <c r="W43" s="55">
        <f>_xll.EQNXTDZ($A$1,$B43,W$1,$B$1)</f>
        <v>4960.2700000000004</v>
      </c>
      <c r="X43" s="55">
        <f>_xll.EQNXTDZ($A$1,$B43,X$1,$B$1)</f>
        <v>5466.48</v>
      </c>
      <c r="Y43" s="55">
        <f>_xll.EQNXTDZ($A$1,$B43,Y$1,$B$1)</f>
        <v>5418.99</v>
      </c>
      <c r="Z43" s="55">
        <f>_xll.EQNXTDZ($A$1,$B43,Z$1,$B$1)</f>
        <v>5787.42</v>
      </c>
      <c r="AA43" s="55">
        <f>_xll.EQNXTDZ($A$1,$B43,AA$1,$B$1)</f>
        <v>6480.17</v>
      </c>
      <c r="AB43" s="55">
        <f>_xll.EQNXTDZ($A$1,$B43,AB$1,$B$1)</f>
        <v>6343.13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155.0727</v>
      </c>
      <c r="D44" s="55">
        <f>_xll.EQNXTDZ($A$1,$B44,D$1,$B$1)</f>
        <v>207.93549999999999</v>
      </c>
      <c r="E44" s="55">
        <f>_xll.EQNXTDZ($A$1,$B44,E$1,$B$1)</f>
        <v>186.42830000000001</v>
      </c>
      <c r="F44" s="55">
        <f>_xll.EQNXTDZ($A$1,$B44,F$1,$B$1)</f>
        <v>214.79660000000001</v>
      </c>
      <c r="G44" s="55">
        <f>_xll.EQNXTDZ($A$1,$B44,G$1,$B$1)</f>
        <v>219.54050000000001</v>
      </c>
      <c r="H44" s="55">
        <f>_xll.EQNXTDZ($A$1,$B44,H$1,$B$1)</f>
        <v>271.3646</v>
      </c>
      <c r="I44" s="55">
        <f>_xll.EQNXTDZ($A$1,$B44,I$1,$B$1)</f>
        <v>423.73989999999998</v>
      </c>
      <c r="J44" s="55">
        <f>_xll.EQNXTDZ($A$1,$B44,J$1,$B$1)</f>
        <v>577.22320000000002</v>
      </c>
      <c r="K44" s="55">
        <f>_xll.EQNXTDZ($A$1,$B44,K$1,$B$1)</f>
        <v>789.74959999999999</v>
      </c>
      <c r="L44" s="55">
        <f>_xll.EQNXTDZ($A$1,$B44,L$1,$B$1)</f>
        <v>1085.1686</v>
      </c>
      <c r="M44" s="55">
        <f>_xll.EQNXTDZ($A$1,$B44,M$1,$B$1)</f>
        <v>1361.7173</v>
      </c>
      <c r="N44" s="55">
        <f>_xll.EQNXTDZ($A$1,$B44,N$1,$B$1)</f>
        <v>1477.8432</v>
      </c>
      <c r="O44" s="55">
        <f>_xll.EQNXTDZ($A$1,$B44,O$1,$B$1)</f>
        <v>1625.6220000000001</v>
      </c>
      <c r="P44" s="55">
        <f>_xll.EQNXTDZ($A$1,$B44,P$1,$B$1)</f>
        <v>1819.3210999999999</v>
      </c>
      <c r="Q44" s="55">
        <f>_xll.EQNXTDZ($A$1,$B44,Q$1,$B$1)</f>
        <v>2102.0734000000002</v>
      </c>
      <c r="R44" s="55">
        <f>_xll.EQNXTDZ($A$1,$B44,R$1,$B$1)</f>
        <v>2811.0841</v>
      </c>
      <c r="S44" s="55">
        <f>_xll.EQNXTDZ($A$1,$B44,S$1,$B$1)</f>
        <v>3306.62</v>
      </c>
      <c r="T44" s="55">
        <f>_xll.EQNXTDZ($A$1,$B44,T$1,$B$1)</f>
        <v>3905.21</v>
      </c>
      <c r="U44" s="55">
        <f>_xll.EQNXTDZ($A$1,$B44,U$1,$B$1)</f>
        <v>4109.99</v>
      </c>
      <c r="V44" s="55">
        <f>_xll.EQNXTDZ($A$1,$B44,V$1,$B$1)</f>
        <v>4280.21</v>
      </c>
      <c r="W44" s="55">
        <f>_xll.EQNXTDZ($A$1,$B44,W$1,$B$1)</f>
        <v>4993.3500000000004</v>
      </c>
      <c r="X44" s="55">
        <f>_xll.EQNXTDZ($A$1,$B44,X$1,$B$1)</f>
        <v>5499.56</v>
      </c>
      <c r="Y44" s="55">
        <f>_xll.EQNXTDZ($A$1,$B44,Y$1,$B$1)</f>
        <v>5452.07</v>
      </c>
      <c r="Z44" s="55">
        <f>_xll.EQNXTDZ($A$1,$B44,Z$1,$B$1)</f>
        <v>5820.5</v>
      </c>
      <c r="AA44" s="55">
        <f>_xll.EQNXTDZ($A$1,$B44,AA$1,$B$1)</f>
        <v>6513.25</v>
      </c>
      <c r="AB44" s="55">
        <f>_xll.EQNXTDZ($A$1,$B44,AB$1,$B$1)</f>
        <v>6376.21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0.78939999999999999</v>
      </c>
      <c r="E45" s="55">
        <f>_xll.EQNXTDZ($A$1,$B45,E$1,$B$1)</f>
        <v>0.377</v>
      </c>
      <c r="F45" s="55">
        <f>_xll.EQNXTDZ($A$1,$B45,F$1,$B$1)</f>
        <v>0.26350000000000001</v>
      </c>
      <c r="G45" s="55">
        <f>_xll.EQNXTDZ($A$1,$B45,G$1,$B$1)</f>
        <v>0.2417</v>
      </c>
      <c r="H45" s="55">
        <f>_xll.EQNXTDZ($A$1,$B45,H$1,$B$1)</f>
        <v>0.26379999999999998</v>
      </c>
      <c r="I45" s="55">
        <f>_xll.EQNXTDZ($A$1,$B45,I$1,$B$1)</f>
        <v>0.43730000000000002</v>
      </c>
      <c r="J45" s="55">
        <f>_xll.EQNXTDZ($A$1,$B45,J$1,$B$1)</f>
        <v>0.54800000000000004</v>
      </c>
      <c r="K45" s="55">
        <f>_xll.EQNXTDZ($A$1,$B45,K$1,$B$1)</f>
        <v>15.904400000000001</v>
      </c>
      <c r="L45" s="55">
        <f>_xll.EQNXTDZ($A$1,$B45,L$1,$B$1)</f>
        <v>13.8634</v>
      </c>
      <c r="M45" s="55">
        <f>_xll.EQNXTDZ($A$1,$B45,M$1,$B$1)</f>
        <v>19.6189</v>
      </c>
      <c r="N45" s="55">
        <f>_xll.EQNXTDZ($A$1,$B45,N$1,$B$1)</f>
        <v>17.005800000000001</v>
      </c>
      <c r="O45" s="55">
        <f>_xll.EQNXTDZ($A$1,$B45,O$1,$B$1)</f>
        <v>11.8086</v>
      </c>
      <c r="P45" s="55">
        <f>_xll.EQNXTDZ($A$1,$B45,P$1,$B$1)</f>
        <v>13.8178</v>
      </c>
      <c r="Q45" s="55">
        <f>_xll.EQNXTDZ($A$1,$B45,Q$1,$B$1)</f>
        <v>16.051100000000002</v>
      </c>
      <c r="R45" s="55">
        <f>_xll.EQNXTDZ($A$1,$B45,R$1,$B$1)</f>
        <v>26.680499999999999</v>
      </c>
      <c r="S45" s="55">
        <f>_xll.EQNXTDZ($A$1,$B45,S$1,$B$1)</f>
        <v>28.52</v>
      </c>
      <c r="T45" s="55">
        <f>_xll.EQNXTDZ($A$1,$B45,T$1,$B$1)</f>
        <v>31.74</v>
      </c>
      <c r="U45" s="55">
        <f>_xll.EQNXTDZ($A$1,$B45,U$1,$B$1)</f>
        <v>34.75</v>
      </c>
      <c r="V45" s="55">
        <f>_xll.EQNXTDZ($A$1,$B45,V$1,$B$1)</f>
        <v>36.49</v>
      </c>
      <c r="W45" s="55">
        <f>_xll.EQNXTDZ($A$1,$B45,W$1,$B$1)</f>
        <v>36.1</v>
      </c>
      <c r="X45" s="55">
        <f>_xll.EQNXTDZ($A$1,$B45,X$1,$B$1)</f>
        <v>38.08</v>
      </c>
      <c r="Y45" s="55">
        <f>_xll.EQNXTDZ($A$1,$B45,Y$1,$B$1)</f>
        <v>41.65</v>
      </c>
      <c r="Z45" s="55">
        <f>_xll.EQNXTDZ($A$1,$B45,Z$1,$B$1)</f>
        <v>33.71</v>
      </c>
      <c r="AA45" s="55">
        <f>_xll.EQNXTDZ($A$1,$B45,AA$1,$B$1)</f>
        <v>27.05</v>
      </c>
      <c r="AB45" s="55">
        <f>_xll.EQNXTDZ($A$1,$B45,AB$1,$B$1)</f>
        <v>22.84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67.133200000000002</v>
      </c>
      <c r="D47" s="55">
        <f>_xll.EQNXTDZ($A$1,$B47,D$1,$B$1)</f>
        <v>22.074300000000001</v>
      </c>
      <c r="E47" s="55">
        <f>_xll.EQNXTDZ($A$1,$B47,E$1,$B$1)</f>
        <v>72.839299999999994</v>
      </c>
      <c r="F47" s="55">
        <f>_xll.EQNXTDZ($A$1,$B47,F$1,$B$1)</f>
        <v>71.142099999999999</v>
      </c>
      <c r="G47" s="55">
        <f>_xll.EQNXTDZ($A$1,$B47,G$1,$B$1)</f>
        <v>94.263199999999998</v>
      </c>
      <c r="H47" s="55">
        <f>_xll.EQNXTDZ($A$1,$B47,H$1,$B$1)</f>
        <v>64.786699999999996</v>
      </c>
      <c r="I47" s="55">
        <f>_xll.EQNXTDZ($A$1,$B47,I$1,$B$1)</f>
        <v>111.3028</v>
      </c>
      <c r="J47" s="55">
        <f>_xll.EQNXTDZ($A$1,$B47,J$1,$B$1)</f>
        <v>73.741</v>
      </c>
      <c r="K47" s="55">
        <f>_xll.EQNXTDZ($A$1,$B47,K$1,$B$1)</f>
        <v>168.76050000000001</v>
      </c>
      <c r="L47" s="55">
        <f>_xll.EQNXTDZ($A$1,$B47,L$1,$B$1)</f>
        <v>30.6265</v>
      </c>
      <c r="M47" s="55">
        <f>_xll.EQNXTDZ($A$1,$B47,M$1,$B$1)</f>
        <v>5.4486999999999997</v>
      </c>
      <c r="N47" s="55">
        <f>_xll.EQNXTDZ($A$1,$B47,N$1,$B$1)</f>
        <v>4.0006000000000004</v>
      </c>
      <c r="O47" s="55">
        <f>_xll.EQNXTDZ($A$1,$B47,O$1,$B$1)</f>
        <v>2.2884000000000002</v>
      </c>
      <c r="P47" s="55">
        <f>_xll.EQNXTDZ($A$1,$B47,P$1,$B$1)</f>
        <v>1.1575</v>
      </c>
      <c r="Q47" s="55">
        <f>_xll.EQNXTDZ($A$1,$B47,Q$1,$B$1)</f>
        <v>0.3775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67.335899999999995</v>
      </c>
      <c r="D48" s="55">
        <f>_xll.EQNXTDZ($A$1,$B48,D$1,$B$1)</f>
        <v>76.450599999999994</v>
      </c>
      <c r="E48" s="55">
        <f>_xll.EQNXTDZ($A$1,$B48,E$1,$B$1)</f>
        <v>36.105499999999999</v>
      </c>
      <c r="F48" s="55">
        <f>_xll.EQNXTDZ($A$1,$B48,F$1,$B$1)</f>
        <v>31.7652</v>
      </c>
      <c r="G48" s="55">
        <f>_xll.EQNXTDZ($A$1,$B48,G$1,$B$1)</f>
        <v>32.217399999999998</v>
      </c>
      <c r="H48" s="55">
        <f>_xll.EQNXTDZ($A$1,$B48,H$1,$B$1)</f>
        <v>25.2867</v>
      </c>
      <c r="I48" s="55">
        <f>_xll.EQNXTDZ($A$1,$B48,I$1,$B$1)</f>
        <v>0.27850000000000003</v>
      </c>
      <c r="J48" s="55">
        <f>_xll.EQNXTDZ($A$1,$B48,J$1,$B$1)</f>
        <v>0</v>
      </c>
      <c r="K48" s="55">
        <f>_xll.EQNXTDZ($A$1,$B48,K$1,$B$1)</f>
        <v>12.677899999999999</v>
      </c>
      <c r="L48" s="55">
        <f>_xll.EQNXTDZ($A$1,$B48,L$1,$B$1)</f>
        <v>4.5438999999999998</v>
      </c>
      <c r="M48" s="55">
        <f>_xll.EQNXTDZ($A$1,$B48,M$1,$B$1)</f>
        <v>3.8637000000000001</v>
      </c>
      <c r="N48" s="55">
        <f>_xll.EQNXTDZ($A$1,$B48,N$1,$B$1)</f>
        <v>3.6280999999999999</v>
      </c>
      <c r="O48" s="55">
        <f>_xll.EQNXTDZ($A$1,$B48,O$1,$B$1)</f>
        <v>3.7328999999999999</v>
      </c>
      <c r="P48" s="55">
        <f>_xll.EQNXTDZ($A$1,$B48,P$1,$B$1)</f>
        <v>4.2157999999999998</v>
      </c>
      <c r="Q48" s="55">
        <f>_xll.EQNXTDZ($A$1,$B48,Q$1,$B$1)</f>
        <v>4.3179999999999996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5.41</v>
      </c>
      <c r="W48" s="55">
        <f>_xll.EQNXTDZ($A$1,$B48,W$1,$B$1)</f>
        <v>5.66</v>
      </c>
      <c r="X48" s="55">
        <f>_xll.EQNXTDZ($A$1,$B48,X$1,$B$1)</f>
        <v>12.68</v>
      </c>
      <c r="Y48" s="55">
        <f>_xll.EQNXTDZ($A$1,$B48,Y$1,$B$1)</f>
        <v>21.15</v>
      </c>
      <c r="Z48" s="55">
        <f>_xll.EQNXTDZ($A$1,$B48,Z$1,$B$1)</f>
        <v>228</v>
      </c>
      <c r="AA48" s="55">
        <f>_xll.EQNXTDZ($A$1,$B48,AA$1,$B$1)</f>
        <v>382.28</v>
      </c>
      <c r="AB48" s="55">
        <f>_xll.EQNXTDZ($A$1,$B48,AB$1,$B$1)</f>
        <v>375.8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-11.69</v>
      </c>
      <c r="E49" s="55">
        <f>_xll.EQNXTDZ($A$1,$B49,E$1,$B$1)</f>
        <v>-13.653600000000001</v>
      </c>
      <c r="F49" s="55">
        <f>_xll.EQNXTDZ($A$1,$B49,F$1,$B$1)</f>
        <v>-10.2225</v>
      </c>
      <c r="G49" s="55">
        <f>_xll.EQNXTDZ($A$1,$B49,G$1,$B$1)</f>
        <v>-21.163499999999999</v>
      </c>
      <c r="H49" s="55">
        <f>_xll.EQNXTDZ($A$1,$B49,H$1,$B$1)</f>
        <v>-25.63</v>
      </c>
      <c r="I49" s="55">
        <f>_xll.EQNXTDZ($A$1,$B49,I$1,$B$1)</f>
        <v>-27.897600000000001</v>
      </c>
      <c r="J49" s="55">
        <f>_xll.EQNXTDZ($A$1,$B49,J$1,$B$1)</f>
        <v>-18.9312</v>
      </c>
      <c r="K49" s="55">
        <f>_xll.EQNXTDZ($A$1,$B49,K$1,$B$1)</f>
        <v>-22.398800000000001</v>
      </c>
      <c r="L49" s="55">
        <f>_xll.EQNXTDZ($A$1,$B49,L$1,$B$1)</f>
        <v>-20.237400000000001</v>
      </c>
      <c r="M49" s="55">
        <f>_xll.EQNXTDZ($A$1,$B49,M$1,$B$1)</f>
        <v>-15.210599999999999</v>
      </c>
      <c r="N49" s="55">
        <f>_xll.EQNXTDZ($A$1,$B49,N$1,$B$1)</f>
        <v>-24.242899999999999</v>
      </c>
      <c r="O49" s="55">
        <f>_xll.EQNXTDZ($A$1,$B49,O$1,$B$1)</f>
        <v>-22.177099999999999</v>
      </c>
      <c r="P49" s="55">
        <f>_xll.EQNXTDZ($A$1,$B49,P$1,$B$1)</f>
        <v>-23.892700000000001</v>
      </c>
      <c r="Q49" s="55">
        <f>_xll.EQNXTDZ($A$1,$B49,Q$1,$B$1)</f>
        <v>-34.853700000000003</v>
      </c>
      <c r="R49" s="55">
        <f>_xll.EQNXTDZ($A$1,$B49,R$1,$B$1)</f>
        <v>-31.045400000000001</v>
      </c>
      <c r="S49" s="55">
        <f>_xll.EQNXTDZ($A$1,$B49,S$1,$B$1)</f>
        <v>-19.78</v>
      </c>
      <c r="T49" s="55">
        <f>_xll.EQNXTDZ($A$1,$B49,T$1,$B$1)</f>
        <v>-4.5999999999999996</v>
      </c>
      <c r="U49" s="55">
        <f>_xll.EQNXTDZ($A$1,$B49,U$1,$B$1)</f>
        <v>-99.3</v>
      </c>
      <c r="V49" s="55">
        <f>_xll.EQNXTDZ($A$1,$B49,V$1,$B$1)</f>
        <v>-71.45</v>
      </c>
      <c r="W49" s="55">
        <f>_xll.EQNXTDZ($A$1,$B49,W$1,$B$1)</f>
        <v>-55.77</v>
      </c>
      <c r="X49" s="55">
        <f>_xll.EQNXTDZ($A$1,$B49,X$1,$B$1)</f>
        <v>-31.65</v>
      </c>
      <c r="Y49" s="55">
        <f>_xll.EQNXTDZ($A$1,$B49,Y$1,$B$1)</f>
        <v>-30.28</v>
      </c>
      <c r="Z49" s="55">
        <f>_xll.EQNXTDZ($A$1,$B49,Z$1,$B$1)</f>
        <v>17.59</v>
      </c>
      <c r="AA49" s="55">
        <f>_xll.EQNXTDZ($A$1,$B49,AA$1,$B$1)</f>
        <v>13.95</v>
      </c>
      <c r="AB49" s="55">
        <f>_xll.EQNXTDZ($A$1,$B49,AB$1,$B$1)</f>
        <v>-37.01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0.73319999999999996</v>
      </c>
      <c r="N50" s="55">
        <f>_xll.EQNXTDZ($A$1,$B50,N$1,$B$1)</f>
        <v>0.97629999999999995</v>
      </c>
      <c r="O50" s="55">
        <f>_xll.EQNXTDZ($A$1,$B50,O$1,$B$1)</f>
        <v>0.48110000000000003</v>
      </c>
      <c r="P50" s="55">
        <f>_xll.EQNXTDZ($A$1,$B50,P$1,$B$1)</f>
        <v>0.75280000000000002</v>
      </c>
      <c r="Q50" s="55">
        <f>_xll.EQNXTDZ($A$1,$B50,Q$1,$B$1)</f>
        <v>0.81140000000000001</v>
      </c>
      <c r="R50" s="55">
        <f>_xll.EQNXTDZ($A$1,$B50,R$1,$B$1)</f>
        <v>0.80300000000000005</v>
      </c>
      <c r="S50" s="55">
        <f>_xll.EQNXTDZ($A$1,$B50,S$1,$B$1)</f>
        <v>0.2</v>
      </c>
      <c r="T50" s="55">
        <f>_xll.EQNXTDZ($A$1,$B50,T$1,$B$1)</f>
        <v>0.97</v>
      </c>
      <c r="U50" s="55">
        <f>_xll.EQNXTDZ($A$1,$B50,U$1,$B$1)</f>
        <v>0.7</v>
      </c>
      <c r="V50" s="55">
        <f>_xll.EQNXTDZ($A$1,$B50,V$1,$B$1)</f>
        <v>31.25</v>
      </c>
      <c r="W50" s="55">
        <f>_xll.EQNXTDZ($A$1,$B50,W$1,$B$1)</f>
        <v>26.37</v>
      </c>
      <c r="X50" s="55">
        <f>_xll.EQNXTDZ($A$1,$B50,X$1,$B$1)</f>
        <v>24.72</v>
      </c>
      <c r="Y50" s="55">
        <f>_xll.EQNXTDZ($A$1,$B50,Y$1,$B$1)</f>
        <v>47.35</v>
      </c>
      <c r="Z50" s="55">
        <f>_xll.EQNXTDZ($A$1,$B50,Z$1,$B$1)</f>
        <v>39.82</v>
      </c>
      <c r="AA50" s="55">
        <f>_xll.EQNXTDZ($A$1,$B50,AA$1,$B$1)</f>
        <v>70.41</v>
      </c>
      <c r="AB50" s="55">
        <f>_xll.EQNXTDZ($A$1,$B50,AB$1,$B$1)</f>
        <v>71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13.457800000000001</v>
      </c>
      <c r="N51" s="55">
        <f>_xll.EQNXTDZ($A$1,$B51,N$1,$B$1)</f>
        <v>19.349</v>
      </c>
      <c r="O51" s="55">
        <f>_xll.EQNXTDZ($A$1,$B51,O$1,$B$1)</f>
        <v>27.4786</v>
      </c>
      <c r="P51" s="55">
        <f>_xll.EQNXTDZ($A$1,$B51,P$1,$B$1)</f>
        <v>29.120100000000001</v>
      </c>
      <c r="Q51" s="55">
        <f>_xll.EQNXTDZ($A$1,$B51,Q$1,$B$1)</f>
        <v>19.360600000000002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73.906199999999998</v>
      </c>
      <c r="N52" s="55">
        <f>_xll.EQNXTDZ($A$1,$B52,N$1,$B$1)</f>
        <v>85.965500000000006</v>
      </c>
      <c r="O52" s="55">
        <f>_xll.EQNXTDZ($A$1,$B52,O$1,$B$1)</f>
        <v>89.8292</v>
      </c>
      <c r="P52" s="55">
        <f>_xll.EQNXTDZ($A$1,$B52,P$1,$B$1)</f>
        <v>90.226799999999997</v>
      </c>
      <c r="Q52" s="55">
        <f>_xll.EQNXTDZ($A$1,$B52,Q$1,$B$1)</f>
        <v>107.88290000000001</v>
      </c>
      <c r="R52" s="55">
        <f>_xll.EQNXTDZ($A$1,$B52,R$1,$B$1)</f>
        <v>81.255099999999999</v>
      </c>
      <c r="S52" s="55">
        <f>_xll.EQNXTDZ($A$1,$B52,S$1,$B$1)</f>
        <v>91.43</v>
      </c>
      <c r="T52" s="55">
        <f>_xll.EQNXTDZ($A$1,$B52,T$1,$B$1)</f>
        <v>87.32</v>
      </c>
      <c r="U52" s="55">
        <f>_xll.EQNXTDZ($A$1,$B52,U$1,$B$1)</f>
        <v>84.66</v>
      </c>
      <c r="V52" s="55">
        <f>_xll.EQNXTDZ($A$1,$B52,V$1,$B$1)</f>
        <v>87.47</v>
      </c>
      <c r="W52" s="55">
        <f>_xll.EQNXTDZ($A$1,$B52,W$1,$B$1)</f>
        <v>89.91</v>
      </c>
      <c r="X52" s="55">
        <f>_xll.EQNXTDZ($A$1,$B52,X$1,$B$1)</f>
        <v>103.03</v>
      </c>
      <c r="Y52" s="55">
        <f>_xll.EQNXTDZ($A$1,$B52,Y$1,$B$1)</f>
        <v>91.97</v>
      </c>
      <c r="Z52" s="55">
        <f>_xll.EQNXTDZ($A$1,$B52,Z$1,$B$1)</f>
        <v>98.43</v>
      </c>
      <c r="AA52" s="55">
        <f>_xll.EQNXTDZ($A$1,$B52,AA$1,$B$1)</f>
        <v>95.21</v>
      </c>
      <c r="AB52" s="55">
        <f>_xll.EQNXTDZ($A$1,$B52,AB$1,$B$1)</f>
        <v>96.2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134.4691</v>
      </c>
      <c r="D53" s="55">
        <f>_xll.EQNXTDZ($A$1,$B53,D$1,$B$1)</f>
        <v>86.834900000000005</v>
      </c>
      <c r="E53" s="55">
        <f>_xll.EQNXTDZ($A$1,$B53,E$1,$B$1)</f>
        <v>95.291200000000003</v>
      </c>
      <c r="F53" s="55">
        <f>_xll.EQNXTDZ($A$1,$B53,F$1,$B$1)</f>
        <v>92.684799999999996</v>
      </c>
      <c r="G53" s="55">
        <f>_xll.EQNXTDZ($A$1,$B53,G$1,$B$1)</f>
        <v>105.3171</v>
      </c>
      <c r="H53" s="55">
        <f>_xll.EQNXTDZ($A$1,$B53,H$1,$B$1)</f>
        <v>64.443399999999997</v>
      </c>
      <c r="I53" s="55">
        <f>_xll.EQNXTDZ($A$1,$B53,I$1,$B$1)</f>
        <v>83.683700000000002</v>
      </c>
      <c r="J53" s="55">
        <f>_xll.EQNXTDZ($A$1,$B53,J$1,$B$1)</f>
        <v>54.809800000000003</v>
      </c>
      <c r="K53" s="55">
        <f>_xll.EQNXTDZ($A$1,$B53,K$1,$B$1)</f>
        <v>159.03960000000001</v>
      </c>
      <c r="L53" s="55">
        <f>_xll.EQNXTDZ($A$1,$B53,L$1,$B$1)</f>
        <v>14.933</v>
      </c>
      <c r="M53" s="55">
        <f>_xll.EQNXTDZ($A$1,$B53,M$1,$B$1)</f>
        <v>82.198999999999998</v>
      </c>
      <c r="N53" s="55">
        <f>_xll.EQNXTDZ($A$1,$B53,N$1,$B$1)</f>
        <v>89.676599999999993</v>
      </c>
      <c r="O53" s="55">
        <f>_xll.EQNXTDZ($A$1,$B53,O$1,$B$1)</f>
        <v>101.6331</v>
      </c>
      <c r="P53" s="55">
        <f>_xll.EQNXTDZ($A$1,$B53,P$1,$B$1)</f>
        <v>101.58029999999999</v>
      </c>
      <c r="Q53" s="55">
        <f>_xll.EQNXTDZ($A$1,$B53,Q$1,$B$1)</f>
        <v>97.896699999999996</v>
      </c>
      <c r="R53" s="55">
        <f>_xll.EQNXTDZ($A$1,$B53,R$1,$B$1)</f>
        <v>51.012700000000002</v>
      </c>
      <c r="S53" s="55">
        <f>_xll.EQNXTDZ($A$1,$B53,S$1,$B$1)</f>
        <v>71.849999999999994</v>
      </c>
      <c r="T53" s="55">
        <f>_xll.EQNXTDZ($A$1,$B53,T$1,$B$1)</f>
        <v>83.69</v>
      </c>
      <c r="U53" s="55">
        <f>_xll.EQNXTDZ($A$1,$B53,U$1,$B$1)</f>
        <v>-13.94</v>
      </c>
      <c r="V53" s="55">
        <f>_xll.EQNXTDZ($A$1,$B53,V$1,$B$1)</f>
        <v>52.68</v>
      </c>
      <c r="W53" s="55">
        <f>_xll.EQNXTDZ($A$1,$B53,W$1,$B$1)</f>
        <v>66.17</v>
      </c>
      <c r="X53" s="55">
        <f>_xll.EQNXTDZ($A$1,$B53,X$1,$B$1)</f>
        <v>108.78</v>
      </c>
      <c r="Y53" s="55">
        <f>_xll.EQNXTDZ($A$1,$B53,Y$1,$B$1)</f>
        <v>130.19</v>
      </c>
      <c r="Z53" s="55">
        <f>_xll.EQNXTDZ($A$1,$B53,Z$1,$B$1)</f>
        <v>383.84</v>
      </c>
      <c r="AA53" s="55">
        <f>_xll.EQNXTDZ($A$1,$B53,AA$1,$B$1)</f>
        <v>561.85</v>
      </c>
      <c r="AB53" s="55">
        <f>_xll.EQNXTDZ($A$1,$B53,AB$1,$B$1)</f>
        <v>505.99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227.62039999999999</v>
      </c>
      <c r="D54" s="55">
        <f>_xll.EQNXTDZ($A$1,$B54,D$1,$B$1)</f>
        <v>263.7568</v>
      </c>
      <c r="E54" s="55">
        <f>_xll.EQNXTDZ($A$1,$B54,E$1,$B$1)</f>
        <v>388.37639999999999</v>
      </c>
      <c r="F54" s="55">
        <f>_xll.EQNXTDZ($A$1,$B54,F$1,$B$1)</f>
        <v>434.55250000000001</v>
      </c>
      <c r="G54" s="55">
        <f>_xll.EQNXTDZ($A$1,$B54,G$1,$B$1)</f>
        <v>480.08350000000002</v>
      </c>
      <c r="H54" s="55">
        <f>_xll.EQNXTDZ($A$1,$B54,H$1,$B$1)</f>
        <v>564.81299999999999</v>
      </c>
      <c r="I54" s="55">
        <f>_xll.EQNXTDZ($A$1,$B54,I$1,$B$1)</f>
        <v>628.41610000000003</v>
      </c>
      <c r="J54" s="55">
        <f>_xll.EQNXTDZ($A$1,$B54,J$1,$B$1)</f>
        <v>733.42819999999995</v>
      </c>
      <c r="K54" s="55">
        <f>_xll.EQNXTDZ($A$1,$B54,K$1,$B$1)</f>
        <v>1252.748</v>
      </c>
      <c r="L54" s="55">
        <f>_xll.EQNXTDZ($A$1,$B54,L$1,$B$1)</f>
        <v>1188.7321999999999</v>
      </c>
      <c r="M54" s="55">
        <f>_xll.EQNXTDZ($A$1,$B54,M$1,$B$1)</f>
        <v>1449.9087</v>
      </c>
      <c r="N54" s="55">
        <f>_xll.EQNXTDZ($A$1,$B54,N$1,$B$1)</f>
        <v>1472.9903999999999</v>
      </c>
      <c r="O54" s="55">
        <f>_xll.EQNXTDZ($A$1,$B54,O$1,$B$1)</f>
        <v>1719.0953</v>
      </c>
      <c r="P54" s="55">
        <f>_xll.EQNXTDZ($A$1,$B54,P$1,$B$1)</f>
        <v>1626.7429999999999</v>
      </c>
      <c r="Q54" s="55">
        <f>_xll.EQNXTDZ($A$1,$B54,Q$1,$B$1)</f>
        <v>1541.4493</v>
      </c>
      <c r="R54" s="55">
        <f>_xll.EQNXTDZ($A$1,$B54,R$1,$B$1)</f>
        <v>1748.7831000000001</v>
      </c>
      <c r="S54" s="55">
        <f>_xll.EQNXTDZ($A$1,$B54,S$1,$B$1)</f>
        <v>1994.57</v>
      </c>
      <c r="T54" s="55">
        <f>_xll.EQNXTDZ($A$1,$B54,T$1,$B$1)</f>
        <v>2176.41</v>
      </c>
      <c r="U54" s="55">
        <f>_xll.EQNXTDZ($A$1,$B54,U$1,$B$1)</f>
        <v>2374.4899999999998</v>
      </c>
      <c r="V54" s="55">
        <f>_xll.EQNXTDZ($A$1,$B54,V$1,$B$1)</f>
        <v>2688.89</v>
      </c>
      <c r="W54" s="55">
        <f>_xll.EQNXTDZ($A$1,$B54,W$1,$B$1)</f>
        <v>2464.5300000000002</v>
      </c>
      <c r="X54" s="55">
        <f>_xll.EQNXTDZ($A$1,$B54,X$1,$B$1)</f>
        <v>2942.05</v>
      </c>
      <c r="Y54" s="55">
        <f>_xll.EQNXTDZ($A$1,$B54,Y$1,$B$1)</f>
        <v>3012.63</v>
      </c>
      <c r="Z54" s="55">
        <f>_xll.EQNXTDZ($A$1,$B54,Z$1,$B$1)</f>
        <v>3775.45</v>
      </c>
      <c r="AA54" s="55">
        <f>_xll.EQNXTDZ($A$1,$B54,AA$1,$B$1)</f>
        <v>3892.81</v>
      </c>
      <c r="AB54" s="55">
        <f>_xll.EQNXTDZ($A$1,$B54,AB$1,$B$1)</f>
        <v>5227.78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128.36439999999999</v>
      </c>
      <c r="D55" s="55">
        <f>_xll.EQNXTDZ($A$1,$B55,D$1,$B$1)</f>
        <v>157.37029999999999</v>
      </c>
      <c r="E55" s="55">
        <f>_xll.EQNXTDZ($A$1,$B55,E$1,$B$1)</f>
        <v>155.46549999999999</v>
      </c>
      <c r="F55" s="55">
        <f>_xll.EQNXTDZ($A$1,$B55,F$1,$B$1)</f>
        <v>138.02350000000001</v>
      </c>
      <c r="G55" s="55">
        <f>_xll.EQNXTDZ($A$1,$B55,G$1,$B$1)</f>
        <v>175.03919999999999</v>
      </c>
      <c r="H55" s="55">
        <f>_xll.EQNXTDZ($A$1,$B55,H$1,$B$1)</f>
        <v>204.70779999999999</v>
      </c>
      <c r="I55" s="55">
        <f>_xll.EQNXTDZ($A$1,$B55,I$1,$B$1)</f>
        <v>310.23160000000001</v>
      </c>
      <c r="J55" s="55">
        <f>_xll.EQNXTDZ($A$1,$B55,J$1,$B$1)</f>
        <v>528.54190000000006</v>
      </c>
      <c r="K55" s="55">
        <f>_xll.EQNXTDZ($A$1,$B55,K$1,$B$1)</f>
        <v>721.52800000000002</v>
      </c>
      <c r="L55" s="55">
        <f>_xll.EQNXTDZ($A$1,$B55,L$1,$B$1)</f>
        <v>794.25160000000005</v>
      </c>
      <c r="M55" s="55">
        <f>_xll.EQNXTDZ($A$1,$B55,M$1,$B$1)</f>
        <v>844.26660000000004</v>
      </c>
      <c r="N55" s="55">
        <f>_xll.EQNXTDZ($A$1,$B55,N$1,$B$1)</f>
        <v>666.01919999999996</v>
      </c>
      <c r="O55" s="55">
        <f>_xll.EQNXTDZ($A$1,$B55,O$1,$B$1)</f>
        <v>647.65989999999999</v>
      </c>
      <c r="P55" s="55">
        <f>_xll.EQNXTDZ($A$1,$B55,P$1,$B$1)</f>
        <v>711.97310000000004</v>
      </c>
      <c r="Q55" s="55">
        <f>_xll.EQNXTDZ($A$1,$B55,Q$1,$B$1)</f>
        <v>730.89829999999995</v>
      </c>
      <c r="R55" s="55">
        <f>_xll.EQNXTDZ($A$1,$B55,R$1,$B$1)</f>
        <v>722.31669999999997</v>
      </c>
      <c r="S55" s="55">
        <f>_xll.EQNXTDZ($A$1,$B55,S$1,$B$1)</f>
        <v>652.04</v>
      </c>
      <c r="T55" s="55">
        <f>_xll.EQNXTDZ($A$1,$B55,T$1,$B$1)</f>
        <v>757.4</v>
      </c>
      <c r="U55" s="55">
        <f>_xll.EQNXTDZ($A$1,$B55,U$1,$B$1)</f>
        <v>454.5</v>
      </c>
      <c r="V55" s="55">
        <f>_xll.EQNXTDZ($A$1,$B55,V$1,$B$1)</f>
        <v>689.42</v>
      </c>
      <c r="W55" s="55">
        <f>_xll.EQNXTDZ($A$1,$B55,W$1,$B$1)</f>
        <v>589.11</v>
      </c>
      <c r="X55" s="55">
        <f>_xll.EQNXTDZ($A$1,$B55,X$1,$B$1)</f>
        <v>546.57000000000005</v>
      </c>
      <c r="Y55" s="55">
        <f>_xll.EQNXTDZ($A$1,$B55,Y$1,$B$1)</f>
        <v>897.47</v>
      </c>
      <c r="Z55" s="55">
        <f>_xll.EQNXTDZ($A$1,$B55,Z$1,$B$1)</f>
        <v>1262.3499999999999</v>
      </c>
      <c r="AA55" s="55">
        <f>_xll.EQNXTDZ($A$1,$B55,AA$1,$B$1)</f>
        <v>1296.29</v>
      </c>
      <c r="AB55" s="55">
        <f>_xll.EQNXTDZ($A$1,$B55,AB$1,$B$1)</f>
        <v>1384.79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127.4123</v>
      </c>
      <c r="N56" s="55">
        <f>_xll.EQNXTDZ($A$1,$B56,N$1,$B$1)</f>
        <v>215.8117</v>
      </c>
      <c r="O56" s="55">
        <f>_xll.EQNXTDZ($A$1,$B56,O$1,$B$1)</f>
        <v>255.2159</v>
      </c>
      <c r="P56" s="55">
        <f>_xll.EQNXTDZ($A$1,$B56,P$1,$B$1)</f>
        <v>257.51749999999998</v>
      </c>
      <c r="Q56" s="55">
        <f>_xll.EQNXTDZ($A$1,$B56,Q$1,$B$1)</f>
        <v>116.9765</v>
      </c>
      <c r="R56" s="55">
        <f>_xll.EQNXTDZ($A$1,$B56,R$1,$B$1)</f>
        <v>270.74</v>
      </c>
      <c r="S56" s="55">
        <f>_xll.EQNXTDZ($A$1,$B56,S$1,$B$1)</f>
        <v>170.94</v>
      </c>
      <c r="T56" s="55">
        <f>_xll.EQNXTDZ($A$1,$B56,T$1,$B$1)</f>
        <v>142.29</v>
      </c>
      <c r="U56" s="55">
        <f>_xll.EQNXTDZ($A$1,$B56,U$1,$B$1)</f>
        <v>314.64999999999998</v>
      </c>
      <c r="V56" s="55">
        <f>_xll.EQNXTDZ($A$1,$B56,V$1,$B$1)</f>
        <v>212.44</v>
      </c>
      <c r="W56" s="55">
        <f>_xll.EQNXTDZ($A$1,$B56,W$1,$B$1)</f>
        <v>254.95</v>
      </c>
      <c r="X56" s="55">
        <f>_xll.EQNXTDZ($A$1,$B56,X$1,$B$1)</f>
        <v>348.15</v>
      </c>
      <c r="Y56" s="55">
        <f>_xll.EQNXTDZ($A$1,$B56,Y$1,$B$1)</f>
        <v>495.79</v>
      </c>
      <c r="Z56" s="55">
        <f>_xll.EQNXTDZ($A$1,$B56,Z$1,$B$1)</f>
        <v>451.84</v>
      </c>
      <c r="AA56" s="55">
        <f>_xll.EQNXTDZ($A$1,$B56,AA$1,$B$1)</f>
        <v>459.78</v>
      </c>
      <c r="AB56" s="55">
        <f>_xll.EQNXTDZ($A$1,$B56,AB$1,$B$1)</f>
        <v>543.62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31.599699999999999</v>
      </c>
      <c r="D57" s="55">
        <f>_xll.EQNXTDZ($A$1,$B57,D$1,$B$1)</f>
        <v>54.2301</v>
      </c>
      <c r="E57" s="55">
        <f>_xll.EQNXTDZ($A$1,$B57,E$1,$B$1)</f>
        <v>78.456500000000005</v>
      </c>
      <c r="F57" s="55">
        <f>_xll.EQNXTDZ($A$1,$B57,F$1,$B$1)</f>
        <v>84.129099999999994</v>
      </c>
      <c r="G57" s="55">
        <f>_xll.EQNXTDZ($A$1,$B57,G$1,$B$1)</f>
        <v>103.47199999999999</v>
      </c>
      <c r="H57" s="55">
        <f>_xll.EQNXTDZ($A$1,$B57,H$1,$B$1)</f>
        <v>120.5805</v>
      </c>
      <c r="I57" s="55">
        <f>_xll.EQNXTDZ($A$1,$B57,I$1,$B$1)</f>
        <v>179.2791</v>
      </c>
      <c r="J57" s="55">
        <f>_xll.EQNXTDZ($A$1,$B57,J$1,$B$1)</f>
        <v>216.85679999999999</v>
      </c>
      <c r="K57" s="55">
        <f>_xll.EQNXTDZ($A$1,$B57,K$1,$B$1)</f>
        <v>261.68599999999998</v>
      </c>
      <c r="L57" s="55">
        <f>_xll.EQNXTDZ($A$1,$B57,L$1,$B$1)</f>
        <v>264.51</v>
      </c>
      <c r="M57" s="55">
        <f>_xll.EQNXTDZ($A$1,$B57,M$1,$B$1)</f>
        <v>242.34970000000001</v>
      </c>
      <c r="N57" s="55">
        <f>_xll.EQNXTDZ($A$1,$B57,N$1,$B$1)</f>
        <v>193.06399999999999</v>
      </c>
      <c r="O57" s="55">
        <f>_xll.EQNXTDZ($A$1,$B57,O$1,$B$1)</f>
        <v>181.1405</v>
      </c>
      <c r="P57" s="55">
        <f>_xll.EQNXTDZ($A$1,$B57,P$1,$B$1)</f>
        <v>188.74459999999999</v>
      </c>
      <c r="Q57" s="55">
        <f>_xll.EQNXTDZ($A$1,$B57,Q$1,$B$1)</f>
        <v>246.16630000000001</v>
      </c>
      <c r="R57" s="55">
        <f>_xll.EQNXTDZ($A$1,$B57,R$1,$B$1)</f>
        <v>207.78819999999999</v>
      </c>
      <c r="S57" s="55">
        <f>_xll.EQNXTDZ($A$1,$B57,S$1,$B$1)</f>
        <v>224.52</v>
      </c>
      <c r="T57" s="55">
        <f>_xll.EQNXTDZ($A$1,$B57,T$1,$B$1)</f>
        <v>195.07</v>
      </c>
      <c r="U57" s="55">
        <f>_xll.EQNXTDZ($A$1,$B57,U$1,$B$1)</f>
        <v>141.65</v>
      </c>
      <c r="V57" s="55">
        <f>_xll.EQNXTDZ($A$1,$B57,V$1,$B$1)</f>
        <v>123.06</v>
      </c>
      <c r="W57" s="55">
        <f>_xll.EQNXTDZ($A$1,$B57,W$1,$B$1)</f>
        <v>195.5</v>
      </c>
      <c r="X57" s="55">
        <f>_xll.EQNXTDZ($A$1,$B57,X$1,$B$1)</f>
        <v>219.14</v>
      </c>
      <c r="Y57" s="55">
        <f>_xll.EQNXTDZ($A$1,$B57,Y$1,$B$1)</f>
        <v>213.65</v>
      </c>
      <c r="Z57" s="55">
        <f>_xll.EQNXTDZ($A$1,$B57,Z$1,$B$1)</f>
        <v>266.74</v>
      </c>
      <c r="AA57" s="55">
        <f>_xll.EQNXTDZ($A$1,$B57,AA$1,$B$1)</f>
        <v>356.62</v>
      </c>
      <c r="AB57" s="55">
        <f>_xll.EQNXTDZ($A$1,$B57,AB$1,$B$1)</f>
        <v>397.84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387.58449999999999</v>
      </c>
      <c r="D59" s="55">
        <f>_xll.EQNXTDZ($A$1,$B59,D$1,$B$1)</f>
        <v>475.35719999999998</v>
      </c>
      <c r="E59" s="55">
        <f>_xll.EQNXTDZ($A$1,$B59,E$1,$B$1)</f>
        <v>622.29840000000002</v>
      </c>
      <c r="F59" s="55">
        <f>_xll.EQNXTDZ($A$1,$B59,F$1,$B$1)</f>
        <v>656.70510000000002</v>
      </c>
      <c r="G59" s="55">
        <f>_xll.EQNXTDZ($A$1,$B59,G$1,$B$1)</f>
        <v>758.59469999999999</v>
      </c>
      <c r="H59" s="55">
        <f>_xll.EQNXTDZ($A$1,$B59,H$1,$B$1)</f>
        <v>890.10130000000004</v>
      </c>
      <c r="I59" s="55">
        <f>_xll.EQNXTDZ($A$1,$B59,I$1,$B$1)</f>
        <v>1117.9268</v>
      </c>
      <c r="J59" s="55">
        <f>_xll.EQNXTDZ($A$1,$B59,J$1,$B$1)</f>
        <v>1478.8269</v>
      </c>
      <c r="K59" s="55">
        <f>_xll.EQNXTDZ($A$1,$B59,K$1,$B$1)</f>
        <v>2235.962</v>
      </c>
      <c r="L59" s="55">
        <f>_xll.EQNXTDZ($A$1,$B59,L$1,$B$1)</f>
        <v>2247.4938000000002</v>
      </c>
      <c r="M59" s="55">
        <f>_xll.EQNXTDZ($A$1,$B59,M$1,$B$1)</f>
        <v>2663.9373000000001</v>
      </c>
      <c r="N59" s="55">
        <f>_xll.EQNXTDZ($A$1,$B59,N$1,$B$1)</f>
        <v>2547.8852999999999</v>
      </c>
      <c r="O59" s="55">
        <f>_xll.EQNXTDZ($A$1,$B59,O$1,$B$1)</f>
        <v>2803.1116000000002</v>
      </c>
      <c r="P59" s="55">
        <f>_xll.EQNXTDZ($A$1,$B59,P$1,$B$1)</f>
        <v>2784.9782</v>
      </c>
      <c r="Q59" s="55">
        <f>_xll.EQNXTDZ($A$1,$B59,Q$1,$B$1)</f>
        <v>2635.4904000000001</v>
      </c>
      <c r="R59" s="55">
        <f>_xll.EQNXTDZ($A$1,$B59,R$1,$B$1)</f>
        <v>2949.6280000000002</v>
      </c>
      <c r="S59" s="55">
        <f>_xll.EQNXTDZ($A$1,$B59,S$1,$B$1)</f>
        <v>3042.07</v>
      </c>
      <c r="T59" s="55">
        <f>_xll.EQNXTDZ($A$1,$B59,T$1,$B$1)</f>
        <v>3271.17</v>
      </c>
      <c r="U59" s="55">
        <f>_xll.EQNXTDZ($A$1,$B59,U$1,$B$1)</f>
        <v>3285.29</v>
      </c>
      <c r="V59" s="55">
        <f>_xll.EQNXTDZ($A$1,$B59,V$1,$B$1)</f>
        <v>3713.81</v>
      </c>
      <c r="W59" s="55">
        <f>_xll.EQNXTDZ($A$1,$B59,W$1,$B$1)</f>
        <v>3504.09</v>
      </c>
      <c r="X59" s="55">
        <f>_xll.EQNXTDZ($A$1,$B59,X$1,$B$1)</f>
        <v>4055.91</v>
      </c>
      <c r="Y59" s="55">
        <f>_xll.EQNXTDZ($A$1,$B59,Y$1,$B$1)</f>
        <v>4619.54</v>
      </c>
      <c r="Z59" s="55">
        <f>_xll.EQNXTDZ($A$1,$B59,Z$1,$B$1)</f>
        <v>5756.38</v>
      </c>
      <c r="AA59" s="55">
        <f>_xll.EQNXTDZ($A$1,$B59,AA$1,$B$1)</f>
        <v>6005.5</v>
      </c>
      <c r="AB59" s="55">
        <f>_xll.EQNXTDZ($A$1,$B59,AB$1,$B$1)</f>
        <v>7554.03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677.12630000000001</v>
      </c>
      <c r="D60" s="55">
        <f>_xll.EQNXTDZ($A$1,$B60,D$1,$B$1)</f>
        <v>770.91700000000003</v>
      </c>
      <c r="E60" s="55">
        <f>_xll.EQNXTDZ($A$1,$B60,E$1,$B$1)</f>
        <v>904.39490000000001</v>
      </c>
      <c r="F60" s="55">
        <f>_xll.EQNXTDZ($A$1,$B60,F$1,$B$1)</f>
        <v>964.45</v>
      </c>
      <c r="G60" s="55">
        <f>_xll.EQNXTDZ($A$1,$B60,G$1,$B$1)</f>
        <v>1083.694</v>
      </c>
      <c r="H60" s="55">
        <f>_xll.EQNXTDZ($A$1,$B60,H$1,$B$1)</f>
        <v>1226.1731</v>
      </c>
      <c r="I60" s="55">
        <f>_xll.EQNXTDZ($A$1,$B60,I$1,$B$1)</f>
        <v>1625.7877000000001</v>
      </c>
      <c r="J60" s="55">
        <f>_xll.EQNXTDZ($A$1,$B60,J$1,$B$1)</f>
        <v>2111.4079000000002</v>
      </c>
      <c r="K60" s="55">
        <f>_xll.EQNXTDZ($A$1,$B60,K$1,$B$1)</f>
        <v>3200.6556</v>
      </c>
      <c r="L60" s="55">
        <f>_xll.EQNXTDZ($A$1,$B60,L$1,$B$1)</f>
        <v>3361.4587999999999</v>
      </c>
      <c r="M60" s="55">
        <f>_xll.EQNXTDZ($A$1,$B60,M$1,$B$1)</f>
        <v>4127.4724999999999</v>
      </c>
      <c r="N60" s="55">
        <f>_xll.EQNXTDZ($A$1,$B60,N$1,$B$1)</f>
        <v>4132.4108999999999</v>
      </c>
      <c r="O60" s="55">
        <f>_xll.EQNXTDZ($A$1,$B60,O$1,$B$1)</f>
        <v>4542.1752999999999</v>
      </c>
      <c r="P60" s="55">
        <f>_xll.EQNXTDZ($A$1,$B60,P$1,$B$1)</f>
        <v>4719.6974</v>
      </c>
      <c r="Q60" s="55">
        <f>_xll.EQNXTDZ($A$1,$B60,Q$1,$B$1)</f>
        <v>4851.5115999999998</v>
      </c>
      <c r="R60" s="55">
        <f>_xll.EQNXTDZ($A$1,$B60,R$1,$B$1)</f>
        <v>5838.4053000000004</v>
      </c>
      <c r="S60" s="55">
        <f>_xll.EQNXTDZ($A$1,$B60,S$1,$B$1)</f>
        <v>6449.06</v>
      </c>
      <c r="T60" s="55">
        <f>_xll.EQNXTDZ($A$1,$B60,T$1,$B$1)</f>
        <v>7291.81</v>
      </c>
      <c r="U60" s="55">
        <f>_xll.EQNXTDZ($A$1,$B60,U$1,$B$1)</f>
        <v>7416.09</v>
      </c>
      <c r="V60" s="55">
        <f>_xll.EQNXTDZ($A$1,$B60,V$1,$B$1)</f>
        <v>8083.19</v>
      </c>
      <c r="W60" s="55">
        <f>_xll.EQNXTDZ($A$1,$B60,W$1,$B$1)</f>
        <v>8599.7099999999991</v>
      </c>
      <c r="X60" s="55">
        <f>_xll.EQNXTDZ($A$1,$B60,X$1,$B$1)</f>
        <v>9702.33</v>
      </c>
      <c r="Y60" s="55">
        <f>_xll.EQNXTDZ($A$1,$B60,Y$1,$B$1)</f>
        <v>10243.450000000001</v>
      </c>
      <c r="Z60" s="55">
        <f>_xll.EQNXTDZ($A$1,$B60,Z$1,$B$1)</f>
        <v>11994.43</v>
      </c>
      <c r="AA60" s="55">
        <f>_xll.EQNXTDZ($A$1,$B60,AA$1,$B$1)</f>
        <v>13107.65</v>
      </c>
      <c r="AB60" s="55">
        <f>_xll.EQNXTDZ($A$1,$B60,AB$1,$B$1)</f>
        <v>14459.07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254.80500000000001</v>
      </c>
      <c r="D62" s="55">
        <f>_xll.EQNXTDZ($A$1,$B62,D$1,$B$1)</f>
        <v>244.5393</v>
      </c>
      <c r="E62" s="55">
        <f>_xll.EQNXTDZ($A$1,$B62,E$1,$B$1)</f>
        <v>275.75549999999998</v>
      </c>
      <c r="F62" s="55">
        <f>_xll.EQNXTDZ($A$1,$B62,F$1,$B$1)</f>
        <v>283.89069999999998</v>
      </c>
      <c r="G62" s="55">
        <f>_xll.EQNXTDZ($A$1,$B62,G$1,$B$1)</f>
        <v>286.35250000000002</v>
      </c>
      <c r="H62" s="55">
        <f>_xll.EQNXTDZ($A$1,$B62,H$1,$B$1)</f>
        <v>316.32249999999999</v>
      </c>
      <c r="I62" s="55">
        <f>_xll.EQNXTDZ($A$1,$B62,I$1,$B$1)</f>
        <v>285.12259999999998</v>
      </c>
      <c r="J62" s="55">
        <f>_xll.EQNXTDZ($A$1,$B62,J$1,$B$1)</f>
        <v>316.32900000000001</v>
      </c>
      <c r="K62" s="55">
        <f>_xll.EQNXTDZ($A$1,$B62,K$1,$B$1)</f>
        <v>466.15679999999998</v>
      </c>
      <c r="L62" s="55">
        <f>_xll.EQNXTDZ($A$1,$B62,L$1,$B$1)</f>
        <v>465.36169999999998</v>
      </c>
      <c r="M62" s="55">
        <f>_xll.EQNXTDZ($A$1,$B62,M$1,$B$1)</f>
        <v>498.48039999999997</v>
      </c>
      <c r="N62" s="55">
        <f>_xll.EQNXTDZ($A$1,$B62,N$1,$B$1)</f>
        <v>508.84</v>
      </c>
      <c r="O62" s="55">
        <f>_xll.EQNXTDZ($A$1,$B62,O$1,$B$1)</f>
        <v>539.34739999999999</v>
      </c>
      <c r="P62" s="55">
        <f>_xll.EQNXTDZ($A$1,$B62,P$1,$B$1)</f>
        <v>539.06659999999999</v>
      </c>
      <c r="Q62" s="55">
        <f>_xll.EQNXTDZ($A$1,$B62,Q$1,$B$1)</f>
        <v>534.71680000000003</v>
      </c>
      <c r="R62" s="55">
        <f>_xll.EQNXTDZ($A$1,$B62,R$1,$B$1)</f>
        <v>556.20450000000005</v>
      </c>
      <c r="S62" s="55">
        <f>_xll.EQNXTDZ($A$1,$B62,S$1,$B$1)</f>
        <v>532.66</v>
      </c>
      <c r="T62" s="55">
        <f>_xll.EQNXTDZ($A$1,$B62,T$1,$B$1)</f>
        <v>542.34</v>
      </c>
      <c r="U62" s="55">
        <f>_xll.EQNXTDZ($A$1,$B62,U$1,$B$1)</f>
        <v>590.16</v>
      </c>
      <c r="V62" s="55">
        <f>_xll.EQNXTDZ($A$1,$B62,V$1,$B$1)</f>
        <v>641.1</v>
      </c>
      <c r="W62" s="55">
        <f>_xll.EQNXTDZ($A$1,$B62,W$1,$B$1)</f>
        <v>659.94</v>
      </c>
      <c r="X62" s="55">
        <f>_xll.EQNXTDZ($A$1,$B62,X$1,$B$1)</f>
        <v>668.17</v>
      </c>
      <c r="Y62" s="55">
        <f>_xll.EQNXTDZ($A$1,$B62,Y$1,$B$1)</f>
        <v>840.04</v>
      </c>
      <c r="Z62" s="55">
        <f>_xll.EQNXTDZ($A$1,$B62,Z$1,$B$1)</f>
        <v>902.4</v>
      </c>
      <c r="AA62" s="55">
        <f>_xll.EQNXTDZ($A$1,$B62,AA$1,$B$1)</f>
        <v>1365.26</v>
      </c>
      <c r="AB62" s="55">
        <f>_xll.EQNXTDZ($A$1,$B62,AB$1,$B$1)</f>
        <v>1550.73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120.9659</v>
      </c>
      <c r="D63" s="55">
        <f>_xll.EQNXTDZ($A$1,$B63,D$1,$B$1)</f>
        <v>112.2851</v>
      </c>
      <c r="E63" s="55">
        <f>_xll.EQNXTDZ($A$1,$B63,E$1,$B$1)</f>
        <v>129.61789999999999</v>
      </c>
      <c r="F63" s="55">
        <f>_xll.EQNXTDZ($A$1,$B63,F$1,$B$1)</f>
        <v>139.23779999999999</v>
      </c>
      <c r="G63" s="55">
        <f>_xll.EQNXTDZ($A$1,$B63,G$1,$B$1)</f>
        <v>182.26769999999999</v>
      </c>
      <c r="H63" s="55">
        <f>_xll.EQNXTDZ($A$1,$B63,H$1,$B$1)</f>
        <v>164.2038</v>
      </c>
      <c r="I63" s="55">
        <f>_xll.EQNXTDZ($A$1,$B63,I$1,$B$1)</f>
        <v>137.87209999999999</v>
      </c>
      <c r="J63" s="55">
        <f>_xll.EQNXTDZ($A$1,$B63,J$1,$B$1)</f>
        <v>146.2039</v>
      </c>
      <c r="K63" s="55">
        <f>_xll.EQNXTDZ($A$1,$B63,K$1,$B$1)</f>
        <v>179.1617</v>
      </c>
      <c r="L63" s="55">
        <f>_xll.EQNXTDZ($A$1,$B63,L$1,$B$1)</f>
        <v>179.84350000000001</v>
      </c>
      <c r="M63" s="55">
        <f>_xll.EQNXTDZ($A$1,$B63,M$1,$B$1)</f>
        <v>188.023</v>
      </c>
      <c r="N63" s="55">
        <f>_xll.EQNXTDZ($A$1,$B63,N$1,$B$1)</f>
        <v>219.4521</v>
      </c>
      <c r="O63" s="55">
        <f>_xll.EQNXTDZ($A$1,$B63,O$1,$B$1)</f>
        <v>239.5104</v>
      </c>
      <c r="P63" s="55">
        <f>_xll.EQNXTDZ($A$1,$B63,P$1,$B$1)</f>
        <v>250.65520000000001</v>
      </c>
      <c r="Q63" s="55">
        <f>_xll.EQNXTDZ($A$1,$B63,Q$1,$B$1)</f>
        <v>265.88400000000001</v>
      </c>
      <c r="R63" s="55">
        <f>_xll.EQNXTDZ($A$1,$B63,R$1,$B$1)</f>
        <v>280.13780000000003</v>
      </c>
      <c r="S63" s="55">
        <f>_xll.EQNXTDZ($A$1,$B63,S$1,$B$1)</f>
        <v>278.43</v>
      </c>
      <c r="T63" s="55">
        <f>_xll.EQNXTDZ($A$1,$B63,T$1,$B$1)</f>
        <v>289.89999999999998</v>
      </c>
      <c r="U63" s="55">
        <f>_xll.EQNXTDZ($A$1,$B63,U$1,$B$1)</f>
        <v>293.39</v>
      </c>
      <c r="V63" s="55">
        <f>_xll.EQNXTDZ($A$1,$B63,V$1,$B$1)</f>
        <v>306.05</v>
      </c>
      <c r="W63" s="55">
        <f>_xll.EQNXTDZ($A$1,$B63,W$1,$B$1)</f>
        <v>327.51</v>
      </c>
      <c r="X63" s="55">
        <f>_xll.EQNXTDZ($A$1,$B63,X$1,$B$1)</f>
        <v>337.81</v>
      </c>
      <c r="Y63" s="55">
        <f>_xll.EQNXTDZ($A$1,$B63,Y$1,$B$1)</f>
        <v>364.78</v>
      </c>
      <c r="Z63" s="55">
        <f>_xll.EQNXTDZ($A$1,$B63,Z$1,$B$1)</f>
        <v>399.58</v>
      </c>
      <c r="AA63" s="55">
        <f>_xll.EQNXTDZ($A$1,$B63,AA$1,$B$1)</f>
        <v>435.72</v>
      </c>
      <c r="AB63" s="55">
        <f>_xll.EQNXTDZ($A$1,$B63,AB$1,$B$1)</f>
        <v>507.88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4.6912000000000003</v>
      </c>
      <c r="L64" s="55">
        <f>_xll.EQNXTDZ($A$1,$B64,L$1,$B$1)</f>
        <v>2.2711000000000001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133.8391</v>
      </c>
      <c r="D65" s="55">
        <f>_xll.EQNXTDZ($A$1,$B65,D$1,$B$1)</f>
        <v>132.2542</v>
      </c>
      <c r="E65" s="55">
        <f>_xll.EQNXTDZ($A$1,$B65,E$1,$B$1)</f>
        <v>146.13759999999999</v>
      </c>
      <c r="F65" s="55">
        <f>_xll.EQNXTDZ($A$1,$B65,F$1,$B$1)</f>
        <v>144.65289999999999</v>
      </c>
      <c r="G65" s="55">
        <f>_xll.EQNXTDZ($A$1,$B65,G$1,$B$1)</f>
        <v>104.0848</v>
      </c>
      <c r="H65" s="55">
        <f>_xll.EQNXTDZ($A$1,$B65,H$1,$B$1)</f>
        <v>152.11869999999999</v>
      </c>
      <c r="I65" s="55">
        <f>_xll.EQNXTDZ($A$1,$B65,I$1,$B$1)</f>
        <v>147.25049999999999</v>
      </c>
      <c r="J65" s="55">
        <f>_xll.EQNXTDZ($A$1,$B65,J$1,$B$1)</f>
        <v>170.1251</v>
      </c>
      <c r="K65" s="55">
        <f>_xll.EQNXTDZ($A$1,$B65,K$1,$B$1)</f>
        <v>282.3039</v>
      </c>
      <c r="L65" s="55">
        <f>_xll.EQNXTDZ($A$1,$B65,L$1,$B$1)</f>
        <v>283.24709999999999</v>
      </c>
      <c r="M65" s="55">
        <f>_xll.EQNXTDZ($A$1,$B65,M$1,$B$1)</f>
        <v>310.45740000000001</v>
      </c>
      <c r="N65" s="55">
        <f>_xll.EQNXTDZ($A$1,$B65,N$1,$B$1)</f>
        <v>289.3879</v>
      </c>
      <c r="O65" s="55">
        <f>_xll.EQNXTDZ($A$1,$B65,O$1,$B$1)</f>
        <v>299.83699999999999</v>
      </c>
      <c r="P65" s="55">
        <f>_xll.EQNXTDZ($A$1,$B65,P$1,$B$1)</f>
        <v>288.41140000000001</v>
      </c>
      <c r="Q65" s="55">
        <f>_xll.EQNXTDZ($A$1,$B65,Q$1,$B$1)</f>
        <v>268.83280000000002</v>
      </c>
      <c r="R65" s="55">
        <f>_xll.EQNXTDZ($A$1,$B65,R$1,$B$1)</f>
        <v>276.06670000000003</v>
      </c>
      <c r="S65" s="55">
        <f>_xll.EQNXTDZ($A$1,$B65,S$1,$B$1)</f>
        <v>254.23</v>
      </c>
      <c r="T65" s="55">
        <f>_xll.EQNXTDZ($A$1,$B65,T$1,$B$1)</f>
        <v>252.44</v>
      </c>
      <c r="U65" s="55">
        <f>_xll.EQNXTDZ($A$1,$B65,U$1,$B$1)</f>
        <v>296.77</v>
      </c>
      <c r="V65" s="55">
        <f>_xll.EQNXTDZ($A$1,$B65,V$1,$B$1)</f>
        <v>335.05</v>
      </c>
      <c r="W65" s="55">
        <f>_xll.EQNXTDZ($A$1,$B65,W$1,$B$1)</f>
        <v>332.43</v>
      </c>
      <c r="X65" s="55">
        <f>_xll.EQNXTDZ($A$1,$B65,X$1,$B$1)</f>
        <v>330.36</v>
      </c>
      <c r="Y65" s="55">
        <f>_xll.EQNXTDZ($A$1,$B65,Y$1,$B$1)</f>
        <v>475.26</v>
      </c>
      <c r="Z65" s="55">
        <f>_xll.EQNXTDZ($A$1,$B65,Z$1,$B$1)</f>
        <v>502.82</v>
      </c>
      <c r="AA65" s="55">
        <f>_xll.EQNXTDZ($A$1,$B65,AA$1,$B$1)</f>
        <v>929.54</v>
      </c>
      <c r="AB65" s="55">
        <f>_xll.EQNXTDZ($A$1,$B65,AB$1,$B$1)</f>
        <v>1042.8499999999999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8.4748999999999999</v>
      </c>
      <c r="D67" s="55">
        <f>_xll.EQNXTDZ($A$1,$B67,D$1,$B$1)</f>
        <v>2.0910000000000002</v>
      </c>
      <c r="E67" s="55">
        <f>_xll.EQNXTDZ($A$1,$B67,E$1,$B$1)</f>
        <v>0.69230000000000003</v>
      </c>
      <c r="F67" s="55">
        <f>_xll.EQNXTDZ($A$1,$B67,F$1,$B$1)</f>
        <v>4.5265000000000004</v>
      </c>
      <c r="G67" s="55">
        <f>_xll.EQNXTDZ($A$1,$B67,G$1,$B$1)</f>
        <v>7.1734999999999998</v>
      </c>
      <c r="H67" s="55">
        <f>_xll.EQNXTDZ($A$1,$B67,H$1,$B$1)</f>
        <v>11.3691</v>
      </c>
      <c r="I67" s="55">
        <f>_xll.EQNXTDZ($A$1,$B67,I$1,$B$1)</f>
        <v>12.8454</v>
      </c>
      <c r="J67" s="55">
        <f>_xll.EQNXTDZ($A$1,$B67,J$1,$B$1)</f>
        <v>19.7193</v>
      </c>
      <c r="K67" s="55">
        <f>_xll.EQNXTDZ($A$1,$B67,K$1,$B$1)</f>
        <v>13.2387</v>
      </c>
      <c r="L67" s="55">
        <f>_xll.EQNXTDZ($A$1,$B67,L$1,$B$1)</f>
        <v>19.3431</v>
      </c>
      <c r="M67" s="55">
        <f>_xll.EQNXTDZ($A$1,$B67,M$1,$B$1)</f>
        <v>0.60860000000000003</v>
      </c>
      <c r="N67" s="55">
        <f>_xll.EQNXTDZ($A$1,$B67,N$1,$B$1)</f>
        <v>4.0330000000000004</v>
      </c>
      <c r="O67" s="55">
        <f>_xll.EQNXTDZ($A$1,$B67,O$1,$B$1)</f>
        <v>5.1999999999999998E-3</v>
      </c>
      <c r="P67" s="55">
        <f>_xll.EQNXTDZ($A$1,$B67,P$1,$B$1)</f>
        <v>1.7735000000000001</v>
      </c>
      <c r="Q67" s="55">
        <f>_xll.EQNXTDZ($A$1,$B67,Q$1,$B$1)</f>
        <v>4.4217000000000004</v>
      </c>
      <c r="R67" s="55">
        <f>_xll.EQNXTDZ($A$1,$B67,R$1,$B$1)</f>
        <v>1.2917000000000001</v>
      </c>
      <c r="S67" s="55">
        <f>_xll.EQNXTDZ($A$1,$B67,S$1,$B$1)</f>
        <v>0.55000000000000004</v>
      </c>
      <c r="T67" s="55">
        <f>_xll.EQNXTDZ($A$1,$B67,T$1,$B$1)</f>
        <v>4.08</v>
      </c>
      <c r="U67" s="55">
        <f>_xll.EQNXTDZ($A$1,$B67,U$1,$B$1)</f>
        <v>15.66</v>
      </c>
      <c r="V67" s="55">
        <f>_xll.EQNXTDZ($A$1,$B67,V$1,$B$1)</f>
        <v>26.28</v>
      </c>
      <c r="W67" s="55">
        <f>_xll.EQNXTDZ($A$1,$B67,W$1,$B$1)</f>
        <v>8.81</v>
      </c>
      <c r="X67" s="55">
        <f>_xll.EQNXTDZ($A$1,$B67,X$1,$B$1)</f>
        <v>59.29</v>
      </c>
      <c r="Y67" s="55">
        <f>_xll.EQNXTDZ($A$1,$B67,Y$1,$B$1)</f>
        <v>98.25</v>
      </c>
      <c r="Z67" s="55">
        <f>_xll.EQNXTDZ($A$1,$B67,Z$1,$B$1)</f>
        <v>367.51</v>
      </c>
      <c r="AA67" s="55">
        <f>_xll.EQNXTDZ($A$1,$B67,AA$1,$B$1)</f>
        <v>82.35</v>
      </c>
      <c r="AB67" s="55">
        <f>_xll.EQNXTDZ($A$1,$B67,AB$1,$B$1)</f>
        <v>22.07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0.36630000000000001</v>
      </c>
      <c r="N68" s="55">
        <f>_xll.EQNXTDZ($A$1,$B68,N$1,$B$1)</f>
        <v>0.53700000000000003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28.973199999999999</v>
      </c>
      <c r="S70" s="55">
        <f>_xll.EQNXTDZ($A$1,$B70,S$1,$B$1)</f>
        <v>45.66</v>
      </c>
      <c r="T70" s="55">
        <f>_xll.EQNXTDZ($A$1,$B70,T$1,$B$1)</f>
        <v>44.71</v>
      </c>
      <c r="U70" s="55">
        <f>_xll.EQNXTDZ($A$1,$B70,U$1,$B$1)</f>
        <v>46.27</v>
      </c>
      <c r="V70" s="55">
        <f>_xll.EQNXTDZ($A$1,$B70,V$1,$B$1)</f>
        <v>45.34</v>
      </c>
      <c r="W70" s="55">
        <f>_xll.EQNXTDZ($A$1,$B70,W$1,$B$1)</f>
        <v>55.55</v>
      </c>
      <c r="X70" s="55">
        <f>_xll.EQNXTDZ($A$1,$B70,X$1,$B$1)</f>
        <v>53.32</v>
      </c>
      <c r="Y70" s="55">
        <f>_xll.EQNXTDZ($A$1,$B70,Y$1,$B$1)</f>
        <v>49.41</v>
      </c>
      <c r="Z70" s="55">
        <f>_xll.EQNXTDZ($A$1,$B70,Z$1,$B$1)</f>
        <v>44.93</v>
      </c>
      <c r="AA70" s="55">
        <f>_xll.EQNXTDZ($A$1,$B70,AA$1,$B$1)</f>
        <v>43.94</v>
      </c>
      <c r="AB70" s="55">
        <f>_xll.EQNXTDZ($A$1,$B70,AB$1,$B$1)</f>
        <v>37.54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31.269400000000001</v>
      </c>
      <c r="D71" s="55">
        <f>_xll.EQNXTDZ($A$1,$B71,D$1,$B$1)</f>
        <v>31.2196</v>
      </c>
      <c r="E71" s="55">
        <f>_xll.EQNXTDZ($A$1,$B71,E$1,$B$1)</f>
        <v>22.732900000000001</v>
      </c>
      <c r="F71" s="55">
        <f>_xll.EQNXTDZ($A$1,$B71,F$1,$B$1)</f>
        <v>32.448700000000002</v>
      </c>
      <c r="G71" s="55">
        <f>_xll.EQNXTDZ($A$1,$B71,G$1,$B$1)</f>
        <v>29.685099999999998</v>
      </c>
      <c r="H71" s="55">
        <f>_xll.EQNXTDZ($A$1,$B71,H$1,$B$1)</f>
        <v>28.568899999999999</v>
      </c>
      <c r="I71" s="55">
        <f>_xll.EQNXTDZ($A$1,$B71,I$1,$B$1)</f>
        <v>29.323599999999999</v>
      </c>
      <c r="J71" s="55">
        <f>_xll.EQNXTDZ($A$1,$B71,J$1,$B$1)</f>
        <v>31.2393</v>
      </c>
      <c r="K71" s="55">
        <f>_xll.EQNXTDZ($A$1,$B71,K$1,$B$1)</f>
        <v>31.835599999999999</v>
      </c>
      <c r="L71" s="55">
        <f>_xll.EQNXTDZ($A$1,$B71,L$1,$B$1)</f>
        <v>24.926600000000001</v>
      </c>
      <c r="M71" s="55">
        <f>_xll.EQNXTDZ($A$1,$B71,M$1,$B$1)</f>
        <v>43.866100000000003</v>
      </c>
      <c r="N71" s="55">
        <f>_xll.EQNXTDZ($A$1,$B71,N$1,$B$1)</f>
        <v>88.268000000000001</v>
      </c>
      <c r="O71" s="55">
        <f>_xll.EQNXTDZ($A$1,$B71,O$1,$B$1)</f>
        <v>139.31299999999999</v>
      </c>
      <c r="P71" s="55">
        <f>_xll.EQNXTDZ($A$1,$B71,P$1,$B$1)</f>
        <v>139.3246</v>
      </c>
      <c r="Q71" s="55">
        <f>_xll.EQNXTDZ($A$1,$B71,Q$1,$B$1)</f>
        <v>626.90449999999998</v>
      </c>
      <c r="R71" s="55">
        <f>_xll.EQNXTDZ($A$1,$B71,R$1,$B$1)</f>
        <v>1278.152</v>
      </c>
      <c r="S71" s="55">
        <f>_xll.EQNXTDZ($A$1,$B71,S$1,$B$1)</f>
        <v>2068.33</v>
      </c>
      <c r="T71" s="55">
        <f>_xll.EQNXTDZ($A$1,$B71,T$1,$B$1)</f>
        <v>2265.9499999999998</v>
      </c>
      <c r="U71" s="55">
        <f>_xll.EQNXTDZ($A$1,$B71,U$1,$B$1)</f>
        <v>1150.17</v>
      </c>
      <c r="V71" s="55">
        <f>_xll.EQNXTDZ($A$1,$B71,V$1,$B$1)</f>
        <v>1822.9</v>
      </c>
      <c r="W71" s="55">
        <f>_xll.EQNXTDZ($A$1,$B71,W$1,$B$1)</f>
        <v>2797.11</v>
      </c>
      <c r="X71" s="55">
        <f>_xll.EQNXTDZ($A$1,$B71,X$1,$B$1)</f>
        <v>3181.12</v>
      </c>
      <c r="Y71" s="55">
        <f>_xll.EQNXTDZ($A$1,$B71,Y$1,$B$1)</f>
        <v>2801.48</v>
      </c>
      <c r="Z71" s="55">
        <f>_xll.EQNXTDZ($A$1,$B71,Z$1,$B$1)</f>
        <v>3006.79</v>
      </c>
      <c r="AA71" s="55">
        <f>_xll.EQNXTDZ($A$1,$B71,AA$1,$B$1)</f>
        <v>2844.55</v>
      </c>
      <c r="AB71" s="55">
        <f>_xll.EQNXTDZ($A$1,$B71,AB$1,$B$1)</f>
        <v>2484.62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173.4237</v>
      </c>
      <c r="N72" s="55">
        <f>_xll.EQNXTDZ($A$1,$B72,N$1,$B$1)</f>
        <v>227.77699999999999</v>
      </c>
      <c r="O72" s="55">
        <f>_xll.EQNXTDZ($A$1,$B72,O$1,$B$1)</f>
        <v>222.5583</v>
      </c>
      <c r="P72" s="55">
        <f>_xll.EQNXTDZ($A$1,$B72,P$1,$B$1)</f>
        <v>261.93</v>
      </c>
      <c r="Q72" s="55">
        <f>_xll.EQNXTDZ($A$1,$B72,Q$1,$B$1)</f>
        <v>173.65039999999999</v>
      </c>
      <c r="R72" s="55">
        <f>_xll.EQNXTDZ($A$1,$B72,R$1,$B$1)</f>
        <v>122.492</v>
      </c>
      <c r="S72" s="55">
        <f>_xll.EQNXTDZ($A$1,$B72,S$1,$B$1)</f>
        <v>75.06</v>
      </c>
      <c r="T72" s="55">
        <f>_xll.EQNXTDZ($A$1,$B72,T$1,$B$1)</f>
        <v>99.31</v>
      </c>
      <c r="U72" s="55">
        <f>_xll.EQNXTDZ($A$1,$B72,U$1,$B$1)</f>
        <v>193.72</v>
      </c>
      <c r="V72" s="55">
        <f>_xll.EQNXTDZ($A$1,$B72,V$1,$B$1)</f>
        <v>202.08</v>
      </c>
      <c r="W72" s="55">
        <f>_xll.EQNXTDZ($A$1,$B72,W$1,$B$1)</f>
        <v>133</v>
      </c>
      <c r="X72" s="55">
        <f>_xll.EQNXTDZ($A$1,$B72,X$1,$B$1)</f>
        <v>120.95</v>
      </c>
      <c r="Y72" s="55">
        <f>_xll.EQNXTDZ($A$1,$B72,Y$1,$B$1)</f>
        <v>113.69</v>
      </c>
      <c r="Z72" s="55">
        <f>_xll.EQNXTDZ($A$1,$B72,Z$1,$B$1)</f>
        <v>129.4</v>
      </c>
      <c r="AA72" s="55">
        <f>_xll.EQNXTDZ($A$1,$B72,AA$1,$B$1)</f>
        <v>235.01</v>
      </c>
      <c r="AB72" s="55">
        <f>_xll.EQNXTDZ($A$1,$B72,AB$1,$B$1)</f>
        <v>187.21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9.0154999999999994</v>
      </c>
      <c r="N73" s="55">
        <f>_xll.EQNXTDZ($A$1,$B73,N$1,$B$1)</f>
        <v>11.2301</v>
      </c>
      <c r="O73" s="55">
        <f>_xll.EQNXTDZ($A$1,$B73,O$1,$B$1)</f>
        <v>11.637700000000001</v>
      </c>
      <c r="P73" s="55">
        <f>_xll.EQNXTDZ($A$1,$B73,P$1,$B$1)</f>
        <v>13.683400000000001</v>
      </c>
      <c r="Q73" s="55">
        <f>_xll.EQNXTDZ($A$1,$B73,Q$1,$B$1)</f>
        <v>40.9101</v>
      </c>
      <c r="R73" s="55">
        <f>_xll.EQNXTDZ($A$1,$B73,R$1,$B$1)</f>
        <v>5.8433999999999999</v>
      </c>
      <c r="S73" s="55">
        <f>_xll.EQNXTDZ($A$1,$B73,S$1,$B$1)</f>
        <v>15.67</v>
      </c>
      <c r="T73" s="55">
        <f>_xll.EQNXTDZ($A$1,$B73,T$1,$B$1)</f>
        <v>27.78</v>
      </c>
      <c r="U73" s="55">
        <f>_xll.EQNXTDZ($A$1,$B73,U$1,$B$1)</f>
        <v>66.33</v>
      </c>
      <c r="V73" s="55">
        <f>_xll.EQNXTDZ($A$1,$B73,V$1,$B$1)</f>
        <v>73.11</v>
      </c>
      <c r="W73" s="55">
        <f>_xll.EQNXTDZ($A$1,$B73,W$1,$B$1)</f>
        <v>83.4</v>
      </c>
      <c r="X73" s="55">
        <f>_xll.EQNXTDZ($A$1,$B73,X$1,$B$1)</f>
        <v>78.069999999999993</v>
      </c>
      <c r="Y73" s="55">
        <f>_xll.EQNXTDZ($A$1,$B73,Y$1,$B$1)</f>
        <v>258.87</v>
      </c>
      <c r="Z73" s="55">
        <f>_xll.EQNXTDZ($A$1,$B73,Z$1,$B$1)</f>
        <v>218.34</v>
      </c>
      <c r="AA73" s="55">
        <f>_xll.EQNXTDZ($A$1,$B73,AA$1,$B$1)</f>
        <v>94.34</v>
      </c>
      <c r="AB73" s="55">
        <f>_xll.EQNXTDZ($A$1,$B73,AB$1,$B$1)</f>
        <v>355.59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173.58340000000001</v>
      </c>
      <c r="D74" s="55">
        <f>_xll.EQNXTDZ($A$1,$B74,D$1,$B$1)</f>
        <v>165.56479999999999</v>
      </c>
      <c r="E74" s="55">
        <f>_xll.EQNXTDZ($A$1,$B74,E$1,$B$1)</f>
        <v>169.56280000000001</v>
      </c>
      <c r="F74" s="55">
        <f>_xll.EQNXTDZ($A$1,$B74,F$1,$B$1)</f>
        <v>181.62809999999999</v>
      </c>
      <c r="G74" s="55">
        <f>_xll.EQNXTDZ($A$1,$B74,G$1,$B$1)</f>
        <v>140.9434</v>
      </c>
      <c r="H74" s="55">
        <f>_xll.EQNXTDZ($A$1,$B74,H$1,$B$1)</f>
        <v>192.05670000000001</v>
      </c>
      <c r="I74" s="55">
        <f>_xll.EQNXTDZ($A$1,$B74,I$1,$B$1)</f>
        <v>189.4195</v>
      </c>
      <c r="J74" s="55">
        <f>_xll.EQNXTDZ($A$1,$B74,J$1,$B$1)</f>
        <v>221.08369999999999</v>
      </c>
      <c r="K74" s="55">
        <f>_xll.EQNXTDZ($A$1,$B74,K$1,$B$1)</f>
        <v>327.37819999999999</v>
      </c>
      <c r="L74" s="55">
        <f>_xll.EQNXTDZ($A$1,$B74,L$1,$B$1)</f>
        <v>327.51679999999999</v>
      </c>
      <c r="M74" s="55">
        <f>_xll.EQNXTDZ($A$1,$B74,M$1,$B$1)</f>
        <v>537.73760000000004</v>
      </c>
      <c r="N74" s="55">
        <f>_xll.EQNXTDZ($A$1,$B74,N$1,$B$1)</f>
        <v>621.23299999999995</v>
      </c>
      <c r="O74" s="55">
        <f>_xll.EQNXTDZ($A$1,$B74,O$1,$B$1)</f>
        <v>673.35119999999995</v>
      </c>
      <c r="P74" s="55">
        <f>_xll.EQNXTDZ($A$1,$B74,P$1,$B$1)</f>
        <v>705.12289999999996</v>
      </c>
      <c r="Q74" s="55">
        <f>_xll.EQNXTDZ($A$1,$B74,Q$1,$B$1)</f>
        <v>1114.7194999999999</v>
      </c>
      <c r="R74" s="55">
        <f>_xll.EQNXTDZ($A$1,$B74,R$1,$B$1)</f>
        <v>1712.819</v>
      </c>
      <c r="S74" s="55">
        <f>_xll.EQNXTDZ($A$1,$B74,S$1,$B$1)</f>
        <v>2459.5</v>
      </c>
      <c r="T74" s="55">
        <f>_xll.EQNXTDZ($A$1,$B74,T$1,$B$1)</f>
        <v>2694.27</v>
      </c>
      <c r="U74" s="55">
        <f>_xll.EQNXTDZ($A$1,$B74,U$1,$B$1)</f>
        <v>1768.92</v>
      </c>
      <c r="V74" s="55">
        <f>_xll.EQNXTDZ($A$1,$B74,V$1,$B$1)</f>
        <v>2504.7600000000002</v>
      </c>
      <c r="W74" s="55">
        <f>_xll.EQNXTDZ($A$1,$B74,W$1,$B$1)</f>
        <v>3410.3</v>
      </c>
      <c r="X74" s="55">
        <f>_xll.EQNXTDZ($A$1,$B74,X$1,$B$1)</f>
        <v>3823.11</v>
      </c>
      <c r="Y74" s="55">
        <f>_xll.EQNXTDZ($A$1,$B74,Y$1,$B$1)</f>
        <v>3796.96</v>
      </c>
      <c r="Z74" s="55">
        <f>_xll.EQNXTDZ($A$1,$B74,Z$1,$B$1)</f>
        <v>4269.79</v>
      </c>
      <c r="AA74" s="55">
        <f>_xll.EQNXTDZ($A$1,$B74,AA$1,$B$1)</f>
        <v>4229.7299999999996</v>
      </c>
      <c r="AB74" s="55">
        <f>_xll.EQNXTDZ($A$1,$B74,AB$1,$B$1)</f>
        <v>4129.88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5.9999999999999995E-4</v>
      </c>
      <c r="D75" s="55">
        <f>_xll.EQNXTDZ($A$1,$B75,D$1,$B$1)</f>
        <v>1.0468</v>
      </c>
      <c r="E75" s="55">
        <f>_xll.EQNXTDZ($A$1,$B75,E$1,$B$1)</f>
        <v>1.2942</v>
      </c>
      <c r="F75" s="55">
        <f>_xll.EQNXTDZ($A$1,$B75,F$1,$B$1)</f>
        <v>0.87270000000000003</v>
      </c>
      <c r="G75" s="55">
        <f>_xll.EQNXTDZ($A$1,$B75,G$1,$B$1)</f>
        <v>0.87290000000000001</v>
      </c>
      <c r="H75" s="55">
        <f>_xll.EQNXTDZ($A$1,$B75,H$1,$B$1)</f>
        <v>17.577999999999999</v>
      </c>
      <c r="I75" s="55">
        <f>_xll.EQNXTDZ($A$1,$B75,I$1,$B$1)</f>
        <v>95.470699999999994</v>
      </c>
      <c r="J75" s="55">
        <f>_xll.EQNXTDZ($A$1,$B75,J$1,$B$1)</f>
        <v>227.28829999999999</v>
      </c>
      <c r="K75" s="55">
        <f>_xll.EQNXTDZ($A$1,$B75,K$1,$B$1)</f>
        <v>124.4113</v>
      </c>
      <c r="L75" s="55">
        <f>_xll.EQNXTDZ($A$1,$B75,L$1,$B$1)</f>
        <v>209.0171</v>
      </c>
      <c r="M75" s="55">
        <f>_xll.EQNXTDZ($A$1,$B75,M$1,$B$1)</f>
        <v>224.721</v>
      </c>
      <c r="N75" s="55">
        <f>_xll.EQNXTDZ($A$1,$B75,N$1,$B$1)</f>
        <v>223.3409</v>
      </c>
      <c r="O75" s="55">
        <f>_xll.EQNXTDZ($A$1,$B75,O$1,$B$1)</f>
        <v>268.03890000000001</v>
      </c>
      <c r="P75" s="55">
        <f>_xll.EQNXTDZ($A$1,$B75,P$1,$B$1)</f>
        <v>592.71389999999997</v>
      </c>
      <c r="Q75" s="55">
        <f>_xll.EQNXTDZ($A$1,$B75,Q$1,$B$1)</f>
        <v>466.98270000000002</v>
      </c>
      <c r="R75" s="55">
        <f>_xll.EQNXTDZ($A$1,$B75,R$1,$B$1)</f>
        <v>667.65480000000002</v>
      </c>
      <c r="S75" s="55">
        <f>_xll.EQNXTDZ($A$1,$B75,S$1,$B$1)</f>
        <v>199.54</v>
      </c>
      <c r="T75" s="55">
        <f>_xll.EQNXTDZ($A$1,$B75,T$1,$B$1)</f>
        <v>487.64</v>
      </c>
      <c r="U75" s="55">
        <f>_xll.EQNXTDZ($A$1,$B75,U$1,$B$1)</f>
        <v>1235.69</v>
      </c>
      <c r="V75" s="55">
        <f>_xll.EQNXTDZ($A$1,$B75,V$1,$B$1)</f>
        <v>520.39</v>
      </c>
      <c r="W75" s="55">
        <f>_xll.EQNXTDZ($A$1,$B75,W$1,$B$1)</f>
        <v>249.32</v>
      </c>
      <c r="X75" s="55">
        <f>_xll.EQNXTDZ($A$1,$B75,X$1,$B$1)</f>
        <v>434.27</v>
      </c>
      <c r="Y75" s="55">
        <f>_xll.EQNXTDZ($A$1,$B75,Y$1,$B$1)</f>
        <v>307.16000000000003</v>
      </c>
      <c r="Z75" s="55">
        <f>_xll.EQNXTDZ($A$1,$B75,Z$1,$B$1)</f>
        <v>501.46</v>
      </c>
      <c r="AA75" s="55">
        <f>_xll.EQNXTDZ($A$1,$B75,AA$1,$B$1)</f>
        <v>398.66</v>
      </c>
      <c r="AB75" s="55">
        <f>_xll.EQNXTDZ($A$1,$B75,AB$1,$B$1)</f>
        <v>277.08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145.94149999999999</v>
      </c>
      <c r="D76" s="55">
        <f>_xll.EQNXTDZ($A$1,$B76,D$1,$B$1)</f>
        <v>126.23699999999999</v>
      </c>
      <c r="E76" s="55">
        <f>_xll.EQNXTDZ($A$1,$B76,E$1,$B$1)</f>
        <v>140.92830000000001</v>
      </c>
      <c r="F76" s="55">
        <f>_xll.EQNXTDZ($A$1,$B76,F$1,$B$1)</f>
        <v>173.03020000000001</v>
      </c>
      <c r="G76" s="55">
        <f>_xll.EQNXTDZ($A$1,$B76,G$1,$B$1)</f>
        <v>261.65519999999998</v>
      </c>
      <c r="H76" s="55">
        <f>_xll.EQNXTDZ($A$1,$B76,H$1,$B$1)</f>
        <v>316.99650000000003</v>
      </c>
      <c r="I76" s="55">
        <f>_xll.EQNXTDZ($A$1,$B76,I$1,$B$1)</f>
        <v>512.29250000000002</v>
      </c>
      <c r="J76" s="55">
        <f>_xll.EQNXTDZ($A$1,$B76,J$1,$B$1)</f>
        <v>639.84609999999998</v>
      </c>
      <c r="K76" s="55">
        <f>_xll.EQNXTDZ($A$1,$B76,K$1,$B$1)</f>
        <v>1119.3878</v>
      </c>
      <c r="L76" s="55">
        <f>_xll.EQNXTDZ($A$1,$B76,L$1,$B$1)</f>
        <v>657.92420000000004</v>
      </c>
      <c r="M76" s="55">
        <f>_xll.EQNXTDZ($A$1,$B76,M$1,$B$1)</f>
        <v>821.46119999999996</v>
      </c>
      <c r="N76" s="55">
        <f>_xll.EQNXTDZ($A$1,$B76,N$1,$B$1)</f>
        <v>833.39880000000005</v>
      </c>
      <c r="O76" s="55">
        <f>_xll.EQNXTDZ($A$1,$B76,O$1,$B$1)</f>
        <v>978.40340000000003</v>
      </c>
      <c r="P76" s="55">
        <f>_xll.EQNXTDZ($A$1,$B76,P$1,$B$1)</f>
        <v>900.98400000000004</v>
      </c>
      <c r="Q76" s="55">
        <f>_xll.EQNXTDZ($A$1,$B76,Q$1,$B$1)</f>
        <v>867.06410000000005</v>
      </c>
      <c r="R76" s="55">
        <f>_xll.EQNXTDZ($A$1,$B76,R$1,$B$1)</f>
        <v>724.68179999999995</v>
      </c>
      <c r="S76" s="55">
        <f>_xll.EQNXTDZ($A$1,$B76,S$1,$B$1)</f>
        <v>907.03</v>
      </c>
      <c r="T76" s="55">
        <f>_xll.EQNXTDZ($A$1,$B76,T$1,$B$1)</f>
        <v>812.99</v>
      </c>
      <c r="U76" s="55">
        <f>_xll.EQNXTDZ($A$1,$B76,U$1,$B$1)</f>
        <v>1090.6600000000001</v>
      </c>
      <c r="V76" s="55">
        <f>_xll.EQNXTDZ($A$1,$B76,V$1,$B$1)</f>
        <v>1468.94</v>
      </c>
      <c r="W76" s="55">
        <f>_xll.EQNXTDZ($A$1,$B76,W$1,$B$1)</f>
        <v>1279.5999999999999</v>
      </c>
      <c r="X76" s="55">
        <f>_xll.EQNXTDZ($A$1,$B76,X$1,$B$1)</f>
        <v>1661.39</v>
      </c>
      <c r="Y76" s="55">
        <f>_xll.EQNXTDZ($A$1,$B76,Y$1,$B$1)</f>
        <v>1591.97</v>
      </c>
      <c r="Z76" s="55">
        <f>_xll.EQNXTDZ($A$1,$B76,Z$1,$B$1)</f>
        <v>2135.38</v>
      </c>
      <c r="AA76" s="55">
        <f>_xll.EQNXTDZ($A$1,$B76,AA$1,$B$1)</f>
        <v>2714.81</v>
      </c>
      <c r="AB76" s="55">
        <f>_xll.EQNXTDZ($A$1,$B76,AB$1,$B$1)</f>
        <v>3432.85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180.82560000000001</v>
      </c>
      <c r="D77" s="55">
        <f>_xll.EQNXTDZ($A$1,$B77,D$1,$B$1)</f>
        <v>247.92869999999999</v>
      </c>
      <c r="E77" s="55">
        <f>_xll.EQNXTDZ($A$1,$B77,E$1,$B$1)</f>
        <v>367.73340000000002</v>
      </c>
      <c r="F77" s="55">
        <f>_xll.EQNXTDZ($A$1,$B77,F$1,$B$1)</f>
        <v>392.47379999999998</v>
      </c>
      <c r="G77" s="55">
        <f>_xll.EQNXTDZ($A$1,$B77,G$1,$B$1)</f>
        <v>403.69009999999997</v>
      </c>
      <c r="H77" s="55">
        <f>_xll.EQNXTDZ($A$1,$B77,H$1,$B$1)</f>
        <v>442.67309999999998</v>
      </c>
      <c r="I77" s="55">
        <f>_xll.EQNXTDZ($A$1,$B77,I$1,$B$1)</f>
        <v>485.88330000000002</v>
      </c>
      <c r="J77" s="55">
        <f>_xll.EQNXTDZ($A$1,$B77,J$1,$B$1)</f>
        <v>570.25009999999997</v>
      </c>
      <c r="K77" s="55">
        <f>_xll.EQNXTDZ($A$1,$B77,K$1,$B$1)</f>
        <v>952.08690000000001</v>
      </c>
      <c r="L77" s="55">
        <f>_xll.EQNXTDZ($A$1,$B77,L$1,$B$1)</f>
        <v>1005.9733</v>
      </c>
      <c r="M77" s="55">
        <f>_xll.EQNXTDZ($A$1,$B77,M$1,$B$1)</f>
        <v>1065.3484000000001</v>
      </c>
      <c r="N77" s="55">
        <f>_xll.EQNXTDZ($A$1,$B77,N$1,$B$1)</f>
        <v>1166.8009</v>
      </c>
      <c r="O77" s="55">
        <f>_xll.EQNXTDZ($A$1,$B77,O$1,$B$1)</f>
        <v>1361.7822000000001</v>
      </c>
      <c r="P77" s="55">
        <f>_xll.EQNXTDZ($A$1,$B77,P$1,$B$1)</f>
        <v>1335.1729</v>
      </c>
      <c r="Q77" s="55">
        <f>_xll.EQNXTDZ($A$1,$B77,Q$1,$B$1)</f>
        <v>1338.5961</v>
      </c>
      <c r="R77" s="55">
        <f>_xll.EQNXTDZ($A$1,$B77,R$1,$B$1)</f>
        <v>1367.2228</v>
      </c>
      <c r="S77" s="55">
        <f>_xll.EQNXTDZ($A$1,$B77,S$1,$B$1)</f>
        <v>1454.11</v>
      </c>
      <c r="T77" s="55">
        <f>_xll.EQNXTDZ($A$1,$B77,T$1,$B$1)</f>
        <v>1570.28</v>
      </c>
      <c r="U77" s="55">
        <f>_xll.EQNXTDZ($A$1,$B77,U$1,$B$1)</f>
        <v>1803.17</v>
      </c>
      <c r="V77" s="55">
        <f>_xll.EQNXTDZ($A$1,$B77,V$1,$B$1)</f>
        <v>1827.25</v>
      </c>
      <c r="W77" s="55">
        <f>_xll.EQNXTDZ($A$1,$B77,W$1,$B$1)</f>
        <v>1800.93</v>
      </c>
      <c r="X77" s="55">
        <f>_xll.EQNXTDZ($A$1,$B77,X$1,$B$1)</f>
        <v>2109.67</v>
      </c>
      <c r="Y77" s="55">
        <f>_xll.EQNXTDZ($A$1,$B77,Y$1,$B$1)</f>
        <v>2191.85</v>
      </c>
      <c r="Z77" s="55">
        <f>_xll.EQNXTDZ($A$1,$B77,Z$1,$B$1)</f>
        <v>2400.31</v>
      </c>
      <c r="AA77" s="55">
        <f>_xll.EQNXTDZ($A$1,$B77,AA$1,$B$1)</f>
        <v>2231.86</v>
      </c>
      <c r="AB77" s="55">
        <f>_xll.EQNXTDZ($A$1,$B77,AB$1,$B$1)</f>
        <v>3034.95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19.704799999999999</v>
      </c>
      <c r="D78" s="55">
        <f>_xll.EQNXTDZ($A$1,$B78,D$1,$B$1)</f>
        <v>80.6006</v>
      </c>
      <c r="E78" s="55">
        <f>_xll.EQNXTDZ($A$1,$B78,E$1,$B$1)</f>
        <v>98.122</v>
      </c>
      <c r="F78" s="55">
        <f>_xll.EQNXTDZ($A$1,$B78,F$1,$B$1)</f>
        <v>103.71599999999999</v>
      </c>
      <c r="G78" s="55">
        <f>_xll.EQNXTDZ($A$1,$B78,G$1,$B$1)</f>
        <v>161.83369999999999</v>
      </c>
      <c r="H78" s="55">
        <f>_xll.EQNXTDZ($A$1,$B78,H$1,$B$1)</f>
        <v>129.75739999999999</v>
      </c>
      <c r="I78" s="55">
        <f>_xll.EQNXTDZ($A$1,$B78,I$1,$B$1)</f>
        <v>167.6661</v>
      </c>
      <c r="J78" s="55">
        <f>_xll.EQNXTDZ($A$1,$B78,J$1,$B$1)</f>
        <v>300.18090000000001</v>
      </c>
      <c r="K78" s="55">
        <f>_xll.EQNXTDZ($A$1,$B78,K$1,$B$1)</f>
        <v>457.05419999999998</v>
      </c>
      <c r="L78" s="55">
        <f>_xll.EQNXTDZ($A$1,$B78,L$1,$B$1)</f>
        <v>468.9085</v>
      </c>
      <c r="M78" s="55">
        <f>_xll.EQNXTDZ($A$1,$B78,M$1,$B$1)</f>
        <v>488.97660000000002</v>
      </c>
      <c r="N78" s="55">
        <f>_xll.EQNXTDZ($A$1,$B78,N$1,$B$1)</f>
        <v>271.0487</v>
      </c>
      <c r="O78" s="55">
        <f>_xll.EQNXTDZ($A$1,$B78,O$1,$B$1)</f>
        <v>349.8347</v>
      </c>
      <c r="P78" s="55">
        <f>_xll.EQNXTDZ($A$1,$B78,P$1,$B$1)</f>
        <v>281.79539999999997</v>
      </c>
      <c r="Q78" s="55">
        <f>_xll.EQNXTDZ($A$1,$B78,Q$1,$B$1)</f>
        <v>251.63380000000001</v>
      </c>
      <c r="R78" s="55">
        <f>_xll.EQNXTDZ($A$1,$B78,R$1,$B$1)</f>
        <v>185.48050000000001</v>
      </c>
      <c r="S78" s="55">
        <f>_xll.EQNXTDZ($A$1,$B78,S$1,$B$1)</f>
        <v>331.43</v>
      </c>
      <c r="T78" s="55">
        <f>_xll.EQNXTDZ($A$1,$B78,T$1,$B$1)</f>
        <v>283.69</v>
      </c>
      <c r="U78" s="55">
        <f>_xll.EQNXTDZ($A$1,$B78,U$1,$B$1)</f>
        <v>321.11</v>
      </c>
      <c r="V78" s="55">
        <f>_xll.EQNXTDZ($A$1,$B78,V$1,$B$1)</f>
        <v>308.41000000000003</v>
      </c>
      <c r="W78" s="55">
        <f>_xll.EQNXTDZ($A$1,$B78,W$1,$B$1)</f>
        <v>458.79</v>
      </c>
      <c r="X78" s="55">
        <f>_xll.EQNXTDZ($A$1,$B78,X$1,$B$1)</f>
        <v>571.66999999999996</v>
      </c>
      <c r="Y78" s="55">
        <f>_xll.EQNXTDZ($A$1,$B78,Y$1,$B$1)</f>
        <v>708.38</v>
      </c>
      <c r="Z78" s="55">
        <f>_xll.EQNXTDZ($A$1,$B78,Z$1,$B$1)</f>
        <v>852.32</v>
      </c>
      <c r="AA78" s="55">
        <f>_xll.EQNXTDZ($A$1,$B78,AA$1,$B$1)</f>
        <v>678.24</v>
      </c>
      <c r="AB78" s="55">
        <f>_xll.EQNXTDZ($A$1,$B78,AB$1,$B$1)</f>
        <v>780.93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0.14810000000000001</v>
      </c>
      <c r="H79" s="55">
        <f>_xll.EQNXTDZ($A$1,$B79,H$1,$B$1)</f>
        <v>0.25929999999999997</v>
      </c>
      <c r="I79" s="55">
        <f>_xll.EQNXTDZ($A$1,$B79,I$1,$B$1)</f>
        <v>19.595099999999999</v>
      </c>
      <c r="J79" s="55">
        <f>_xll.EQNXTDZ($A$1,$B79,J$1,$B$1)</f>
        <v>23.021000000000001</v>
      </c>
      <c r="K79" s="55">
        <f>_xll.EQNXTDZ($A$1,$B79,K$1,$B$1)</f>
        <v>0</v>
      </c>
      <c r="L79" s="55">
        <f>_xll.EQNXTDZ($A$1,$B79,L$1,$B$1)</f>
        <v>0.4723</v>
      </c>
      <c r="M79" s="55">
        <f>_xll.EQNXTDZ($A$1,$B79,M$1,$B$1)</f>
        <v>18.5169</v>
      </c>
      <c r="N79" s="55">
        <f>_xll.EQNXTDZ($A$1,$B79,N$1,$B$1)</f>
        <v>19.094100000000001</v>
      </c>
      <c r="O79" s="55">
        <f>_xll.EQNXTDZ($A$1,$B79,O$1,$B$1)</f>
        <v>20.748899999999999</v>
      </c>
      <c r="P79" s="55">
        <f>_xll.EQNXTDZ($A$1,$B79,P$1,$B$1)</f>
        <v>46.709499999999998</v>
      </c>
      <c r="Q79" s="55">
        <f>_xll.EQNXTDZ($A$1,$B79,Q$1,$B$1)</f>
        <v>24.403700000000001</v>
      </c>
      <c r="R79" s="55">
        <f>_xll.EQNXTDZ($A$1,$B79,R$1,$B$1)</f>
        <v>1028.0555999999999</v>
      </c>
      <c r="S79" s="55">
        <f>_xll.EQNXTDZ($A$1,$B79,S$1,$B$1)</f>
        <v>890.92</v>
      </c>
      <c r="T79" s="55">
        <f>_xll.EQNXTDZ($A$1,$B79,T$1,$B$1)</f>
        <v>1175.96</v>
      </c>
      <c r="U79" s="55">
        <f>_xll.EQNXTDZ($A$1,$B79,U$1,$B$1)</f>
        <v>105.88</v>
      </c>
      <c r="V79" s="55">
        <f>_xll.EQNXTDZ($A$1,$B79,V$1,$B$1)</f>
        <v>152.82</v>
      </c>
      <c r="W79" s="55">
        <f>_xll.EQNXTDZ($A$1,$B79,W$1,$B$1)</f>
        <v>98.81</v>
      </c>
      <c r="X79" s="55">
        <f>_xll.EQNXTDZ($A$1,$B79,X$1,$B$1)</f>
        <v>112.32</v>
      </c>
      <c r="Y79" s="55">
        <f>_xll.EQNXTDZ($A$1,$B79,Y$1,$B$1)</f>
        <v>207.93</v>
      </c>
      <c r="Z79" s="55">
        <f>_xll.EQNXTDZ($A$1,$B79,Z$1,$B$1)</f>
        <v>216.75</v>
      </c>
      <c r="AA79" s="55">
        <f>_xll.EQNXTDZ($A$1,$B79,AA$1,$B$1)</f>
        <v>363.87</v>
      </c>
      <c r="AB79" s="55">
        <f>_xll.EQNXTDZ($A$1,$B79,AB$1,$B$1)</f>
        <v>359.66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100.7343</v>
      </c>
      <c r="D80" s="55">
        <f>_xll.EQNXTDZ($A$1,$B80,D$1,$B$1)</f>
        <v>96.366900000000001</v>
      </c>
      <c r="E80" s="55">
        <f>_xll.EQNXTDZ($A$1,$B80,E$1,$B$1)</f>
        <v>117.76090000000001</v>
      </c>
      <c r="F80" s="55">
        <f>_xll.EQNXTDZ($A$1,$B80,F$1,$B$1)</f>
        <v>112.72920000000001</v>
      </c>
      <c r="G80" s="55">
        <f>_xll.EQNXTDZ($A$1,$B80,G$1,$B$1)</f>
        <v>114.5506</v>
      </c>
      <c r="H80" s="55">
        <f>_xll.EQNXTDZ($A$1,$B80,H$1,$B$1)</f>
        <v>126.85209999999999</v>
      </c>
      <c r="I80" s="55">
        <f>_xll.EQNXTDZ($A$1,$B80,I$1,$B$1)</f>
        <v>155.4605</v>
      </c>
      <c r="J80" s="55">
        <f>_xll.EQNXTDZ($A$1,$B80,J$1,$B$1)</f>
        <v>129.73779999999999</v>
      </c>
      <c r="K80" s="55">
        <f>_xll.EQNXTDZ($A$1,$B80,K$1,$B$1)</f>
        <v>220.3372</v>
      </c>
      <c r="L80" s="55">
        <f>_xll.EQNXTDZ($A$1,$B80,L$1,$B$1)</f>
        <v>691.64660000000003</v>
      </c>
      <c r="M80" s="55">
        <f>_xll.EQNXTDZ($A$1,$B80,M$1,$B$1)</f>
        <v>970.71079999999995</v>
      </c>
      <c r="N80" s="55">
        <f>_xll.EQNXTDZ($A$1,$B80,N$1,$B$1)</f>
        <v>997.49450000000002</v>
      </c>
      <c r="O80" s="55">
        <f>_xll.EQNXTDZ($A$1,$B80,O$1,$B$1)</f>
        <v>890.01599999999996</v>
      </c>
      <c r="P80" s="55">
        <f>_xll.EQNXTDZ($A$1,$B80,P$1,$B$1)</f>
        <v>857.19880000000001</v>
      </c>
      <c r="Q80" s="55">
        <f>_xll.EQNXTDZ($A$1,$B80,Q$1,$B$1)</f>
        <v>788.11170000000004</v>
      </c>
      <c r="R80" s="55">
        <f>_xll.EQNXTDZ($A$1,$B80,R$1,$B$1)</f>
        <v>152.49080000000001</v>
      </c>
      <c r="S80" s="55">
        <f>_xll.EQNXTDZ($A$1,$B80,S$1,$B$1)</f>
        <v>206.53</v>
      </c>
      <c r="T80" s="55">
        <f>_xll.EQNXTDZ($A$1,$B80,T$1,$B$1)</f>
        <v>266.98</v>
      </c>
      <c r="U80" s="55">
        <f>_xll.EQNXTDZ($A$1,$B80,U$1,$B$1)</f>
        <v>1090.6600000000001</v>
      </c>
      <c r="V80" s="55">
        <f>_xll.EQNXTDZ($A$1,$B80,V$1,$B$1)</f>
        <v>1300.6199999999999</v>
      </c>
      <c r="W80" s="55">
        <f>_xll.EQNXTDZ($A$1,$B80,W$1,$B$1)</f>
        <v>1301.96</v>
      </c>
      <c r="X80" s="55">
        <f>_xll.EQNXTDZ($A$1,$B80,X$1,$B$1)</f>
        <v>989.9</v>
      </c>
      <c r="Y80" s="55">
        <f>_xll.EQNXTDZ($A$1,$B80,Y$1,$B$1)</f>
        <v>1439.2</v>
      </c>
      <c r="Z80" s="55">
        <f>_xll.EQNXTDZ($A$1,$B80,Z$1,$B$1)</f>
        <v>1618.42</v>
      </c>
      <c r="AA80" s="55">
        <f>_xll.EQNXTDZ($A$1,$B80,AA$1,$B$1)</f>
        <v>2490.48</v>
      </c>
      <c r="AB80" s="55">
        <f>_xll.EQNXTDZ($A$1,$B80,AB$1,$B$1)</f>
        <v>2443.7199999999998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447.20679999999999</v>
      </c>
      <c r="D82" s="55">
        <f>_xll.EQNXTDZ($A$1,$B82,D$1,$B$1)</f>
        <v>552.17999999999995</v>
      </c>
      <c r="E82" s="55">
        <f>_xll.EQNXTDZ($A$1,$B82,E$1,$B$1)</f>
        <v>725.83879999999999</v>
      </c>
      <c r="F82" s="55">
        <f>_xll.EQNXTDZ($A$1,$B82,F$1,$B$1)</f>
        <v>782.82190000000003</v>
      </c>
      <c r="G82" s="55">
        <f>_xll.EQNXTDZ($A$1,$B82,G$1,$B$1)</f>
        <v>942.75059999999996</v>
      </c>
      <c r="H82" s="55">
        <f>_xll.EQNXTDZ($A$1,$B82,H$1,$B$1)</f>
        <v>1034.1164000000001</v>
      </c>
      <c r="I82" s="55">
        <f>_xll.EQNXTDZ($A$1,$B82,I$1,$B$1)</f>
        <v>1436.3681999999999</v>
      </c>
      <c r="J82" s="55">
        <f>_xll.EQNXTDZ($A$1,$B82,J$1,$B$1)</f>
        <v>1890.3242</v>
      </c>
      <c r="K82" s="55">
        <f>_xll.EQNXTDZ($A$1,$B82,K$1,$B$1)</f>
        <v>2873.2773999999999</v>
      </c>
      <c r="L82" s="55">
        <f>_xll.EQNXTDZ($A$1,$B82,L$1,$B$1)</f>
        <v>3033.942</v>
      </c>
      <c r="M82" s="55">
        <f>_xll.EQNXTDZ($A$1,$B82,M$1,$B$1)</f>
        <v>3589.7348999999999</v>
      </c>
      <c r="N82" s="55">
        <f>_xll.EQNXTDZ($A$1,$B82,N$1,$B$1)</f>
        <v>3511.1779000000001</v>
      </c>
      <c r="O82" s="55">
        <f>_xll.EQNXTDZ($A$1,$B82,O$1,$B$1)</f>
        <v>3868.8240999999998</v>
      </c>
      <c r="P82" s="55">
        <f>_xll.EQNXTDZ($A$1,$B82,P$1,$B$1)</f>
        <v>4014.5745000000002</v>
      </c>
      <c r="Q82" s="55">
        <f>_xll.EQNXTDZ($A$1,$B82,Q$1,$B$1)</f>
        <v>3736.7921000000001</v>
      </c>
      <c r="R82" s="55">
        <f>_xll.EQNXTDZ($A$1,$B82,R$1,$B$1)</f>
        <v>4125.5862999999999</v>
      </c>
      <c r="S82" s="55">
        <f>_xll.EQNXTDZ($A$1,$B82,S$1,$B$1)</f>
        <v>3989.56</v>
      </c>
      <c r="T82" s="55">
        <f>_xll.EQNXTDZ($A$1,$B82,T$1,$B$1)</f>
        <v>4597.54</v>
      </c>
      <c r="U82" s="55">
        <f>_xll.EQNXTDZ($A$1,$B82,U$1,$B$1)</f>
        <v>5647.17</v>
      </c>
      <c r="V82" s="55">
        <f>_xll.EQNXTDZ($A$1,$B82,V$1,$B$1)</f>
        <v>5578.43</v>
      </c>
      <c r="W82" s="55">
        <f>_xll.EQNXTDZ($A$1,$B82,W$1,$B$1)</f>
        <v>5189.41</v>
      </c>
      <c r="X82" s="55">
        <f>_xll.EQNXTDZ($A$1,$B82,X$1,$B$1)</f>
        <v>5879.22</v>
      </c>
      <c r="Y82" s="55">
        <f>_xll.EQNXTDZ($A$1,$B82,Y$1,$B$1)</f>
        <v>6446.49</v>
      </c>
      <c r="Z82" s="55">
        <f>_xll.EQNXTDZ($A$1,$B82,Z$1,$B$1)</f>
        <v>7724.64</v>
      </c>
      <c r="AA82" s="55">
        <f>_xll.EQNXTDZ($A$1,$B82,AA$1,$B$1)</f>
        <v>8877.92</v>
      </c>
      <c r="AB82" s="55">
        <f>_xll.EQNXTDZ($A$1,$B82,AB$1,$B$1)</f>
        <v>10329.19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56.336100000000002</v>
      </c>
      <c r="D83" s="55">
        <f>_xll.EQNXTDZ($A$1,$B83,D$1,$B$1)</f>
        <v>53.172199999999997</v>
      </c>
      <c r="E83" s="55">
        <f>_xll.EQNXTDZ($A$1,$B83,E$1,$B$1)</f>
        <v>8.9932999999999996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677.12630000000001</v>
      </c>
      <c r="D84" s="55">
        <f>_xll.EQNXTDZ($A$1,$B84,D$1,$B$1)</f>
        <v>770.91700000000003</v>
      </c>
      <c r="E84" s="55">
        <f>_xll.EQNXTDZ($A$1,$B84,E$1,$B$1)</f>
        <v>904.39490000000001</v>
      </c>
      <c r="F84" s="55">
        <f>_xll.EQNXTDZ($A$1,$B84,F$1,$B$1)</f>
        <v>964.45</v>
      </c>
      <c r="G84" s="55">
        <f>_xll.EQNXTDZ($A$1,$B84,G$1,$B$1)</f>
        <v>1083.694</v>
      </c>
      <c r="H84" s="55">
        <f>_xll.EQNXTDZ($A$1,$B84,H$1,$B$1)</f>
        <v>1226.1731</v>
      </c>
      <c r="I84" s="55">
        <f>_xll.EQNXTDZ($A$1,$B84,I$1,$B$1)</f>
        <v>1625.7877000000001</v>
      </c>
      <c r="J84" s="55">
        <f>_xll.EQNXTDZ($A$1,$B84,J$1,$B$1)</f>
        <v>2111.4079000000002</v>
      </c>
      <c r="K84" s="55">
        <f>_xll.EQNXTDZ($A$1,$B84,K$1,$B$1)</f>
        <v>3200.6556</v>
      </c>
      <c r="L84" s="55">
        <f>_xll.EQNXTDZ($A$1,$B84,L$1,$B$1)</f>
        <v>3361.4587999999999</v>
      </c>
      <c r="M84" s="55">
        <f>_xll.EQNXTDZ($A$1,$B84,M$1,$B$1)</f>
        <v>4127.4724999999999</v>
      </c>
      <c r="N84" s="55">
        <f>_xll.EQNXTDZ($A$1,$B84,N$1,$B$1)</f>
        <v>4132.4108999999999</v>
      </c>
      <c r="O84" s="55">
        <f>_xll.EQNXTDZ($A$1,$B84,O$1,$B$1)</f>
        <v>4542.1752999999999</v>
      </c>
      <c r="P84" s="55">
        <f>_xll.EQNXTDZ($A$1,$B84,P$1,$B$1)</f>
        <v>4719.6974</v>
      </c>
      <c r="Q84" s="55">
        <f>_xll.EQNXTDZ($A$1,$B84,Q$1,$B$1)</f>
        <v>4851.5115999999998</v>
      </c>
      <c r="R84" s="55">
        <f>_xll.EQNXTDZ($A$1,$B84,R$1,$B$1)</f>
        <v>5838.4053000000004</v>
      </c>
      <c r="S84" s="55">
        <f>_xll.EQNXTDZ($A$1,$B84,S$1,$B$1)</f>
        <v>6449.06</v>
      </c>
      <c r="T84" s="55">
        <f>_xll.EQNXTDZ($A$1,$B84,T$1,$B$1)</f>
        <v>7291.81</v>
      </c>
      <c r="U84" s="55">
        <f>_xll.EQNXTDZ($A$1,$B84,U$1,$B$1)</f>
        <v>7416.09</v>
      </c>
      <c r="V84" s="55">
        <f>_xll.EQNXTDZ($A$1,$B84,V$1,$B$1)</f>
        <v>8083.19</v>
      </c>
      <c r="W84" s="55">
        <f>_xll.EQNXTDZ($A$1,$B84,W$1,$B$1)</f>
        <v>8599.7099999999991</v>
      </c>
      <c r="X84" s="55">
        <f>_xll.EQNXTDZ($A$1,$B84,X$1,$B$1)</f>
        <v>9702.33</v>
      </c>
      <c r="Y84" s="55">
        <f>_xll.EQNXTDZ($A$1,$B84,Y$1,$B$1)</f>
        <v>10243.450000000001</v>
      </c>
      <c r="Z84" s="55">
        <f>_xll.EQNXTDZ($A$1,$B84,Z$1,$B$1)</f>
        <v>11994.43</v>
      </c>
      <c r="AA84" s="55">
        <f>_xll.EQNXTDZ($A$1,$B84,AA$1,$B$1)</f>
        <v>13107.65</v>
      </c>
      <c r="AB84" s="55">
        <f>_xll.EQNXTDZ($A$1,$B84,AB$1,$B$1)</f>
        <v>14459.07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158.16120000000001</v>
      </c>
      <c r="D85" s="55">
        <f>_xll.EQNXTDZ($A$1,$B85,D$1,$B$1)</f>
        <v>76.546099999999996</v>
      </c>
      <c r="E85" s="55">
        <f>_xll.EQNXTDZ($A$1,$B85,E$1,$B$1)</f>
        <v>171.5712</v>
      </c>
      <c r="F85" s="55">
        <f>_xll.EQNXTDZ($A$1,$B85,F$1,$B$1)</f>
        <v>251.23159999999999</v>
      </c>
      <c r="G85" s="55">
        <f>_xll.EQNXTDZ($A$1,$B85,G$1,$B$1)</f>
        <v>526.37819999999999</v>
      </c>
      <c r="H85" s="55">
        <f>_xll.EQNXTDZ($A$1,$B85,H$1,$B$1)</f>
        <v>534.17079999999999</v>
      </c>
      <c r="I85" s="55">
        <f>_xll.EQNXTDZ($A$1,$B85,I$1,$B$1)</f>
        <v>674.58989999999994</v>
      </c>
      <c r="J85" s="55">
        <f>_xll.EQNXTDZ($A$1,$B85,J$1,$B$1)</f>
        <v>726.04989999999998</v>
      </c>
      <c r="K85" s="55">
        <f>_xll.EQNXTDZ($A$1,$B85,K$1,$B$1)</f>
        <v>1206.9558</v>
      </c>
      <c r="L85" s="55">
        <f>_xll.EQNXTDZ($A$1,$B85,L$1,$B$1)</f>
        <v>1259.4076</v>
      </c>
      <c r="M85" s="55">
        <f>_xll.EQNXTDZ($A$1,$B85,M$1,$B$1)</f>
        <v>60.036299999999997</v>
      </c>
      <c r="N85" s="55">
        <f>_xll.EQNXTDZ($A$1,$B85,N$1,$B$1)</f>
        <v>363.80630000000002</v>
      </c>
      <c r="O85" s="55">
        <f>_xll.EQNXTDZ($A$1,$B85,O$1,$B$1)</f>
        <v>49.9572</v>
      </c>
      <c r="P85" s="55">
        <f>_xll.EQNXTDZ($A$1,$B85,P$1,$B$1)</f>
        <v>279.74119999999999</v>
      </c>
      <c r="Q85" s="55">
        <f>_xll.EQNXTDZ($A$1,$B85,Q$1,$B$1)</f>
        <v>258.61399999999998</v>
      </c>
      <c r="R85" s="55">
        <f>_xll.EQNXTDZ($A$1,$B85,R$1,$B$1)</f>
        <v>1051.5404000000001</v>
      </c>
      <c r="S85" s="55">
        <f>_xll.EQNXTDZ($A$1,$B85,S$1,$B$1)</f>
        <v>3369.4</v>
      </c>
      <c r="T85" s="55">
        <f>_xll.EQNXTDZ($A$1,$B85,T$1,$B$1)</f>
        <v>2465.9</v>
      </c>
      <c r="U85" s="55">
        <f>_xll.EQNXTDZ($A$1,$B85,U$1,$B$1)</f>
        <v>2310.92</v>
      </c>
      <c r="V85" s="55">
        <f>_xll.EQNXTDZ($A$1,$B85,V$1,$B$1)</f>
        <v>2801.38</v>
      </c>
      <c r="W85" s="55">
        <f>_xll.EQNXTDZ($A$1,$B85,W$1,$B$1)</f>
        <v>3500.42</v>
      </c>
      <c r="X85" s="55">
        <f>_xll.EQNXTDZ($A$1,$B85,X$1,$B$1)</f>
        <v>3356.05</v>
      </c>
      <c r="Y85" s="55">
        <f>_xll.EQNXTDZ($A$1,$B85,Y$1,$B$1)</f>
        <v>1635.37</v>
      </c>
      <c r="Z85" s="55">
        <f>_xll.EQNXTDZ($A$1,$B85,Z$1,$B$1)</f>
        <v>5015</v>
      </c>
      <c r="AA85" s="55">
        <f>_xll.EQNXTDZ($A$1,$B85,AA$1,$B$1)</f>
        <v>5107.18</v>
      </c>
      <c r="AB85" s="55">
        <f>_xll.EQNXTDZ($A$1,$B85,AB$1,$B$1)</f>
        <v>1730.23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3.0457999999999998</v>
      </c>
      <c r="H86" s="55">
        <f>_xll.EQNXTDZ($A$1,$B86,H$1,$B$1)</f>
        <v>3.0457999999999998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67.535700000000006</v>
      </c>
      <c r="L86" s="55">
        <f>_xll.EQNXTDZ($A$1,$B86,L$1,$B$1)</f>
        <v>0</v>
      </c>
      <c r="M86" s="55">
        <f>_xll.EQNXTDZ($A$1,$B86,M$1,$B$1)</f>
        <v>89.402500000000003</v>
      </c>
      <c r="N86" s="55">
        <f>_xll.EQNXTDZ($A$1,$B86,N$1,$B$1)</f>
        <v>88.954400000000007</v>
      </c>
      <c r="O86" s="55">
        <f>_xll.EQNXTDZ($A$1,$B86,O$1,$B$1)</f>
        <v>88.840400000000002</v>
      </c>
      <c r="P86" s="55">
        <f>_xll.EQNXTDZ($A$1,$B86,P$1,$B$1)</f>
        <v>0</v>
      </c>
      <c r="Q86" s="55">
        <f>_xll.EQNXTDZ($A$1,$B86,Q$1,$B$1)</f>
        <v>79.780299999999997</v>
      </c>
      <c r="R86" s="55">
        <f>_xll.EQNXTDZ($A$1,$B86,R$1,$B$1)</f>
        <v>72.310500000000005</v>
      </c>
      <c r="S86" s="55">
        <f>_xll.EQNXTDZ($A$1,$B86,S$1,$B$1)</f>
        <v>72.31</v>
      </c>
      <c r="T86" s="55">
        <f>_xll.EQNXTDZ($A$1,$B86,T$1,$B$1)</f>
        <v>72.31</v>
      </c>
      <c r="U86" s="55">
        <f>_xll.EQNXTDZ($A$1,$B86,U$1,$B$1)</f>
        <v>72.31</v>
      </c>
      <c r="V86" s="55">
        <f>_xll.EQNXTDZ($A$1,$B86,V$1,$B$1)</f>
        <v>72.31</v>
      </c>
      <c r="W86" s="55">
        <f>_xll.EQNXTDZ($A$1,$B86,W$1,$B$1)</f>
        <v>72.31</v>
      </c>
      <c r="X86" s="55">
        <f>_xll.EQNXTDZ($A$1,$B86,X$1,$B$1)</f>
        <v>72.31</v>
      </c>
      <c r="Y86" s="55">
        <f>_xll.EQNXTDZ($A$1,$B86,Y$1,$B$1)</f>
        <v>72.31</v>
      </c>
      <c r="Z86" s="55">
        <f>_xll.EQNXTDZ($A$1,$B86,Z$1,$B$1)</f>
        <v>72.31</v>
      </c>
      <c r="AA86" s="55">
        <f>_xll.EQNXTDZ($A$1,$B86,AA$1,$B$1)</f>
        <v>72.31</v>
      </c>
      <c r="AB86" s="55">
        <f>_xll.EQNXTDZ($A$1,$B86,AB$1,$B$1)</f>
        <v>72.31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1.3525</v>
      </c>
      <c r="N88" s="55">
        <f>_xll.EQNXTDZ($A$1,$B88,N$1,$B$1)</f>
        <v>1.7221</v>
      </c>
      <c r="O88" s="55">
        <f>_xll.EQNXTDZ($A$1,$B88,O$1,$B$1)</f>
        <v>1.2218</v>
      </c>
      <c r="P88" s="55">
        <f>_xll.EQNXTDZ($A$1,$B88,P$1,$B$1)</f>
        <v>1.1762999999999999</v>
      </c>
      <c r="Q88" s="55">
        <f>_xll.EQNXTDZ($A$1,$B88,Q$1,$B$1)</f>
        <v>0.39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99.03</v>
      </c>
      <c r="Z88" s="55">
        <f>_xll.EQNXTDZ($A$1,$B88,Z$1,$B$1)</f>
        <v>33.47</v>
      </c>
      <c r="AA88" s="55">
        <f>_xll.EQNXTDZ($A$1,$B88,AA$1,$B$1)</f>
        <v>21.24</v>
      </c>
      <c r="AB88" s="55">
        <f>_xll.EQNXTDZ($A$1,$B88,AB$1,$B$1)</f>
        <v>46.98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3.0457999999999998</v>
      </c>
      <c r="H91" s="55">
        <f>_xll.EQNXTDZ($A$1,$B91,H$1,$B$1)</f>
        <v>3.0457999999999998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67.535700000000006</v>
      </c>
      <c r="L91" s="55">
        <f>_xll.EQNXTDZ($A$1,$B91,L$1,$B$1)</f>
        <v>76.386200000000002</v>
      </c>
      <c r="M91" s="55">
        <f>_xll.EQNXTDZ($A$1,$B91,M$1,$B$1)</f>
        <v>89.402500000000003</v>
      </c>
      <c r="N91" s="55">
        <f>_xll.EQNXTDZ($A$1,$B91,N$1,$B$1)</f>
        <v>88.954400000000007</v>
      </c>
      <c r="O91" s="55">
        <f>_xll.EQNXTDZ($A$1,$B91,O$1,$B$1)</f>
        <v>88.840400000000002</v>
      </c>
      <c r="P91" s="55">
        <f>_xll.EQNXTDZ($A$1,$B91,P$1,$B$1)</f>
        <v>79.847800000000007</v>
      </c>
      <c r="Q91" s="55">
        <f>_xll.EQNXTDZ($A$1,$B91,Q$1,$B$1)</f>
        <v>79.780299999999997</v>
      </c>
      <c r="R91" s="55">
        <f>_xll.EQNXTDZ($A$1,$B91,R$1,$B$1)</f>
        <v>72.310500000000005</v>
      </c>
      <c r="S91" s="55">
        <f>_xll.EQNXTDZ($A$1,$B91,S$1,$B$1)</f>
        <v>72.31</v>
      </c>
      <c r="T91" s="55">
        <f>_xll.EQNXTDZ($A$1,$B91,T$1,$B$1)</f>
        <v>72.31</v>
      </c>
      <c r="U91" s="55">
        <f>_xll.EQNXTDZ($A$1,$B91,U$1,$B$1)</f>
        <v>72.31</v>
      </c>
      <c r="V91" s="55">
        <f>_xll.EQNXTDZ($A$1,$B91,V$1,$B$1)</f>
        <v>72.31</v>
      </c>
      <c r="W91" s="55">
        <f>_xll.EQNXTDZ($A$1,$B91,W$1,$B$1)</f>
        <v>72.31</v>
      </c>
      <c r="X91" s="55">
        <f>_xll.EQNXTDZ($A$1,$B91,X$1,$B$1)</f>
        <v>72.31</v>
      </c>
      <c r="Y91" s="55">
        <f>_xll.EQNXTDZ($A$1,$B91,Y$1,$B$1)</f>
        <v>72.31</v>
      </c>
      <c r="Z91" s="55">
        <f>_xll.EQNXTDZ($A$1,$B91,Z$1,$B$1)</f>
        <v>72.31</v>
      </c>
      <c r="AA91" s="55">
        <f>_xll.EQNXTDZ($A$1,$B91,AA$1,$B$1)</f>
        <v>72.31</v>
      </c>
      <c r="AB91" s="55">
        <f>_xll.EQNXTDZ($A$1,$B91,AB$1,$B$1)</f>
        <v>72.31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101.5072</v>
      </c>
      <c r="D93" s="55">
        <f>_xll.EQNXTDZ($A$1,$B93,D$1,$B$1)</f>
        <v>75.955100000000002</v>
      </c>
      <c r="E93" s="55">
        <f>_xll.EQNXTDZ($A$1,$B93,E$1,$B$1)</f>
        <v>171.0324</v>
      </c>
      <c r="F93" s="55">
        <f>_xll.EQNXTDZ($A$1,$B93,F$1,$B$1)</f>
        <v>242.9085</v>
      </c>
      <c r="G93" s="55">
        <f>_xll.EQNXTDZ($A$1,$B93,G$1,$B$1)</f>
        <v>239.29949999999999</v>
      </c>
      <c r="H93" s="55">
        <f>_xll.EQNXTDZ($A$1,$B93,H$1,$B$1)</f>
        <v>209.00649999999999</v>
      </c>
      <c r="I93" s="55">
        <f>_xll.EQNXTDZ($A$1,$B93,I$1,$B$1)</f>
        <v>246.69669999999999</v>
      </c>
      <c r="J93" s="55">
        <f>_xll.EQNXTDZ($A$1,$B93,J$1,$B$1)</f>
        <v>210.77209999999999</v>
      </c>
      <c r="K93" s="55">
        <f>_xll.EQNXTDZ($A$1,$B93,K$1,$B$1)</f>
        <v>238.59960000000001</v>
      </c>
      <c r="L93" s="55">
        <f>_xll.EQNXTDZ($A$1,$B93,L$1,$B$1)</f>
        <v>276.30509999999998</v>
      </c>
      <c r="M93" s="55">
        <f>_xll.EQNXTDZ($A$1,$B93,M$1,$B$1)</f>
        <v>60.036299999999997</v>
      </c>
      <c r="N93" s="55">
        <f>_xll.EQNXTDZ($A$1,$B93,N$1,$B$1)</f>
        <v>363.80630000000002</v>
      </c>
      <c r="O93" s="55">
        <f>_xll.EQNXTDZ($A$1,$B93,O$1,$B$1)</f>
        <v>49.9572</v>
      </c>
      <c r="P93" s="55">
        <f>_xll.EQNXTDZ($A$1,$B93,P$1,$B$1)</f>
        <v>279.74119999999999</v>
      </c>
      <c r="Q93" s="55">
        <f>_xll.EQNXTDZ($A$1,$B93,Q$1,$B$1)</f>
        <v>258.61399999999998</v>
      </c>
      <c r="R93" s="55">
        <f>_xll.EQNXTDZ($A$1,$B93,R$1,$B$1)</f>
        <v>943.79960000000005</v>
      </c>
      <c r="S93" s="55">
        <f>_xll.EQNXTDZ($A$1,$B93,S$1,$B$1)</f>
        <v>218.08</v>
      </c>
      <c r="T93" s="55">
        <f>_xll.EQNXTDZ($A$1,$B93,T$1,$B$1)</f>
        <v>182.99</v>
      </c>
      <c r="U93" s="55">
        <f>_xll.EQNXTDZ($A$1,$B93,U$1,$B$1)</f>
        <v>261.31</v>
      </c>
      <c r="V93" s="55">
        <f>_xll.EQNXTDZ($A$1,$B93,V$1,$B$1)</f>
        <v>370.24</v>
      </c>
      <c r="W93" s="55">
        <f>_xll.EQNXTDZ($A$1,$B93,W$1,$B$1)</f>
        <v>302.51</v>
      </c>
      <c r="X93" s="55">
        <f>_xll.EQNXTDZ($A$1,$B93,X$1,$B$1)</f>
        <v>258.39999999999998</v>
      </c>
      <c r="Y93" s="55">
        <f>_xll.EQNXTDZ($A$1,$B93,Y$1,$B$1)</f>
        <v>280.16000000000003</v>
      </c>
      <c r="Z93" s="55">
        <f>_xll.EQNXTDZ($A$1,$B93,Z$1,$B$1)</f>
        <v>302.45999999999998</v>
      </c>
      <c r="AA93" s="55">
        <f>_xll.EQNXTDZ($A$1,$B93,AA$1,$B$1)</f>
        <v>305.72000000000003</v>
      </c>
      <c r="AB93" s="55">
        <f>_xll.EQNXTDZ($A$1,$B93,AB$1,$B$1)</f>
        <v>328.13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4.8997999999999999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50.884999999999998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2.2776999999999998</v>
      </c>
      <c r="G95" s="55">
        <f>_xll.EQNXTDZ($A$1,$B95,G$1,$B$1)</f>
        <v>275.00360000000001</v>
      </c>
      <c r="H95" s="55">
        <f>_xll.EQNXTDZ($A$1,$B95,H$1,$B$1)</f>
        <v>309.31420000000003</v>
      </c>
      <c r="I95" s="55">
        <f>_xll.EQNXTDZ($A$1,$B95,I$1,$B$1)</f>
        <v>406.2167</v>
      </c>
      <c r="J95" s="55">
        <f>_xll.EQNXTDZ($A$1,$B95,J$1,$B$1)</f>
        <v>498.03809999999999</v>
      </c>
      <c r="K95" s="55">
        <f>_xll.EQNXTDZ($A$1,$B95,K$1,$B$1)</f>
        <v>964.71439999999996</v>
      </c>
      <c r="L95" s="55">
        <f>_xll.EQNXTDZ($A$1,$B95,L$1,$B$1)</f>
        <v>983.10249999999996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107.74079999999999</v>
      </c>
      <c r="S95" s="55">
        <f>_xll.EQNXTDZ($A$1,$B95,S$1,$B$1)</f>
        <v>3151.32</v>
      </c>
      <c r="T95" s="55">
        <f>_xll.EQNXTDZ($A$1,$B95,T$1,$B$1)</f>
        <v>2282.91</v>
      </c>
      <c r="U95" s="55">
        <f>_xll.EQNXTDZ($A$1,$B95,U$1,$B$1)</f>
        <v>2049.61</v>
      </c>
      <c r="V95" s="55">
        <f>_xll.EQNXTDZ($A$1,$B95,V$1,$B$1)</f>
        <v>2431.14</v>
      </c>
      <c r="W95" s="55">
        <f>_xll.EQNXTDZ($A$1,$B95,W$1,$B$1)</f>
        <v>3197.91</v>
      </c>
      <c r="X95" s="55">
        <f>_xll.EQNXTDZ($A$1,$B95,X$1,$B$1)</f>
        <v>3097.65</v>
      </c>
      <c r="Y95" s="55">
        <f>_xll.EQNXTDZ($A$1,$B95,Y$1,$B$1)</f>
        <v>1355.21</v>
      </c>
      <c r="Z95" s="55">
        <f>_xll.EQNXTDZ($A$1,$B95,Z$1,$B$1)</f>
        <v>4712.54</v>
      </c>
      <c r="AA95" s="55">
        <f>_xll.EQNXTDZ($A$1,$B95,AA$1,$B$1)</f>
        <v>4801.46</v>
      </c>
      <c r="AB95" s="55">
        <f>_xll.EQNXTDZ($A$1,$B95,AB$1,$B$1)</f>
        <v>1402.1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0.59099999999999997</v>
      </c>
      <c r="E96" s="55">
        <f>_xll.EQNXTDZ($A$1,$B96,E$1,$B$1)</f>
        <v>0.53879999999999995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0.86919999999999997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6.0453999999999999</v>
      </c>
      <c r="G97" s="55">
        <f>_xll.EQNXTDZ($A$1,$B97,G$1,$B$1)</f>
        <v>10.967700000000001</v>
      </c>
      <c r="H97" s="55">
        <f>_xll.EQNXTDZ($A$1,$B97,H$1,$B$1)</f>
        <v>14.742699999999999</v>
      </c>
      <c r="I97" s="55">
        <f>_xll.EQNXTDZ($A$1,$B97,I$1,$B$1)</f>
        <v>21.676500000000001</v>
      </c>
      <c r="J97" s="55">
        <f>_xll.EQNXTDZ($A$1,$B97,J$1,$B$1)</f>
        <v>17.239699999999999</v>
      </c>
      <c r="K97" s="55">
        <f>_xll.EQNXTDZ($A$1,$B97,K$1,$B$1)</f>
        <v>3.6417999999999999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1.1073999999999999</v>
      </c>
      <c r="H98" s="55">
        <f>_xll.EQNXTDZ($A$1,$B98,H$1,$B$1)</f>
        <v>1.1073999999999999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33.053899999999999</v>
      </c>
      <c r="D104" s="55">
        <f>_xll.EQNXTDZ($A$1,$B104,D$1,$B$1)</f>
        <v>33.053899999999999</v>
      </c>
      <c r="E104" s="55">
        <f>_xll.EQNXTDZ($A$1,$B104,E$1,$B$1)</f>
        <v>33.053899999999999</v>
      </c>
      <c r="F104" s="55">
        <f>_xll.EQNXTDZ($A$1,$B104,F$1,$B$1)</f>
        <v>33.055300000000003</v>
      </c>
      <c r="G104" s="55">
        <f>_xll.EQNXTDZ($A$1,$B104,G$1,$B$1)</f>
        <v>33.055300000000003</v>
      </c>
      <c r="H104" s="55">
        <f>_xll.EQNXTDZ($A$1,$B104,H$1,$B$1)</f>
        <v>33.062600000000003</v>
      </c>
      <c r="I104" s="55">
        <f>_xll.EQNXTDZ($A$1,$B104,I$1,$B$1)</f>
        <v>33.068300000000001</v>
      </c>
      <c r="J104" s="55">
        <f>_xll.EQNXTDZ($A$1,$B104,J$1,$B$1)</f>
        <v>33.069499999999998</v>
      </c>
      <c r="K104" s="55">
        <f>_xll.EQNXTDZ($A$1,$B104,K$1,$B$1)</f>
        <v>33.073399999999999</v>
      </c>
      <c r="L104" s="55">
        <f>_xll.EQNXTDZ($A$1,$B104,L$1,$B$1)</f>
        <v>33.073700000000002</v>
      </c>
      <c r="M104" s="55">
        <f>_xll.EQNXTDZ($A$1,$B104,M$1,$B$1)</f>
        <v>33.074300000000001</v>
      </c>
      <c r="N104" s="55">
        <f>_xll.EQNXTDZ($A$1,$B104,N$1,$B$1)</f>
        <v>33.074399999999997</v>
      </c>
      <c r="O104" s="55">
        <f>_xll.EQNXTDZ($A$1,$B104,O$1,$B$1)</f>
        <v>33.074599999999997</v>
      </c>
      <c r="P104" s="55">
        <f>_xll.EQNXTDZ($A$1,$B104,P$1,$B$1)</f>
        <v>33.074800000000003</v>
      </c>
      <c r="Q104" s="55">
        <f>_xll.EQNXTDZ($A$1,$B104,Q$1,$B$1)</f>
        <v>33.074800000000003</v>
      </c>
      <c r="R104" s="55">
        <f>_xll.EQNXTDZ($A$1,$B104,R$1,$B$1)</f>
        <v>33.075200000000002</v>
      </c>
      <c r="S104" s="55">
        <f>_xll.EQNXTDZ($A$1,$B104,S$1,$B$1)</f>
        <v>33.08</v>
      </c>
      <c r="T104" s="55">
        <f>_xll.EQNXTDZ($A$1,$B104,T$1,$B$1)</f>
        <v>33.08</v>
      </c>
      <c r="U104" s="55">
        <f>_xll.EQNXTDZ($A$1,$B104,U$1,$B$1)</f>
        <v>33.08</v>
      </c>
      <c r="V104" s="55">
        <f>_xll.EQNXTDZ($A$1,$B104,V$1,$B$1)</f>
        <v>33.08</v>
      </c>
      <c r="W104" s="55">
        <f>_xll.EQNXTDZ($A$1,$B104,W$1,$B$1)</f>
        <v>33.08</v>
      </c>
      <c r="X104" s="55">
        <f>_xll.EQNXTDZ($A$1,$B104,X$1,$B$1)</f>
        <v>33.08</v>
      </c>
      <c r="Y104" s="55">
        <f>_xll.EQNXTDZ($A$1,$B104,Y$1,$B$1)</f>
        <v>33.08</v>
      </c>
      <c r="Z104" s="55">
        <f>_xll.EQNXTDZ($A$1,$B104,Z$1,$B$1)</f>
        <v>33.08</v>
      </c>
      <c r="AA104" s="55">
        <f>_xll.EQNXTDZ($A$1,$B104,AA$1,$B$1)</f>
        <v>33.08</v>
      </c>
      <c r="AB104" s="55">
        <f>_xll.EQNXTDZ($A$1,$B104,AB$1,$B$1)</f>
        <v>33.08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</v>
      </c>
      <c r="J105" s="55">
        <f>_xll.EQNXTDZ($A$1,$B105,J$1,$B$1)</f>
        <v>1</v>
      </c>
      <c r="K105" s="55">
        <f>_xll.EQNXTDZ($A$1,$B105,K$1,$B$1)</f>
        <v>1</v>
      </c>
      <c r="L105" s="55">
        <f>_xll.EQNXTDZ($A$1,$B105,L$1,$B$1)</f>
        <v>1</v>
      </c>
      <c r="M105" s="55">
        <f>_xll.EQNXTDZ($A$1,$B105,M$1,$B$1)</f>
        <v>1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4</v>
      </c>
      <c r="D106" s="55">
        <f>_xll.EQNXTDZ($A$1,$B106,D$1,$B$1)</f>
        <v>4.88</v>
      </c>
      <c r="E106" s="55">
        <f>_xll.EQNXTDZ($A$1,$B106,E$1,$B$1)</f>
        <v>5.16</v>
      </c>
      <c r="F106" s="55">
        <f>_xll.EQNXTDZ($A$1,$B106,F$1,$B$1)</f>
        <v>11.54</v>
      </c>
      <c r="G106" s="55">
        <f>_xll.EQNXTDZ($A$1,$B106,G$1,$B$1)</f>
        <v>22.84</v>
      </c>
      <c r="H106" s="55">
        <f>_xll.EQNXTDZ($A$1,$B106,H$1,$B$1)</f>
        <v>100.47499999999999</v>
      </c>
      <c r="I106" s="55">
        <f>_xll.EQNXTDZ($A$1,$B106,I$1,$B$1)</f>
        <v>84.8</v>
      </c>
      <c r="J106" s="55">
        <f>_xll.EQNXTDZ($A$1,$B106,J$1,$B$1)</f>
        <v>177.95</v>
      </c>
      <c r="K106" s="55">
        <f>_xll.EQNXTDZ($A$1,$B106,K$1,$B$1)</f>
        <v>46.15</v>
      </c>
      <c r="L106" s="55">
        <f>_xll.EQNXTDZ($A$1,$B106,L$1,$B$1)</f>
        <v>177.3</v>
      </c>
      <c r="M106" s="55">
        <f>_xll.EQNXTDZ($A$1,$B106,M$1,$B$1)</f>
        <v>181.65</v>
      </c>
      <c r="N106" s="55">
        <f>_xll.EQNXTDZ($A$1,$B106,N$1,$B$1)</f>
        <v>112.05</v>
      </c>
      <c r="O106" s="55">
        <f>_xll.EQNXTDZ($A$1,$B106,O$1,$B$1)</f>
        <v>75.45</v>
      </c>
      <c r="P106" s="55">
        <f>_xll.EQNXTDZ($A$1,$B106,P$1,$B$1)</f>
        <v>160.94999999999999</v>
      </c>
      <c r="Q106" s="55">
        <f>_xll.EQNXTDZ($A$1,$B106,Q$1,$B$1)</f>
        <v>279.35000000000002</v>
      </c>
      <c r="R106" s="55">
        <f>_xll.EQNXTDZ($A$1,$B106,R$1,$B$1)</f>
        <v>276.95</v>
      </c>
      <c r="S106" s="55">
        <f>_xll.EQNXTDZ($A$1,$B106,S$1,$B$1)</f>
        <v>412.15</v>
      </c>
      <c r="T106" s="55">
        <f>_xll.EQNXTDZ($A$1,$B106,T$1,$B$1)</f>
        <v>620.6</v>
      </c>
      <c r="U106" s="55">
        <f>_xll.EQNXTDZ($A$1,$B106,U$1,$B$1)</f>
        <v>630.45000000000005</v>
      </c>
      <c r="V106" s="55">
        <f>_xll.EQNXTDZ($A$1,$B106,V$1,$B$1)</f>
        <v>478.85</v>
      </c>
      <c r="W106" s="55">
        <f>_xll.EQNXTDZ($A$1,$B106,W$1,$B$1)</f>
        <v>1001.85</v>
      </c>
      <c r="X106" s="55">
        <f>_xll.EQNXTDZ($A$1,$B106,X$1,$B$1)</f>
        <v>1244.5</v>
      </c>
      <c r="Y106" s="55">
        <f>_xll.EQNXTDZ($A$1,$B106,Y$1,$B$1)</f>
        <v>818.25</v>
      </c>
      <c r="Z106" s="55">
        <f>_xll.EQNXTDZ($A$1,$B106,Z$1,$B$1)</f>
        <v>1103.55</v>
      </c>
      <c r="AA106" s="55">
        <f>_xll.EQNXTDZ($A$1,$B106,AA$1,$B$1)</f>
        <v>1458.5</v>
      </c>
      <c r="AB106" s="55">
        <f>_xll.EQNXTDZ($A$1,$B106,AB$1,$B$1)</f>
        <v>1270.25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</v>
      </c>
      <c r="D107" s="55">
        <f>_xll.EQNXTDZ($A$1,$B107,D$1,$B$1)</f>
        <v>5.65</v>
      </c>
      <c r="E107" s="55">
        <f>_xll.EQNXTDZ($A$1,$B107,E$1,$B$1)</f>
        <v>6.55</v>
      </c>
      <c r="F107" s="55">
        <f>_xll.EQNXTDZ($A$1,$B107,F$1,$B$1)</f>
        <v>15.9</v>
      </c>
      <c r="G107" s="55">
        <f>_xll.EQNXTDZ($A$1,$B107,G$1,$B$1)</f>
        <v>24.79</v>
      </c>
      <c r="H107" s="55">
        <f>_xll.EQNXTDZ($A$1,$B107,H$1,$B$1)</f>
        <v>108.84</v>
      </c>
      <c r="I107" s="55">
        <f>_xll.EQNXTDZ($A$1,$B107,I$1,$B$1)</f>
        <v>120.5</v>
      </c>
      <c r="J107" s="55">
        <f>_xll.EQNXTDZ($A$1,$B107,J$1,$B$1)</f>
        <v>266.89999999999998</v>
      </c>
      <c r="K107" s="55">
        <f>_xll.EQNXTDZ($A$1,$B107,K$1,$B$1)</f>
        <v>197.05</v>
      </c>
      <c r="L107" s="55">
        <f>_xll.EQNXTDZ($A$1,$B107,L$1,$B$1)</f>
        <v>189.6</v>
      </c>
      <c r="M107" s="55">
        <f>_xll.EQNXTDZ($A$1,$B107,M$1,$B$1)</f>
        <v>262.5</v>
      </c>
      <c r="N107" s="55">
        <f>_xll.EQNXTDZ($A$1,$B107,N$1,$B$1)</f>
        <v>188.5</v>
      </c>
      <c r="O107" s="55">
        <f>_xll.EQNXTDZ($A$1,$B107,O$1,$B$1)</f>
        <v>138.5</v>
      </c>
      <c r="P107" s="55">
        <f>_xll.EQNXTDZ($A$1,$B107,P$1,$B$1)</f>
        <v>164.35</v>
      </c>
      <c r="Q107" s="55">
        <f>_xll.EQNXTDZ($A$1,$B107,Q$1,$B$1)</f>
        <v>301.45</v>
      </c>
      <c r="R107" s="55">
        <f>_xll.EQNXTDZ($A$1,$B107,R$1,$B$1)</f>
        <v>360</v>
      </c>
      <c r="S107" s="55">
        <f>_xll.EQNXTDZ($A$1,$B107,S$1,$B$1)</f>
        <v>424.9</v>
      </c>
      <c r="T107" s="55">
        <f>_xll.EQNXTDZ($A$1,$B107,T$1,$B$1)</f>
        <v>675</v>
      </c>
      <c r="U107" s="55">
        <f>_xll.EQNXTDZ($A$1,$B107,U$1,$B$1)</f>
        <v>664.6</v>
      </c>
      <c r="V107" s="55">
        <f>_xll.EQNXTDZ($A$1,$B107,V$1,$B$1)</f>
        <v>740.5</v>
      </c>
      <c r="W107" s="55">
        <f>_xll.EQNXTDZ($A$1,$B107,W$1,$B$1)</f>
        <v>1131.2</v>
      </c>
      <c r="X107" s="55">
        <f>_xll.EQNXTDZ($A$1,$B107,X$1,$B$1)</f>
        <v>1356.9</v>
      </c>
      <c r="Y107" s="55">
        <f>_xll.EQNXTDZ($A$1,$B107,Y$1,$B$1)</f>
        <v>1347.75</v>
      </c>
      <c r="Z107" s="55">
        <f>_xll.EQNXTDZ($A$1,$B107,Z$1,$B$1)</f>
        <v>1139</v>
      </c>
      <c r="AA107" s="55">
        <f>_xll.EQNXTDZ($A$1,$B107,AA$1,$B$1)</f>
        <v>1946.2</v>
      </c>
      <c r="AB107" s="55">
        <f>_xll.EQNXTDZ($A$1,$B107,AB$1,$B$1)</f>
        <v>1582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2.6</v>
      </c>
      <c r="D108" s="55">
        <f>_xll.EQNXTDZ($A$1,$B108,D$1,$B$1)</f>
        <v>3.105</v>
      </c>
      <c r="E108" s="55">
        <f>_xll.EQNXTDZ($A$1,$B108,E$1,$B$1)</f>
        <v>4.16</v>
      </c>
      <c r="F108" s="55">
        <f>_xll.EQNXTDZ($A$1,$B108,F$1,$B$1)</f>
        <v>5</v>
      </c>
      <c r="G108" s="55">
        <f>_xll.EQNXTDZ($A$1,$B108,G$1,$B$1)</f>
        <v>9.73</v>
      </c>
      <c r="H108" s="55">
        <f>_xll.EQNXTDZ($A$1,$B108,H$1,$B$1)</f>
        <v>21.835000000000001</v>
      </c>
      <c r="I108" s="55">
        <f>_xll.EQNXTDZ($A$1,$B108,I$1,$B$1)</f>
        <v>63.51</v>
      </c>
      <c r="J108" s="55">
        <f>_xll.EQNXTDZ($A$1,$B108,J$1,$B$1)</f>
        <v>79.400000000000006</v>
      </c>
      <c r="K108" s="55">
        <f>_xll.EQNXTDZ($A$1,$B108,K$1,$B$1)</f>
        <v>31.1</v>
      </c>
      <c r="L108" s="55">
        <f>_xll.EQNXTDZ($A$1,$B108,L$1,$B$1)</f>
        <v>45.85</v>
      </c>
      <c r="M108" s="55">
        <f>_xll.EQNXTDZ($A$1,$B108,M$1,$B$1)</f>
        <v>147.35</v>
      </c>
      <c r="N108" s="55">
        <f>_xll.EQNXTDZ($A$1,$B108,N$1,$B$1)</f>
        <v>71.5</v>
      </c>
      <c r="O108" s="55">
        <f>_xll.EQNXTDZ($A$1,$B108,O$1,$B$1)</f>
        <v>73.25</v>
      </c>
      <c r="P108" s="55">
        <f>_xll.EQNXTDZ($A$1,$B108,P$1,$B$1)</f>
        <v>62.7</v>
      </c>
      <c r="Q108" s="55">
        <f>_xll.EQNXTDZ($A$1,$B108,Q$1,$B$1)</f>
        <v>148.5</v>
      </c>
      <c r="R108" s="55">
        <f>_xll.EQNXTDZ($A$1,$B108,R$1,$B$1)</f>
        <v>211.2</v>
      </c>
      <c r="S108" s="55">
        <f>_xll.EQNXTDZ($A$1,$B108,S$1,$B$1)</f>
        <v>266.8</v>
      </c>
      <c r="T108" s="55">
        <f>_xll.EQNXTDZ($A$1,$B108,T$1,$B$1)</f>
        <v>401.25</v>
      </c>
      <c r="U108" s="55">
        <f>_xll.EQNXTDZ($A$1,$B108,U$1,$B$1)</f>
        <v>471</v>
      </c>
      <c r="V108" s="55">
        <f>_xll.EQNXTDZ($A$1,$B108,V$1,$B$1)</f>
        <v>449.2</v>
      </c>
      <c r="W108" s="55">
        <f>_xll.EQNXTDZ($A$1,$B108,W$1,$B$1)</f>
        <v>428</v>
      </c>
      <c r="X108" s="55">
        <f>_xll.EQNXTDZ($A$1,$B108,X$1,$B$1)</f>
        <v>918</v>
      </c>
      <c r="Y108" s="55">
        <f>_xll.EQNXTDZ($A$1,$B108,Y$1,$B$1)</f>
        <v>737.6</v>
      </c>
      <c r="Z108" s="55">
        <f>_xll.EQNXTDZ($A$1,$B108,Z$1,$B$1)</f>
        <v>745</v>
      </c>
      <c r="AA108" s="55">
        <f>_xll.EQNXTDZ($A$1,$B108,AA$1,$B$1)</f>
        <v>1103</v>
      </c>
      <c r="AB108" s="55">
        <f>_xll.EQNXTDZ($A$1,$B108,AB$1,$B$1)</f>
        <v>1172.2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132.21559999999999</v>
      </c>
      <c r="D109" s="55">
        <f>_xll.EQNXTDZ($A$1,$B109,D$1,$B$1)</f>
        <v>161.303032</v>
      </c>
      <c r="E109" s="55">
        <f>_xll.EQNXTDZ($A$1,$B109,E$1,$B$1)</f>
        <v>170.55812399999999</v>
      </c>
      <c r="F109" s="55">
        <f>_xll.EQNXTDZ($A$1,$B109,F$1,$B$1)</f>
        <v>381.45816200000002</v>
      </c>
      <c r="G109" s="55">
        <f>_xll.EQNXTDZ($A$1,$B109,G$1,$B$1)</f>
        <v>754.98305200000004</v>
      </c>
      <c r="H109" s="55">
        <f>_xll.EQNXTDZ($A$1,$B109,H$1,$B$1)</f>
        <v>3321.964735</v>
      </c>
      <c r="I109" s="55">
        <f>_xll.EQNXTDZ($A$1,$B109,I$1,$B$1)</f>
        <v>2804.19184</v>
      </c>
      <c r="J109" s="55">
        <f>_xll.EQNXTDZ($A$1,$B109,J$1,$B$1)</f>
        <v>5884.717525</v>
      </c>
      <c r="K109" s="55">
        <f>_xll.EQNXTDZ($A$1,$B109,K$1,$B$1)</f>
        <v>1526.3374100000001</v>
      </c>
      <c r="L109" s="55">
        <f>_xll.EQNXTDZ($A$1,$B109,L$1,$B$1)</f>
        <v>5863.9670100000003</v>
      </c>
      <c r="M109" s="55">
        <f>_xll.EQNXTDZ($A$1,$B109,M$1,$B$1)</f>
        <v>6007.9465950000003</v>
      </c>
      <c r="N109" s="55">
        <f>_xll.EQNXTDZ($A$1,$B109,N$1,$B$1)</f>
        <v>3705.9865199999999</v>
      </c>
      <c r="O109" s="55">
        <f>_xll.EQNXTDZ($A$1,$B109,O$1,$B$1)</f>
        <v>2495.4785700000002</v>
      </c>
      <c r="P109" s="55">
        <f>_xll.EQNXTDZ($A$1,$B109,P$1,$B$1)</f>
        <v>5323.3890600000004</v>
      </c>
      <c r="Q109" s="55">
        <f>_xll.EQNXTDZ($A$1,$B109,Q$1,$B$1)</f>
        <v>9239.4453799999992</v>
      </c>
      <c r="R109" s="55">
        <f>_xll.EQNXTDZ($A$1,$B109,R$1,$B$1)</f>
        <v>9160.1766399999997</v>
      </c>
      <c r="S109" s="55">
        <f>_xll.EQNXTDZ($A$1,$B109,S$1,$B$1)</f>
        <v>13633.922</v>
      </c>
      <c r="T109" s="55">
        <f>_xll.EQNXTDZ($A$1,$B109,T$1,$B$1)</f>
        <v>20529.448</v>
      </c>
      <c r="U109" s="55">
        <f>_xll.EQNXTDZ($A$1,$B109,U$1,$B$1)</f>
        <v>20855.286</v>
      </c>
      <c r="V109" s="55">
        <f>_xll.EQNXTDZ($A$1,$B109,V$1,$B$1)</f>
        <v>15840.358</v>
      </c>
      <c r="W109" s="55">
        <f>_xll.EQNXTDZ($A$1,$B109,W$1,$B$1)</f>
        <v>33141.197999999997</v>
      </c>
      <c r="X109" s="55">
        <f>_xll.EQNXTDZ($A$1,$B109,X$1,$B$1)</f>
        <v>41168.06</v>
      </c>
      <c r="Y109" s="55">
        <f>_xll.EQNXTDZ($A$1,$B109,Y$1,$B$1)</f>
        <v>27067.71</v>
      </c>
      <c r="Z109" s="55">
        <f>_xll.EQNXTDZ($A$1,$B109,Z$1,$B$1)</f>
        <v>36505.434000000001</v>
      </c>
      <c r="AA109" s="55">
        <f>_xll.EQNXTDZ($A$1,$B109,AA$1,$B$1)</f>
        <v>48247.18</v>
      </c>
      <c r="AB109" s="55">
        <f>_xll.EQNXTDZ($A$1,$B109,AB$1,$B$1)</f>
        <v>42019.87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0.12</v>
      </c>
      <c r="D110" s="55">
        <f>_xll.EQNXTDZ($A$1,$B110,D$1,$B$1)</f>
        <v>0.18</v>
      </c>
      <c r="E110" s="55">
        <f>_xll.EQNXTDZ($A$1,$B110,E$1,$B$1)</f>
        <v>0.25</v>
      </c>
      <c r="F110" s="55">
        <f>_xll.EQNXTDZ($A$1,$B110,F$1,$B$1)</f>
        <v>0.3</v>
      </c>
      <c r="G110" s="55">
        <f>_xll.EQNXTDZ($A$1,$B110,G$1,$B$1)</f>
        <v>0.5</v>
      </c>
      <c r="H110" s="55">
        <f>_xll.EQNXTDZ($A$1,$B110,H$1,$B$1)</f>
        <v>0.6</v>
      </c>
      <c r="I110" s="55">
        <f>_xll.EQNXTDZ($A$1,$B110,I$1,$B$1)</f>
        <v>1</v>
      </c>
      <c r="J110" s="55">
        <f>_xll.EQNXTDZ($A$1,$B110,J$1,$B$1)</f>
        <v>1.35</v>
      </c>
      <c r="K110" s="55">
        <f>_xll.EQNXTDZ($A$1,$B110,K$1,$B$1)</f>
        <v>1.6</v>
      </c>
      <c r="L110" s="55">
        <f>_xll.EQNXTDZ($A$1,$B110,L$1,$B$1)</f>
        <v>2</v>
      </c>
      <c r="M110" s="55">
        <f>_xll.EQNXTDZ($A$1,$B110,M$1,$B$1)</f>
        <v>2</v>
      </c>
      <c r="N110" s="55">
        <f>_xll.EQNXTDZ($A$1,$B110,N$1,$B$1)</f>
        <v>1.6</v>
      </c>
      <c r="O110" s="55">
        <f>_xll.EQNXTDZ($A$1,$B110,O$1,$B$1)</f>
        <v>1.6</v>
      </c>
      <c r="P110" s="55">
        <f>_xll.EQNXTDZ($A$1,$B110,P$1,$B$1)</f>
        <v>1.85</v>
      </c>
      <c r="Q110" s="55">
        <f>_xll.EQNXTDZ($A$1,$B110,Q$1,$B$1)</f>
        <v>2.25</v>
      </c>
      <c r="R110" s="55">
        <f>_xll.EQNXTDZ($A$1,$B110,R$1,$B$1)</f>
        <v>2.6</v>
      </c>
      <c r="S110" s="55">
        <f>_xll.EQNXTDZ($A$1,$B110,S$1,$B$1)</f>
        <v>3.5</v>
      </c>
      <c r="T110" s="55">
        <f>_xll.EQNXTDZ($A$1,$B110,T$1,$B$1)</f>
        <v>4</v>
      </c>
      <c r="U110" s="55">
        <f>_xll.EQNXTDZ($A$1,$B110,U$1,$B$1)</f>
        <v>4</v>
      </c>
      <c r="V110" s="55">
        <f>_xll.EQNXTDZ($A$1,$B110,V$1,$B$1)</f>
        <v>4</v>
      </c>
      <c r="W110" s="55">
        <f>_xll.EQNXTDZ($A$1,$B110,W$1,$B$1)</f>
        <v>5</v>
      </c>
      <c r="X110" s="55">
        <f>_xll.EQNXTDZ($A$1,$B110,X$1,$B$1)</f>
        <v>5.5</v>
      </c>
      <c r="Y110" s="55">
        <f>_xll.EQNXTDZ($A$1,$B110,Y$1,$B$1)</f>
        <v>4.25</v>
      </c>
      <c r="Z110" s="55">
        <f>_xll.EQNXTDZ($A$1,$B110,Z$1,$B$1)</f>
        <v>5.5</v>
      </c>
      <c r="AA110" s="55">
        <f>_xll.EQNXTDZ($A$1,$B110,AA$1,$B$1)</f>
        <v>7</v>
      </c>
      <c r="AB110" s="55">
        <f>_xll.EQNXTDZ($A$1,$B110,AB$1,$B$1)</f>
        <v>4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20.04</v>
      </c>
      <c r="D112" s="56">
        <f>_xll.EQNXTDZ($A$1,$B112,D$5)</f>
        <v>24.85</v>
      </c>
      <c r="E112" s="56">
        <f>_xll.EQNXTDZ($A$1,$B112,E$5)</f>
        <v>25.69</v>
      </c>
      <c r="F112" s="56">
        <f>_xll.EQNXTDZ($A$1,$B112,F$5)</f>
        <v>27.74</v>
      </c>
      <c r="G112" s="56">
        <f>_xll.EQNXTDZ($A$1,$B112,G$5)</f>
        <v>27.74</v>
      </c>
      <c r="H112" s="56">
        <f>_xll.EQNXTDZ($A$1,$B112,H$5)</f>
        <v>27.56</v>
      </c>
      <c r="I112" s="56">
        <f>_xll.EQNXTDZ($A$1,$B112,I$5)</f>
        <v>27.61</v>
      </c>
      <c r="J112" s="56">
        <f>_xll.EQNXTDZ($A$1,$B112,J$5)</f>
        <v>27.55</v>
      </c>
      <c r="K112" s="56">
        <f>_xll.EQNXTDZ($A$1,$B112,K$5)</f>
        <v>27.73</v>
      </c>
      <c r="L112" s="56">
        <f>_xll.EQNXTDZ($A$1,$B112,L$5)</f>
        <v>27.68</v>
      </c>
      <c r="M112" s="56">
        <f>_xll.EQNXTDZ($A$1,$B112,M$5)</f>
        <v>30.61</v>
      </c>
      <c r="N112" s="56">
        <f>_xll.EQNXTDZ($A$1,$B112,N$5)</f>
        <v>30.15</v>
      </c>
      <c r="O112" s="56">
        <f>_xll.EQNXTDZ($A$1,$B112,O$5)</f>
        <v>30.15</v>
      </c>
      <c r="P112" s="56">
        <f>_xll.EQNXTDZ($A$1,$B112,P$5)</f>
        <v>30.3</v>
      </c>
      <c r="Q112" s="56">
        <f>_xll.EQNXTDZ($A$1,$B112,Q$5)</f>
        <v>30.3</v>
      </c>
      <c r="R112" s="56">
        <f>_xll.EQNXTDZ($A$1,$B112,R$5)</f>
        <v>30.3</v>
      </c>
      <c r="S112" s="56">
        <f>_xll.EQNXTDZ($A$1,$B112,S$5)</f>
        <v>30.3</v>
      </c>
      <c r="T112" s="56">
        <f>_xll.EQNXTDZ($A$1,$B112,T$5)</f>
        <v>30.3</v>
      </c>
      <c r="U112" s="56">
        <f>_xll.EQNXTDZ($A$1,$B112,U$5)</f>
        <v>30.3</v>
      </c>
      <c r="V112" s="56">
        <f>_xll.EQNXTDZ($A$1,$B112,V$5)</f>
        <v>30.3</v>
      </c>
      <c r="W112" s="56">
        <f>_xll.EQNXTDZ($A$1,$B112,W$5)</f>
        <v>30.3</v>
      </c>
      <c r="X112" s="56">
        <f>_xll.EQNXTDZ($A$1,$B112,X$5)</f>
        <v>30.3</v>
      </c>
      <c r="Y112" s="56">
        <f>_xll.EQNXTDZ($A$1,$B112,Y$5)</f>
        <v>30.3</v>
      </c>
      <c r="Z112" s="56">
        <f>_xll.EQNXTDZ($A$1,$B112,Z$5)</f>
        <v>30.3</v>
      </c>
      <c r="AA112" s="56">
        <f>_xll.EQNXTDZ($A$1,$B112,AA$5)</f>
        <v>30.3</v>
      </c>
      <c r="AB112" s="56">
        <f>_xll.EQNXTDZ($A$1,$B112,AB$5)</f>
        <v>30.3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100575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99.55</v>
      </c>
      <c r="D6" cm="1">
        <f t="array" ref="D6">_xll.EQNXTDZ($A$1,$B6,D$1)</f>
        <v>105</v>
      </c>
      <c r="E6" cm="1">
        <f t="array" ref="E6">_xll.EQNXTDZ($A$1,$B6,E$1)</f>
        <v>101</v>
      </c>
      <c r="F6" cm="1">
        <f t="array" ref="F6">_xll.EQNXTDZ($A$1,$B6,F$1)</f>
        <v>110.9</v>
      </c>
      <c r="G6" cm="1">
        <f t="array" ref="G6">_xll.EQNXTDZ($A$1,$B6,G$1)</f>
        <v>123.95</v>
      </c>
      <c r="H6" cm="1">
        <f t="array" ref="H6">_xll.EQNXTDZ($A$1,$B6,H$1)</f>
        <v>110.8</v>
      </c>
      <c r="I6" cm="1">
        <f t="array" ref="I6">_xll.EQNXTDZ($A$1,$B6,I$1)</f>
        <v>105.15</v>
      </c>
      <c r="J6" cm="1">
        <f t="array" ref="J6">_xll.EQNXTDZ($A$1,$B6,J$1)</f>
        <v>106</v>
      </c>
      <c r="K6" cm="1">
        <f t="array" ref="K6">_xll.EQNXTDZ($A$1,$B6,K$1)</f>
        <v>98.4</v>
      </c>
      <c r="L6" cm="1">
        <f t="array" ref="L6">_xll.EQNXTDZ($A$1,$B6,L$1)</f>
        <v>79.5</v>
      </c>
      <c r="M6" cm="1">
        <f t="array" ref="M6">_xll.EQNXTDZ($A$1,$B6,M$1)</f>
        <v>75.599999999999994</v>
      </c>
      <c r="N6" cm="1">
        <f t="array" ref="N6">_xll.EQNXTDZ($A$1,$B6,N$1)</f>
        <v>85.9</v>
      </c>
      <c r="O6" cm="1">
        <f t="array" ref="O6">_xll.EQNXTDZ($A$1,$B6,O$1)</f>
        <v>83</v>
      </c>
      <c r="P6" cm="1">
        <f t="array" ref="P6">_xll.EQNXTDZ($A$1,$B6,P$1)</f>
        <v>80.95</v>
      </c>
      <c r="Q6" cm="1">
        <f t="array" ref="Q6">_xll.EQNXTDZ($A$1,$B6,Q$1)</f>
        <v>77.75</v>
      </c>
      <c r="R6" cm="1">
        <f t="array" ref="R6">_xll.EQNXTDZ($A$1,$B6,R$1)</f>
        <v>67.099999999999994</v>
      </c>
      <c r="S6" cm="1">
        <f t="array" ref="S6">_xll.EQNXTDZ($A$1,$B6,S$1)</f>
        <v>74</v>
      </c>
      <c r="T6" cm="1">
        <f t="array" ref="T6">_xll.EQNXTDZ($A$1,$B6,T$1)</f>
        <v>89.9</v>
      </c>
      <c r="U6" cm="1">
        <f t="array" ref="U6">_xll.EQNXTDZ($A$1,$B6,U$1)</f>
        <v>111.9</v>
      </c>
      <c r="V6" cm="1">
        <f t="array" ref="V6">_xll.EQNXTDZ($A$1,$B6,V$1)</f>
        <v>116.65</v>
      </c>
      <c r="W6" cm="1">
        <f t="array" ref="W6">_xll.EQNXTDZ($A$1,$B6,W$1)</f>
        <v>106.4</v>
      </c>
      <c r="X6" cm="1">
        <f t="array" ref="X6">_xll.EQNXTDZ($A$1,$B6,X$1)</f>
        <v>133.5</v>
      </c>
      <c r="Y6" cm="1">
        <f t="array" ref="Y6">_xll.EQNXTDZ($A$1,$B6,Y$1)</f>
        <v>161.25</v>
      </c>
      <c r="Z6" cm="1">
        <f t="array" ref="Z6">_xll.EQNXTDZ($A$1,$B6,Z$1)</f>
        <v>158</v>
      </c>
      <c r="AA6" cm="1">
        <f t="array" ref="AA6">_xll.EQNXTDZ($A$1,$B6,AA$1)</f>
        <v>187.95</v>
      </c>
      <c r="AB6" cm="1">
        <f t="array" ref="AB6">_xll.EQNXTDZ($A$1,$B6,AB$1)</f>
        <v>219</v>
      </c>
      <c r="AC6" cm="1">
        <f t="array" ref="AC6">_xll.EQNXTDZ($A$1,$B6,AC$1)</f>
        <v>188.6</v>
      </c>
      <c r="AD6" cm="1">
        <f t="array" ref="AD6">_xll.EQNXTDZ($A$1,$B6,AD$1)</f>
        <v>247.7</v>
      </c>
      <c r="AE6" cm="1">
        <f t="array" ref="AE6">_xll.EQNXTDZ($A$1,$B6,AE$1)</f>
        <v>239.2</v>
      </c>
      <c r="AF6" cm="1">
        <f t="array" ref="AF6">_xll.EQNXTDZ($A$1,$B6,AF$1)</f>
        <v>250.7</v>
      </c>
      <c r="AG6" cm="1">
        <f t="array" ref="AG6">_xll.EQNXTDZ($A$1,$B6,AG$1)</f>
        <v>271.2</v>
      </c>
      <c r="AH6" cm="1">
        <f t="array" ref="AH6">_xll.EQNXTDZ($A$1,$B6,AH$1)</f>
        <v>242.5</v>
      </c>
      <c r="AI6" cm="1">
        <f t="array" ref="AI6">_xll.EQNXTDZ($A$1,$B6,AI$1)</f>
        <v>265.55</v>
      </c>
      <c r="AJ6" cm="1">
        <f t="array" ref="AJ6">_xll.EQNXTDZ($A$1,$B6,AJ$1)</f>
        <v>256</v>
      </c>
      <c r="AK6" cm="1">
        <f t="array" ref="AK6">_xll.EQNXTDZ($A$1,$B6,AK$1)</f>
        <v>279.89999999999998</v>
      </c>
      <c r="AL6" cm="1">
        <f t="array" ref="AL6">_xll.EQNXTDZ($A$1,$B6,AL$1)</f>
        <v>281.89999999999998</v>
      </c>
      <c r="AM6" cm="1">
        <f t="array" ref="AM6">_xll.EQNXTDZ($A$1,$B6,AM$1)</f>
        <v>332</v>
      </c>
      <c r="AN6" cm="1">
        <f t="array" ref="AN6">_xll.EQNXTDZ($A$1,$B6,AN$1)</f>
        <v>316.7</v>
      </c>
      <c r="AO6" cm="1">
        <f t="array" ref="AO6">_xll.EQNXTDZ($A$1,$B6,AO$1)</f>
        <v>318</v>
      </c>
      <c r="AP6" cm="1">
        <f t="array" ref="AP6">_xll.EQNXTDZ($A$1,$B6,AP$1)</f>
        <v>271</v>
      </c>
      <c r="AQ6" cm="1">
        <f t="array" ref="AQ6">_xll.EQNXTDZ($A$1,$B6,AQ$1)</f>
        <v>272</v>
      </c>
      <c r="AR6" cm="1">
        <f t="array" ref="AR6">_xll.EQNXTDZ($A$1,$B6,AR$1)</f>
        <v>281</v>
      </c>
      <c r="AS6" cm="1">
        <f t="array" ref="AS6">_xll.EQNXTDZ($A$1,$B6,AS$1)</f>
        <v>289.60000000000002</v>
      </c>
      <c r="AT6" cm="1">
        <f t="array" ref="AT6">_xll.EQNXTDZ($A$1,$B6,AT$1)</f>
        <v>324</v>
      </c>
      <c r="AU6" cm="1">
        <f t="array" ref="AU6">_xll.EQNXTDZ($A$1,$B6,AU$1)</f>
        <v>289</v>
      </c>
      <c r="AV6" cm="1">
        <f t="array" ref="AV6">_xll.EQNXTDZ($A$1,$B6,AV$1)</f>
        <v>224.5</v>
      </c>
      <c r="AW6" cm="1">
        <f t="array" ref="AW6">_xll.EQNXTDZ($A$1,$B6,AW$1)</f>
        <v>279</v>
      </c>
      <c r="AX6" cm="1">
        <f t="array" ref="AX6">_xll.EQNXTDZ($A$1,$B6,AX$1)</f>
        <v>293.5</v>
      </c>
      <c r="AY6" cm="1">
        <f t="array" ref="AY6">_xll.EQNXTDZ($A$1,$B6,AY$1)</f>
        <v>336.05</v>
      </c>
      <c r="AZ6" cm="1">
        <f t="array" ref="AZ6">_xll.EQNXTDZ($A$1,$B6,AZ$1)</f>
        <v>322.5</v>
      </c>
      <c r="BA6" cm="1">
        <f t="array" ref="BA6">_xll.EQNXTDZ($A$1,$B6,BA$1)</f>
        <v>350</v>
      </c>
      <c r="BB6" cm="1">
        <f t="array" ref="BB6">_xll.EQNXTDZ($A$1,$B6,BB$1)</f>
        <v>392.8</v>
      </c>
      <c r="BC6" cm="1">
        <f t="array" ref="BC6">_xll.EQNXTDZ($A$1,$B6,BC$1)</f>
        <v>382.2</v>
      </c>
      <c r="BD6" cm="1">
        <f t="array" ref="BD6">_xll.EQNXTDZ($A$1,$B6,BD$1)</f>
        <v>386.6</v>
      </c>
      <c r="BE6" cm="1">
        <f t="array" ref="BE6">_xll.EQNXTDZ($A$1,$B6,BE$1)</f>
        <v>319</v>
      </c>
      <c r="BF6" cm="1">
        <f t="array" ref="BF6">_xll.EQNXTDZ($A$1,$B6,BF$1)</f>
        <v>324.89999999999998</v>
      </c>
      <c r="BG6" cm="1">
        <f t="array" ref="BG6">_xll.EQNXTDZ($A$1,$B6,BG$1)</f>
        <v>328.9</v>
      </c>
      <c r="BH6" cm="1">
        <f t="array" ref="BH6">_xll.EQNXTDZ($A$1,$B6,BH$1)</f>
        <v>373.4</v>
      </c>
      <c r="BI6" cm="1">
        <f t="array" ref="BI6">_xll.EQNXTDZ($A$1,$B6,BI$1)</f>
        <v>415.9</v>
      </c>
      <c r="BJ6" cm="1">
        <f t="array" ref="BJ6">_xll.EQNXTDZ($A$1,$B6,BJ$1)</f>
        <v>414.8</v>
      </c>
      <c r="BK6" cm="1">
        <f t="array" ref="BK6">_xll.EQNXTDZ($A$1,$B6,BK$1)</f>
        <v>486.5</v>
      </c>
      <c r="BL6" cm="1">
        <f t="array" ref="BL6">_xll.EQNXTDZ($A$1,$B6,BL$1)</f>
        <v>459.5</v>
      </c>
      <c r="BM6" cm="1">
        <f t="array" ref="BM6">_xll.EQNXTDZ($A$1,$B6,BM$1)</f>
        <v>507</v>
      </c>
      <c r="BN6" cm="1">
        <f t="array" ref="BN6">_xll.EQNXTDZ($A$1,$B6,BN$1)</f>
        <v>525.4</v>
      </c>
      <c r="BO6" cm="1">
        <f t="array" ref="BO6">_xll.EQNXTDZ($A$1,$B6,BO$1)</f>
        <v>506.65</v>
      </c>
      <c r="BP6" cm="1">
        <f t="array" ref="BP6">_xll.EQNXTDZ($A$1,$B6,BP$1)</f>
        <v>570</v>
      </c>
      <c r="BQ6" cm="1">
        <f t="array" ref="BQ6">_xll.EQNXTDZ($A$1,$B6,BQ$1)</f>
        <v>633</v>
      </c>
      <c r="BR6" cm="1">
        <f t="array" ref="BR6">_xll.EQNXTDZ($A$1,$B6,BR$1)</f>
        <v>656</v>
      </c>
      <c r="BS6" cm="1">
        <f t="array" ref="BS6">_xll.EQNXTDZ($A$1,$B6,BS$1)</f>
        <v>605</v>
      </c>
      <c r="BT6" cm="1">
        <f t="array" ref="BT6">_xll.EQNXTDZ($A$1,$B6,BT$1)</f>
        <v>615</v>
      </c>
      <c r="BU6" cm="1">
        <f t="array" ref="BU6">_xll.EQNXTDZ($A$1,$B6,BU$1)</f>
        <v>625</v>
      </c>
      <c r="BV6" cm="1">
        <f t="array" ref="BV6">_xll.EQNXTDZ($A$1,$B6,BV$1)</f>
        <v>643.85</v>
      </c>
      <c r="BW6" cm="1">
        <f t="array" ref="BW6">_xll.EQNXTDZ($A$1,$B6,BW$1)</f>
        <v>539.5</v>
      </c>
      <c r="BX6" cm="1">
        <f t="array" ref="BX6">_xll.EQNXTDZ($A$1,$B6,BX$1)</f>
        <v>521.25</v>
      </c>
      <c r="BY6" cm="1">
        <f t="array" ref="BY6">_xll.EQNXTDZ($A$1,$B6,BY$1)</f>
        <v>569</v>
      </c>
      <c r="BZ6" cm="1">
        <f t="array" ref="BZ6">_xll.EQNXTDZ($A$1,$B6,BZ$1)</f>
        <v>618.4</v>
      </c>
      <c r="CA6" cm="1">
        <f t="array" ref="CA6">_xll.EQNXTDZ($A$1,$B6,CA$1)</f>
        <v>530.20000000000005</v>
      </c>
      <c r="CB6" cm="1">
        <f t="array" ref="CB6">_xll.EQNXTDZ($A$1,$B6,CB$1)</f>
        <v>544.9</v>
      </c>
      <c r="CC6" cm="1">
        <f t="array" ref="CC6">_xll.EQNXTDZ($A$1,$B6,CC$1)</f>
        <v>555</v>
      </c>
      <c r="CD6" cm="1">
        <f t="array" ref="CD6">_xll.EQNXTDZ($A$1,$B6,CD$1)</f>
        <v>555.79999999999995</v>
      </c>
      <c r="CE6" cm="1">
        <f t="array" ref="CE6">_xll.EQNXTDZ($A$1,$B6,CE$1)</f>
        <v>541.1</v>
      </c>
      <c r="CF6" cm="1">
        <f t="array" ref="CF6">_xll.EQNXTDZ($A$1,$B6,CF$1)</f>
        <v>568.29999999999995</v>
      </c>
      <c r="CG6" cm="1">
        <f t="array" ref="CG6">_xll.EQNXTDZ($A$1,$B6,CG$1)</f>
        <v>630.45000000000005</v>
      </c>
      <c r="CH6" cm="1">
        <f t="array" ref="CH6">_xll.EQNXTDZ($A$1,$B6,CH$1)</f>
        <v>601</v>
      </c>
      <c r="CI6" cm="1">
        <f t="array" ref="CI6">_xll.EQNXTDZ($A$1,$B6,CI$1)</f>
        <v>586</v>
      </c>
      <c r="CJ6" cm="1">
        <f t="array" ref="CJ6">_xll.EQNXTDZ($A$1,$B6,CJ$1)</f>
        <v>645.4</v>
      </c>
      <c r="CK6" cm="1">
        <f t="array" ref="CK6">_xll.EQNXTDZ($A$1,$B6,CK$1)</f>
        <v>580</v>
      </c>
      <c r="CL6" cm="1">
        <f t="array" ref="CL6">_xll.EQNXTDZ($A$1,$B6,CL$1)</f>
        <v>633.75</v>
      </c>
      <c r="CM6" cm="1">
        <f t="array" ref="CM6">_xll.EQNXTDZ($A$1,$B6,CM$1)</f>
        <v>680</v>
      </c>
      <c r="CN6" cm="1">
        <f t="array" ref="CN6">_xll.EQNXTDZ($A$1,$B6,CN$1)</f>
        <v>709</v>
      </c>
      <c r="CO6" cm="1">
        <f t="array" ref="CO6">_xll.EQNXTDZ($A$1,$B6,CO$1)</f>
        <v>696.55</v>
      </c>
      <c r="CP6" cm="1">
        <f t="array" ref="CP6">_xll.EQNXTDZ($A$1,$B6,CP$1)</f>
        <v>659.3</v>
      </c>
      <c r="CQ6" cm="1">
        <f t="array" ref="CQ6">_xll.EQNXTDZ($A$1,$B6,CQ$1)</f>
        <v>693.8</v>
      </c>
      <c r="CR6" cm="1">
        <f t="array" ref="CR6">_xll.EQNXTDZ($A$1,$B6,CR$1)</f>
        <v>685.4</v>
      </c>
      <c r="CS6" cm="1">
        <f t="array" ref="CS6">_xll.EQNXTDZ($A$1,$B6,CS$1)</f>
        <v>472.55</v>
      </c>
      <c r="CT6" cm="1">
        <f t="array" ref="CT6">_xll.EQNXTDZ($A$1,$B6,CT$1)</f>
        <v>496</v>
      </c>
      <c r="CU6" cm="1">
        <f t="array" ref="CU6">_xll.EQNXTDZ($A$1,$B6,CU$1)</f>
        <v>506</v>
      </c>
      <c r="CV6" cm="1">
        <f t="array" ref="CV6">_xll.EQNXTDZ($A$1,$B6,CV$1)</f>
        <v>547.9</v>
      </c>
      <c r="CW6" cm="1">
        <f t="array" ref="CW6">_xll.EQNXTDZ($A$1,$B6,CW$1)</f>
        <v>596</v>
      </c>
      <c r="CX6" cm="1">
        <f t="array" ref="CX6">_xll.EQNXTDZ($A$1,$B6,CX$1)</f>
        <v>642.35</v>
      </c>
      <c r="CY6" cm="1">
        <f t="array" ref="CY6">_xll.EQNXTDZ($A$1,$B6,CY$1)</f>
        <v>688</v>
      </c>
      <c r="CZ6" cm="1">
        <f t="array" ref="CZ6">_xll.EQNXTDZ($A$1,$B6,CZ$1)</f>
        <v>707.5</v>
      </c>
      <c r="DA6" cm="1">
        <f t="array" ref="DA6">_xll.EQNXTDZ($A$1,$B6,DA$1)</f>
        <v>812.15</v>
      </c>
      <c r="DB6" cm="1">
        <f t="array" ref="DB6">_xll.EQNXTDZ($A$1,$B6,DB$1)</f>
        <v>827</v>
      </c>
      <c r="DC6" cm="1">
        <f t="array" ref="DC6">_xll.EQNXTDZ($A$1,$B6,DC$1)</f>
        <v>906.05</v>
      </c>
      <c r="DD6" cm="1">
        <f t="array" ref="DD6">_xll.EQNXTDZ($A$1,$B6,DD$1)</f>
        <v>1023.2</v>
      </c>
      <c r="DE6" cm="1">
        <f t="array" ref="DE6">_xll.EQNXTDZ($A$1,$B6,DE$1)</f>
        <v>1012</v>
      </c>
      <c r="DF6" cm="1">
        <f t="array" ref="DF6">_xll.EQNXTDZ($A$1,$B6,DF$1)</f>
        <v>952.1</v>
      </c>
      <c r="DG6" cm="1">
        <f t="array" ref="DG6">_xll.EQNXTDZ($A$1,$B6,DG$1)</f>
        <v>1010.35</v>
      </c>
      <c r="DH6" cm="1">
        <f t="array" ref="DH6">_xll.EQNXTDZ($A$1,$B6,DH$1)</f>
        <v>1024</v>
      </c>
      <c r="DI6" cm="1">
        <f t="array" ref="DI6">_xll.EQNXTDZ($A$1,$B6,DI$1)</f>
        <v>1068.9000000000001</v>
      </c>
      <c r="DJ6" cm="1">
        <f t="array" ref="DJ6">_xll.EQNXTDZ($A$1,$B6,DJ$1)</f>
        <v>1009</v>
      </c>
      <c r="DK6" cm="1">
        <f t="array" ref="DK6">_xll.EQNXTDZ($A$1,$B6,DK$1)</f>
        <v>1217.75</v>
      </c>
      <c r="DL6" cm="1">
        <f t="array" ref="DL6">_xll.EQNXTDZ($A$1,$B6,DL$1)</f>
        <v>1201</v>
      </c>
      <c r="DM6" cm="1">
        <f t="array" ref="DM6">_xll.EQNXTDZ($A$1,$B6,DM$1)</f>
        <v>1202</v>
      </c>
      <c r="DN6" cm="1">
        <f t="array" ref="DN6">_xll.EQNXTDZ($A$1,$B6,DN$1)</f>
        <v>1225</v>
      </c>
      <c r="DO6" cm="1">
        <f t="array" ref="DO6">_xll.EQNXTDZ($A$1,$B6,DO$1)</f>
        <v>1195</v>
      </c>
      <c r="DP6" cm="1">
        <f t="array" ref="DP6">_xll.EQNXTDZ($A$1,$B6,DP$1)</f>
        <v>1254.8</v>
      </c>
      <c r="DQ6" cm="1">
        <f t="array" ref="DQ6">_xll.EQNXTDZ($A$1,$B6,DQ$1)</f>
        <v>1245</v>
      </c>
      <c r="DR6" cm="1">
        <f t="array" ref="DR6">_xll.EQNXTDZ($A$1,$B6,DR$1)</f>
        <v>1250</v>
      </c>
      <c r="DS6" cm="1">
        <f t="array" ref="DS6">_xll.EQNXTDZ($A$1,$B6,DS$1)</f>
        <v>1008.6</v>
      </c>
      <c r="DT6" cm="1">
        <f t="array" ref="DT6">_xll.EQNXTDZ($A$1,$B6,DT$1)</f>
        <v>949.8</v>
      </c>
      <c r="DU6" cm="1">
        <f t="array" ref="DU6">_xll.EQNXTDZ($A$1,$B6,DU$1)</f>
        <v>1009.95</v>
      </c>
      <c r="DV6" cm="1">
        <f t="array" ref="DV6">_xll.EQNXTDZ($A$1,$B6,DV$1)</f>
        <v>992</v>
      </c>
      <c r="DW6" cm="1">
        <f t="array" ref="DW6">_xll.EQNXTDZ($A$1,$B6,DW$1)</f>
        <v>909</v>
      </c>
      <c r="DX6" cm="1">
        <f t="array" ref="DX6">_xll.EQNXTDZ($A$1,$B6,DX$1)</f>
        <v>880.6</v>
      </c>
      <c r="DY6" cm="1">
        <f t="array" ref="DY6">_xll.EQNXTDZ($A$1,$B6,DY$1)</f>
        <v>822.2</v>
      </c>
      <c r="DZ6" cm="1">
        <f t="array" ref="DZ6">_xll.EQNXTDZ($A$1,$B6,DZ$1)</f>
        <v>799.9</v>
      </c>
      <c r="EA6" cm="1">
        <f t="array" ref="EA6">_xll.EQNXTDZ($A$1,$B6,EA$1)</f>
        <v>803.5</v>
      </c>
      <c r="EB6" cm="1">
        <f t="array" ref="EB6">_xll.EQNXTDZ($A$1,$B6,EB$1)</f>
        <v>898.95</v>
      </c>
      <c r="EC6" cm="1">
        <f t="array" ref="EC6">_xll.EQNXTDZ($A$1,$B6,EC$1)</f>
        <v>823.45</v>
      </c>
      <c r="ED6" cm="1">
        <f t="array" ref="ED6">_xll.EQNXTDZ($A$1,$B6,ED$1)</f>
        <v>795.95</v>
      </c>
      <c r="EE6" cm="1">
        <f t="array" ref="EE6">_xll.EQNXTDZ($A$1,$B6,EE$1)</f>
        <v>820.05</v>
      </c>
      <c r="EF6" cm="1">
        <f t="array" ref="EF6">_xll.EQNXTDZ($A$1,$B6,EF$1)</f>
        <v>765</v>
      </c>
      <c r="EG6" cm="1">
        <f t="array" ref="EG6">_xll.EQNXTDZ($A$1,$B6,EG$1)</f>
        <v>782</v>
      </c>
      <c r="EH6" cm="1">
        <f t="array" ref="EH6">_xll.EQNXTDZ($A$1,$B6,EH$1)</f>
        <v>874</v>
      </c>
      <c r="EI6" cm="1">
        <f t="array" ref="EI6">_xll.EQNXTDZ($A$1,$B6,EI$1)</f>
        <v>861.9</v>
      </c>
      <c r="EJ6" cm="1">
        <f t="array" ref="EJ6">_xll.EQNXTDZ($A$1,$B6,EJ$1)</f>
        <v>837.5</v>
      </c>
      <c r="EK6" cm="1">
        <f t="array" ref="EK6">_xll.EQNXTDZ($A$1,$B6,EK$1)</f>
        <v>828.15</v>
      </c>
      <c r="EL6" cm="1">
        <f t="array" ref="EL6">_xll.EQNXTDZ($A$1,$B6,EL$1)</f>
        <v>979</v>
      </c>
      <c r="EM6" cm="1">
        <f t="array" ref="EM6">_xll.EQNXTDZ($A$1,$B6,EM$1)</f>
        <v>1091</v>
      </c>
      <c r="EN6" cm="1">
        <f t="array" ref="EN6">_xll.EQNXTDZ($A$1,$B6,EN$1)</f>
        <v>1116.8</v>
      </c>
      <c r="EO6" cm="1">
        <f t="array" ref="EO6">_xll.EQNXTDZ($A$1,$B6,EO$1)</f>
        <v>1103.55</v>
      </c>
      <c r="EP6" cm="1">
        <f t="array" ref="EP6">_xll.EQNXTDZ($A$1,$B6,EP$1)</f>
        <v>1482</v>
      </c>
      <c r="EQ6" cm="1">
        <f t="array" ref="EQ6">_xll.EQNXTDZ($A$1,$B6,EQ$1)</f>
        <v>1410</v>
      </c>
      <c r="ER6" cm="1">
        <f t="array" ref="ER6">_xll.EQNXTDZ($A$1,$B6,ER$1)</f>
        <v>1472.2</v>
      </c>
      <c r="ES6" cm="1">
        <f t="array" ref="ES6">_xll.EQNXTDZ($A$1,$B6,ES$1)</f>
        <v>1540</v>
      </c>
      <c r="ET6" cm="1">
        <f t="array" ref="ET6">_xll.EQNXTDZ($A$1,$B6,ET$1)</f>
        <v>1754.8</v>
      </c>
      <c r="EU6" cm="1">
        <f t="array" ref="EU6">_xll.EQNXTDZ($A$1,$B6,EU$1)</f>
        <v>1845</v>
      </c>
      <c r="EV6" cm="1">
        <f t="array" ref="EV6">_xll.EQNXTDZ($A$1,$B6,EV$1)</f>
        <v>1663</v>
      </c>
      <c r="EW6" cm="1">
        <f t="array" ref="EW6">_xll.EQNXTDZ($A$1,$B6,EW$1)</f>
        <v>1667</v>
      </c>
      <c r="EX6" cm="1">
        <f t="array" ref="EX6">_xll.EQNXTDZ($A$1,$B6,EX$1)</f>
        <v>1790</v>
      </c>
      <c r="EY6" cm="1">
        <f t="array" ref="EY6">_xll.EQNXTDZ($A$1,$B6,EY$1)</f>
        <v>1270</v>
      </c>
      <c r="EZ6" cm="1">
        <f t="array" ref="EZ6">_xll.EQNXTDZ($A$1,$B6,EZ$1)</f>
        <v>1347.15</v>
      </c>
      <c r="FA6" cm="1">
        <f t="array" ref="FA6">_xll.EQNXTDZ($A$1,$B6,FA$1)</f>
        <v>1430</v>
      </c>
      <c r="FB6" cm="1">
        <f t="array" ref="FB6">_xll.EQNXTDZ($A$1,$B6,FB$1)</f>
        <v>1232.4000000000001</v>
      </c>
      <c r="FC6" cm="1">
        <f t="array" ref="FC6">_xll.EQNXTDZ($A$1,$B6,FC$1)</f>
        <v>1260</v>
      </c>
      <c r="FD6" cm="1">
        <f t="array" ref="FD6">_xll.EQNXTDZ($A$1,$B6,FD$1)</f>
        <v>1319</v>
      </c>
      <c r="FE6" cm="1">
        <f t="array" ref="FE6">_xll.EQNXTDZ($A$1,$B6,FE$1)</f>
        <v>1326.8</v>
      </c>
      <c r="FF6" cm="1">
        <f t="array" ref="FF6">_xll.EQNXTDZ($A$1,$B6,FF$1)</f>
        <v>1370</v>
      </c>
      <c r="FG6" cm="1">
        <f t="array" ref="FG6">_xll.EQNXTDZ($A$1,$B6,FG$1)</f>
        <v>1349.1</v>
      </c>
      <c r="FH6" cm="1">
        <f t="array" ref="FH6">_xll.EQNXTDZ($A$1,$B6,FH$1)</f>
        <v>1375</v>
      </c>
      <c r="FI6" cm="1">
        <f t="array" ref="FI6">_xll.EQNXTDZ($A$1,$B6,FI$1)</f>
        <v>1375</v>
      </c>
      <c r="FJ6" cm="1">
        <f t="array" ref="FJ6">_xll.EQNXTDZ($A$1,$B6,FJ$1)</f>
        <v>1361.2</v>
      </c>
      <c r="FK6" cm="1">
        <f t="array" ref="FK6">_xll.EQNXTDZ($A$1,$B6,FK$1)</f>
        <v>1328</v>
      </c>
      <c r="FL6" cm="1">
        <f t="array" ref="FL6">_xll.EQNXTDZ($A$1,$B6,FL$1)</f>
        <v>1521</v>
      </c>
      <c r="FM6" cm="1">
        <f t="array" ref="FM6">_xll.EQNXTDZ($A$1,$B6,FM$1)</f>
        <v>1300</v>
      </c>
      <c r="FN6" cm="1">
        <f t="array" ref="FN6">_xll.EQNXTDZ($A$1,$B6,FN$1)</f>
        <v>1445.2</v>
      </c>
      <c r="FO6" cm="1">
        <f t="array" ref="FO6">_xll.EQNXTDZ($A$1,$B6,FO$1)</f>
        <v>1255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111.4</v>
      </c>
      <c r="D7" s="116" cm="1">
        <f t="array" ref="D7">_xll.EQNXTDZ($A$1,$B7,D$1)</f>
        <v>117.7</v>
      </c>
      <c r="E7" s="116" cm="1">
        <f t="array" ref="E7">_xll.EQNXTDZ($A$1,$B7,E$1)</f>
        <v>119.9</v>
      </c>
      <c r="F7" s="116" cm="1">
        <f t="array" ref="F7">_xll.EQNXTDZ($A$1,$B7,F$1)</f>
        <v>136.30000000000001</v>
      </c>
      <c r="G7" s="116" cm="1">
        <f t="array" ref="G7">_xll.EQNXTDZ($A$1,$B7,G$1)</f>
        <v>127.3</v>
      </c>
      <c r="H7" s="116" cm="1">
        <f t="array" ref="H7">_xll.EQNXTDZ($A$1,$B7,H$1)</f>
        <v>119</v>
      </c>
      <c r="I7" s="116" cm="1">
        <f t="array" ref="I7">_xll.EQNXTDZ($A$1,$B7,I$1)</f>
        <v>116.75</v>
      </c>
      <c r="J7" s="116" cm="1">
        <f t="array" ref="J7">_xll.EQNXTDZ($A$1,$B7,J$1)</f>
        <v>110.55</v>
      </c>
      <c r="K7" s="116" cm="1">
        <f t="array" ref="K7">_xll.EQNXTDZ($A$1,$B7,K$1)</f>
        <v>99.95</v>
      </c>
      <c r="L7" s="116" cm="1">
        <f t="array" ref="L7">_xll.EQNXTDZ($A$1,$B7,L$1)</f>
        <v>85.9</v>
      </c>
      <c r="M7" s="116" cm="1">
        <f t="array" ref="M7">_xll.EQNXTDZ($A$1,$B7,M$1)</f>
        <v>86.9</v>
      </c>
      <c r="N7" s="116" cm="1">
        <f t="array" ref="N7">_xll.EQNXTDZ($A$1,$B7,N$1)</f>
        <v>96.7</v>
      </c>
      <c r="O7" s="116" cm="1">
        <f t="array" ref="O7">_xll.EQNXTDZ($A$1,$B7,O$1)</f>
        <v>86.45</v>
      </c>
      <c r="P7" s="116" cm="1">
        <f t="array" ref="P7">_xll.EQNXTDZ($A$1,$B7,P$1)</f>
        <v>86.9</v>
      </c>
      <c r="Q7" s="116" cm="1">
        <f t="array" ref="Q7">_xll.EQNXTDZ($A$1,$B7,Q$1)</f>
        <v>79.150000000000006</v>
      </c>
      <c r="R7" s="116" cm="1">
        <f t="array" ref="R7">_xll.EQNXTDZ($A$1,$B7,R$1)</f>
        <v>78.55</v>
      </c>
      <c r="S7" s="116" cm="1">
        <f t="array" ref="S7">_xll.EQNXTDZ($A$1,$B7,S$1)</f>
        <v>89.95</v>
      </c>
      <c r="T7" s="116" cm="1">
        <f t="array" ref="T7">_xll.EQNXTDZ($A$1,$B7,T$1)</f>
        <v>116.4</v>
      </c>
      <c r="U7" s="116" cm="1">
        <f t="array" ref="U7">_xll.EQNXTDZ($A$1,$B7,U$1)</f>
        <v>124.7</v>
      </c>
      <c r="V7" s="116" cm="1">
        <f t="array" ref="V7">_xll.EQNXTDZ($A$1,$B7,V$1)</f>
        <v>123.3</v>
      </c>
      <c r="W7" s="116" cm="1">
        <f t="array" ref="W7">_xll.EQNXTDZ($A$1,$B7,W$1)</f>
        <v>133.94999999999999</v>
      </c>
      <c r="X7" s="116" cm="1">
        <f t="array" ref="X7">_xll.EQNXTDZ($A$1,$B7,X$1)</f>
        <v>164.2</v>
      </c>
      <c r="Y7" s="116" cm="1">
        <f t="array" ref="Y7">_xll.EQNXTDZ($A$1,$B7,Y$1)</f>
        <v>176.45</v>
      </c>
      <c r="Z7" s="116" cm="1">
        <f t="array" ref="Z7">_xll.EQNXTDZ($A$1,$B7,Z$1)</f>
        <v>209.4</v>
      </c>
      <c r="AA7" s="116" cm="1">
        <f t="array" ref="AA7">_xll.EQNXTDZ($A$1,$B7,AA$1)</f>
        <v>233.45</v>
      </c>
      <c r="AB7" s="116" cm="1">
        <f t="array" ref="AB7">_xll.EQNXTDZ($A$1,$B7,AB$1)</f>
        <v>224.7</v>
      </c>
      <c r="AC7" s="116" cm="1">
        <f t="array" ref="AC7">_xll.EQNXTDZ($A$1,$B7,AC$1)</f>
        <v>245.6</v>
      </c>
      <c r="AD7" s="116" cm="1">
        <f t="array" ref="AD7">_xll.EQNXTDZ($A$1,$B7,AD$1)</f>
        <v>271.2</v>
      </c>
      <c r="AE7" s="116" cm="1">
        <f t="array" ref="AE7">_xll.EQNXTDZ($A$1,$B7,AE$1)</f>
        <v>254</v>
      </c>
      <c r="AF7" s="116" cm="1">
        <f t="array" ref="AF7">_xll.EQNXTDZ($A$1,$B7,AF$1)</f>
        <v>286.45</v>
      </c>
      <c r="AG7" s="116" cm="1">
        <f t="array" ref="AG7">_xll.EQNXTDZ($A$1,$B7,AG$1)</f>
        <v>285.35000000000002</v>
      </c>
      <c r="AH7" s="116" cm="1">
        <f t="array" ref="AH7">_xll.EQNXTDZ($A$1,$B7,AH$1)</f>
        <v>278.45</v>
      </c>
      <c r="AI7" s="116" cm="1">
        <f t="array" ref="AI7">_xll.EQNXTDZ($A$1,$B7,AI$1)</f>
        <v>283</v>
      </c>
      <c r="AJ7" s="116" cm="1">
        <f t="array" ref="AJ7">_xll.EQNXTDZ($A$1,$B7,AJ$1)</f>
        <v>301.39999999999998</v>
      </c>
      <c r="AK7" s="116" cm="1">
        <f t="array" ref="AK7">_xll.EQNXTDZ($A$1,$B7,AK$1)</f>
        <v>310.3</v>
      </c>
      <c r="AL7" s="116" cm="1">
        <f t="array" ref="AL7">_xll.EQNXTDZ($A$1,$B7,AL$1)</f>
        <v>347.8</v>
      </c>
      <c r="AM7" s="116" cm="1">
        <f t="array" ref="AM7">_xll.EQNXTDZ($A$1,$B7,AM$1)</f>
        <v>359.9</v>
      </c>
      <c r="AN7" s="116" cm="1">
        <f t="array" ref="AN7">_xll.EQNXTDZ($A$1,$B7,AN$1)</f>
        <v>329</v>
      </c>
      <c r="AO7" s="116" cm="1">
        <f t="array" ref="AO7">_xll.EQNXTDZ($A$1,$B7,AO$1)</f>
        <v>330.4</v>
      </c>
      <c r="AP7" s="116" cm="1">
        <f t="array" ref="AP7">_xll.EQNXTDZ($A$1,$B7,AP$1)</f>
        <v>275</v>
      </c>
      <c r="AQ7" s="116" cm="1">
        <f t="array" ref="AQ7">_xll.EQNXTDZ($A$1,$B7,AQ$1)</f>
        <v>299</v>
      </c>
      <c r="AR7" s="116" cm="1">
        <f t="array" ref="AR7">_xll.EQNXTDZ($A$1,$B7,AR$1)</f>
        <v>290.75</v>
      </c>
      <c r="AS7" s="116" cm="1">
        <f t="array" ref="AS7">_xll.EQNXTDZ($A$1,$B7,AS$1)</f>
        <v>327</v>
      </c>
      <c r="AT7" s="116" cm="1">
        <f t="array" ref="AT7">_xll.EQNXTDZ($A$1,$B7,AT$1)</f>
        <v>324.5</v>
      </c>
      <c r="AU7" s="116" cm="1">
        <f t="array" ref="AU7">_xll.EQNXTDZ($A$1,$B7,AU$1)</f>
        <v>292.5</v>
      </c>
      <c r="AV7" s="116" cm="1">
        <f t="array" ref="AV7">_xll.EQNXTDZ($A$1,$B7,AV$1)</f>
        <v>279.89999999999998</v>
      </c>
      <c r="AW7" s="116" cm="1">
        <f t="array" ref="AW7">_xll.EQNXTDZ($A$1,$B7,AW$1)</f>
        <v>305.7</v>
      </c>
      <c r="AX7" s="116" cm="1">
        <f t="array" ref="AX7">_xll.EQNXTDZ($A$1,$B7,AX$1)</f>
        <v>349</v>
      </c>
      <c r="AY7" s="116" cm="1">
        <f t="array" ref="AY7">_xll.EQNXTDZ($A$1,$B7,AY$1)</f>
        <v>345.9</v>
      </c>
      <c r="AZ7" s="116" cm="1">
        <f t="array" ref="AZ7">_xll.EQNXTDZ($A$1,$B7,AZ$1)</f>
        <v>354.9</v>
      </c>
      <c r="BA7" s="116" cm="1">
        <f t="array" ref="BA7">_xll.EQNXTDZ($A$1,$B7,BA$1)</f>
        <v>401.8</v>
      </c>
      <c r="BB7" s="116" cm="1">
        <f t="array" ref="BB7">_xll.EQNXTDZ($A$1,$B7,BB$1)</f>
        <v>396</v>
      </c>
      <c r="BC7" s="116" cm="1">
        <f t="array" ref="BC7">_xll.EQNXTDZ($A$1,$B7,BC$1)</f>
        <v>406.4</v>
      </c>
      <c r="BD7" s="116" cm="1">
        <f t="array" ref="BD7">_xll.EQNXTDZ($A$1,$B7,BD$1)</f>
        <v>388</v>
      </c>
      <c r="BE7" s="116" cm="1">
        <f t="array" ref="BE7">_xll.EQNXTDZ($A$1,$B7,BE$1)</f>
        <v>336.4</v>
      </c>
      <c r="BF7" s="116" cm="1">
        <f t="array" ref="BF7">_xll.EQNXTDZ($A$1,$B7,BF$1)</f>
        <v>355.95</v>
      </c>
      <c r="BG7" s="116" cm="1">
        <f t="array" ref="BG7">_xll.EQNXTDZ($A$1,$B7,BG$1)</f>
        <v>374.9</v>
      </c>
      <c r="BH7" s="116" cm="1">
        <f t="array" ref="BH7">_xll.EQNXTDZ($A$1,$B7,BH$1)</f>
        <v>424.75</v>
      </c>
      <c r="BI7" s="116" cm="1">
        <f t="array" ref="BI7">_xll.EQNXTDZ($A$1,$B7,BI$1)</f>
        <v>423.45</v>
      </c>
      <c r="BJ7" s="116" cm="1">
        <f t="array" ref="BJ7">_xll.EQNXTDZ($A$1,$B7,BJ$1)</f>
        <v>501.75</v>
      </c>
      <c r="BK7" s="116" cm="1">
        <f t="array" ref="BK7">_xll.EQNXTDZ($A$1,$B7,BK$1)</f>
        <v>514</v>
      </c>
      <c r="BL7" s="116" cm="1">
        <f t="array" ref="BL7">_xll.EQNXTDZ($A$1,$B7,BL$1)</f>
        <v>520.75</v>
      </c>
      <c r="BM7" s="116" cm="1">
        <f t="array" ref="BM7">_xll.EQNXTDZ($A$1,$B7,BM$1)</f>
        <v>556.5</v>
      </c>
      <c r="BN7" s="116" cm="1">
        <f t="array" ref="BN7">_xll.EQNXTDZ($A$1,$B7,BN$1)</f>
        <v>565</v>
      </c>
      <c r="BO7" s="116" cm="1">
        <f t="array" ref="BO7">_xll.EQNXTDZ($A$1,$B7,BO$1)</f>
        <v>572.20000000000005</v>
      </c>
      <c r="BP7" s="116" cm="1">
        <f t="array" ref="BP7">_xll.EQNXTDZ($A$1,$B7,BP$1)</f>
        <v>653.79999999999995</v>
      </c>
      <c r="BQ7" s="116" cm="1">
        <f t="array" ref="BQ7">_xll.EQNXTDZ($A$1,$B7,BQ$1)</f>
        <v>675.3</v>
      </c>
      <c r="BR7" s="116" cm="1">
        <f t="array" ref="BR7">_xll.EQNXTDZ($A$1,$B7,BR$1)</f>
        <v>660.8</v>
      </c>
      <c r="BS7" s="116" cm="1">
        <f t="array" ref="BS7">_xll.EQNXTDZ($A$1,$B7,BS$1)</f>
        <v>622.75</v>
      </c>
      <c r="BT7" s="116" cm="1">
        <f t="array" ref="BT7">_xll.EQNXTDZ($A$1,$B7,BT$1)</f>
        <v>649.5</v>
      </c>
      <c r="BU7" s="116" cm="1">
        <f t="array" ref="BU7">_xll.EQNXTDZ($A$1,$B7,BU$1)</f>
        <v>664.7</v>
      </c>
      <c r="BV7" s="116" cm="1">
        <f t="array" ref="BV7">_xll.EQNXTDZ($A$1,$B7,BV$1)</f>
        <v>643.85</v>
      </c>
      <c r="BW7" s="116" cm="1">
        <f t="array" ref="BW7">_xll.EQNXTDZ($A$1,$B7,BW$1)</f>
        <v>546.65</v>
      </c>
      <c r="BX7" s="116" cm="1">
        <f t="array" ref="BX7">_xll.EQNXTDZ($A$1,$B7,BX$1)</f>
        <v>588.95000000000005</v>
      </c>
      <c r="BY7" s="116" cm="1">
        <f t="array" ref="BY7">_xll.EQNXTDZ($A$1,$B7,BY$1)</f>
        <v>636.9</v>
      </c>
      <c r="BZ7" s="116" cm="1">
        <f t="array" ref="BZ7">_xll.EQNXTDZ($A$1,$B7,BZ$1)</f>
        <v>622.20000000000005</v>
      </c>
      <c r="CA7" s="116" cm="1">
        <f t="array" ref="CA7">_xll.EQNXTDZ($A$1,$B7,CA$1)</f>
        <v>545.20000000000005</v>
      </c>
      <c r="CB7" s="116" cm="1">
        <f t="array" ref="CB7">_xll.EQNXTDZ($A$1,$B7,CB$1)</f>
        <v>569.95000000000005</v>
      </c>
      <c r="CC7" s="116" cm="1">
        <f t="array" ref="CC7">_xll.EQNXTDZ($A$1,$B7,CC$1)</f>
        <v>590.5</v>
      </c>
      <c r="CD7" s="116" cm="1">
        <f t="array" ref="CD7">_xll.EQNXTDZ($A$1,$B7,CD$1)</f>
        <v>558.15</v>
      </c>
      <c r="CE7" s="116" cm="1">
        <f t="array" ref="CE7">_xll.EQNXTDZ($A$1,$B7,CE$1)</f>
        <v>570.5</v>
      </c>
      <c r="CF7" s="116" cm="1">
        <f t="array" ref="CF7">_xll.EQNXTDZ($A$1,$B7,CF$1)</f>
        <v>633.70000000000005</v>
      </c>
      <c r="CG7" s="116" cm="1">
        <f t="array" ref="CG7">_xll.EQNXTDZ($A$1,$B7,CG$1)</f>
        <v>641.70000000000005</v>
      </c>
      <c r="CH7" s="116" cm="1">
        <f t="array" ref="CH7">_xll.EQNXTDZ($A$1,$B7,CH$1)</f>
        <v>621.4</v>
      </c>
      <c r="CI7" s="116" cm="1">
        <f t="array" ref="CI7">_xll.EQNXTDZ($A$1,$B7,CI$1)</f>
        <v>658.85</v>
      </c>
      <c r="CJ7" s="116" cm="1">
        <f t="array" ref="CJ7">_xll.EQNXTDZ($A$1,$B7,CJ$1)</f>
        <v>662.5</v>
      </c>
      <c r="CK7" s="116" cm="1">
        <f t="array" ref="CK7">_xll.EQNXTDZ($A$1,$B7,CK$1)</f>
        <v>643.95000000000005</v>
      </c>
      <c r="CL7" s="116" cm="1">
        <f t="array" ref="CL7">_xll.EQNXTDZ($A$1,$B7,CL$1)</f>
        <v>705</v>
      </c>
      <c r="CM7" s="116" cm="1">
        <f t="array" ref="CM7">_xll.EQNXTDZ($A$1,$B7,CM$1)</f>
        <v>725.4</v>
      </c>
      <c r="CN7" s="116" cm="1">
        <f t="array" ref="CN7">_xll.EQNXTDZ($A$1,$B7,CN$1)</f>
        <v>719.55</v>
      </c>
      <c r="CO7" s="116" cm="1">
        <f t="array" ref="CO7">_xll.EQNXTDZ($A$1,$B7,CO$1)</f>
        <v>707</v>
      </c>
      <c r="CP7" s="116" cm="1">
        <f t="array" ref="CP7">_xll.EQNXTDZ($A$1,$B7,CP$1)</f>
        <v>730.95</v>
      </c>
      <c r="CQ7" s="116" cm="1">
        <f t="array" ref="CQ7">_xll.EQNXTDZ($A$1,$B7,CQ$1)</f>
        <v>741</v>
      </c>
      <c r="CR7" s="116" cm="1">
        <f t="array" ref="CR7">_xll.EQNXTDZ($A$1,$B7,CR$1)</f>
        <v>697</v>
      </c>
      <c r="CS7" s="116" cm="1">
        <f t="array" ref="CS7">_xll.EQNXTDZ($A$1,$B7,CS$1)</f>
        <v>545.6</v>
      </c>
      <c r="CT7" s="116" cm="1">
        <f t="array" ref="CT7">_xll.EQNXTDZ($A$1,$B7,CT$1)</f>
        <v>496.5</v>
      </c>
      <c r="CU7" s="116" cm="1">
        <f t="array" ref="CU7">_xll.EQNXTDZ($A$1,$B7,CU$1)</f>
        <v>587.5</v>
      </c>
      <c r="CV7" s="116" cm="1">
        <f t="array" ref="CV7">_xll.EQNXTDZ($A$1,$B7,CV$1)</f>
        <v>611.45000000000005</v>
      </c>
      <c r="CW7" s="116" cm="1">
        <f t="array" ref="CW7">_xll.EQNXTDZ($A$1,$B7,CW$1)</f>
        <v>682</v>
      </c>
      <c r="CX7" s="116" cm="1">
        <f t="array" ref="CX7">_xll.EQNXTDZ($A$1,$B7,CX$1)</f>
        <v>713.5</v>
      </c>
      <c r="CY7" s="116" cm="1">
        <f t="array" ref="CY7">_xll.EQNXTDZ($A$1,$B7,CY$1)</f>
        <v>721.5</v>
      </c>
      <c r="CZ7" s="116" cm="1">
        <f t="array" ref="CZ7">_xll.EQNXTDZ($A$1,$B7,CZ$1)</f>
        <v>820.8</v>
      </c>
      <c r="DA7" s="116" cm="1">
        <f t="array" ref="DA7">_xll.EQNXTDZ($A$1,$B7,DA$1)</f>
        <v>844.95</v>
      </c>
      <c r="DB7" s="116" cm="1">
        <f t="array" ref="DB7">_xll.EQNXTDZ($A$1,$B7,DB$1)</f>
        <v>995.6</v>
      </c>
      <c r="DC7" s="116" cm="1">
        <f t="array" ref="DC7">_xll.EQNXTDZ($A$1,$B7,DC$1)</f>
        <v>1132</v>
      </c>
      <c r="DD7" s="116" cm="1">
        <f t="array" ref="DD7">_xll.EQNXTDZ($A$1,$B7,DD$1)</f>
        <v>1091.9000000000001</v>
      </c>
      <c r="DE7" s="116" cm="1">
        <f t="array" ref="DE7">_xll.EQNXTDZ($A$1,$B7,DE$1)</f>
        <v>1026.8</v>
      </c>
      <c r="DF7" s="116" cm="1">
        <f t="array" ref="DF7">_xll.EQNXTDZ($A$1,$B7,DF$1)</f>
        <v>1033.9000000000001</v>
      </c>
      <c r="DG7" s="116" cm="1">
        <f t="array" ref="DG7">_xll.EQNXTDZ($A$1,$B7,DG$1)</f>
        <v>1125</v>
      </c>
      <c r="DH7" s="116" cm="1">
        <f t="array" ref="DH7">_xll.EQNXTDZ($A$1,$B7,DH$1)</f>
        <v>1065</v>
      </c>
      <c r="DI7" s="116" cm="1">
        <f t="array" ref="DI7">_xll.EQNXTDZ($A$1,$B7,DI$1)</f>
        <v>1079.8499999999999</v>
      </c>
      <c r="DJ7" s="116" cm="1">
        <f t="array" ref="DJ7">_xll.EQNXTDZ($A$1,$B7,DJ$1)</f>
        <v>1265</v>
      </c>
      <c r="DK7" s="116" cm="1">
        <f t="array" ref="DK7">_xll.EQNXTDZ($A$1,$B7,DK$1)</f>
        <v>1356.9</v>
      </c>
      <c r="DL7" s="116" cm="1">
        <f t="array" ref="DL7">_xll.EQNXTDZ($A$1,$B7,DL$1)</f>
        <v>1282</v>
      </c>
      <c r="DM7" s="116" cm="1">
        <f t="array" ref="DM7">_xll.EQNXTDZ($A$1,$B7,DM$1)</f>
        <v>1272</v>
      </c>
      <c r="DN7" s="116" cm="1">
        <f t="array" ref="DN7">_xll.EQNXTDZ($A$1,$B7,DN$1)</f>
        <v>1317.3</v>
      </c>
      <c r="DO7" s="116" cm="1">
        <f t="array" ref="DO7">_xll.EQNXTDZ($A$1,$B7,DO$1)</f>
        <v>1269</v>
      </c>
      <c r="DP7" s="116" cm="1">
        <f t="array" ref="DP7">_xll.EQNXTDZ($A$1,$B7,DP$1)</f>
        <v>1340</v>
      </c>
      <c r="DQ7" s="116" cm="1">
        <f t="array" ref="DQ7">_xll.EQNXTDZ($A$1,$B7,DQ$1)</f>
        <v>1347.65</v>
      </c>
      <c r="DR7" s="116" cm="1">
        <f t="array" ref="DR7">_xll.EQNXTDZ($A$1,$B7,DR$1)</f>
        <v>1266.5999999999999</v>
      </c>
      <c r="DS7" s="116" cm="1">
        <f t="array" ref="DS7">_xll.EQNXTDZ($A$1,$B7,DS$1)</f>
        <v>1058.95</v>
      </c>
      <c r="DT7" s="116" cm="1">
        <f t="array" ref="DT7">_xll.EQNXTDZ($A$1,$B7,DT$1)</f>
        <v>1064.95</v>
      </c>
      <c r="DU7" s="116" cm="1">
        <f t="array" ref="DU7">_xll.EQNXTDZ($A$1,$B7,DU$1)</f>
        <v>1051.3</v>
      </c>
      <c r="DV7" s="116" cm="1">
        <f t="array" ref="DV7">_xll.EQNXTDZ($A$1,$B7,DV$1)</f>
        <v>999.9</v>
      </c>
      <c r="DW7" s="116" cm="1">
        <f t="array" ref="DW7">_xll.EQNXTDZ($A$1,$B7,DW$1)</f>
        <v>936</v>
      </c>
      <c r="DX7" s="116" cm="1">
        <f t="array" ref="DX7">_xll.EQNXTDZ($A$1,$B7,DX$1)</f>
        <v>928</v>
      </c>
      <c r="DY7" s="116" cm="1">
        <f t="array" ref="DY7">_xll.EQNXTDZ($A$1,$B7,DY$1)</f>
        <v>862.4</v>
      </c>
      <c r="DZ7" s="116" cm="1">
        <f t="array" ref="DZ7">_xll.EQNXTDZ($A$1,$B7,DZ$1)</f>
        <v>834</v>
      </c>
      <c r="EA7" s="116" cm="1">
        <f t="array" ref="EA7">_xll.EQNXTDZ($A$1,$B7,EA$1)</f>
        <v>927.4</v>
      </c>
      <c r="EB7" s="116" cm="1">
        <f t="array" ref="EB7">_xll.EQNXTDZ($A$1,$B7,EB$1)</f>
        <v>934</v>
      </c>
      <c r="EC7" s="116" cm="1">
        <f t="array" ref="EC7">_xll.EQNXTDZ($A$1,$B7,EC$1)</f>
        <v>869.9</v>
      </c>
      <c r="ED7" s="116" cm="1">
        <f t="array" ref="ED7">_xll.EQNXTDZ($A$1,$B7,ED$1)</f>
        <v>831</v>
      </c>
      <c r="EE7" s="116" cm="1">
        <f t="array" ref="EE7">_xll.EQNXTDZ($A$1,$B7,EE$1)</f>
        <v>831.95</v>
      </c>
      <c r="EF7" s="116" cm="1">
        <f t="array" ref="EF7">_xll.EQNXTDZ($A$1,$B7,EF$1)</f>
        <v>792.85</v>
      </c>
      <c r="EG7" s="116" cm="1">
        <f t="array" ref="EG7">_xll.EQNXTDZ($A$1,$B7,EG$1)</f>
        <v>872</v>
      </c>
      <c r="EH7" s="116" cm="1">
        <f t="array" ref="EH7">_xll.EQNXTDZ($A$1,$B7,EH$1)</f>
        <v>914.5</v>
      </c>
      <c r="EI7" s="116" cm="1">
        <f t="array" ref="EI7">_xll.EQNXTDZ($A$1,$B7,EI$1)</f>
        <v>888</v>
      </c>
      <c r="EJ7" s="116" cm="1">
        <f t="array" ref="EJ7">_xll.EQNXTDZ($A$1,$B7,EJ$1)</f>
        <v>852.6</v>
      </c>
      <c r="EK7" s="116" cm="1">
        <f t="array" ref="EK7">_xll.EQNXTDZ($A$1,$B7,EK$1)</f>
        <v>992.8</v>
      </c>
      <c r="EL7" s="116" cm="1">
        <f t="array" ref="EL7">_xll.EQNXTDZ($A$1,$B7,EL$1)</f>
        <v>1101</v>
      </c>
      <c r="EM7" s="116" cm="1">
        <f t="array" ref="EM7">_xll.EQNXTDZ($A$1,$B7,EM$1)</f>
        <v>1133.5</v>
      </c>
      <c r="EN7" s="116" cm="1">
        <f t="array" ref="EN7">_xll.EQNXTDZ($A$1,$B7,EN$1)</f>
        <v>1139.5999999999999</v>
      </c>
      <c r="EO7" s="116" cm="1">
        <f t="array" ref="EO7">_xll.EQNXTDZ($A$1,$B7,EO$1)</f>
        <v>1481.7</v>
      </c>
      <c r="EP7" s="116" cm="1">
        <f t="array" ref="EP7">_xll.EQNXTDZ($A$1,$B7,EP$1)</f>
        <v>1502.3</v>
      </c>
      <c r="EQ7" s="116" cm="1">
        <f t="array" ref="EQ7">_xll.EQNXTDZ($A$1,$B7,EQ$1)</f>
        <v>1560</v>
      </c>
      <c r="ER7" s="116" cm="1">
        <f t="array" ref="ER7">_xll.EQNXTDZ($A$1,$B7,ER$1)</f>
        <v>1559.85</v>
      </c>
      <c r="ES7" s="116" cm="1">
        <f t="array" ref="ES7">_xll.EQNXTDZ($A$1,$B7,ES$1)</f>
        <v>1818.15</v>
      </c>
      <c r="ET7" s="116" cm="1">
        <f t="array" ref="ET7">_xll.EQNXTDZ($A$1,$B7,ET$1)</f>
        <v>1944.9</v>
      </c>
      <c r="EU7" s="116" cm="1">
        <f t="array" ref="EU7">_xll.EQNXTDZ($A$1,$B7,EU$1)</f>
        <v>1902</v>
      </c>
      <c r="EV7" s="116" cm="1">
        <f t="array" ref="EV7">_xll.EQNXTDZ($A$1,$B7,EV$1)</f>
        <v>1792.95</v>
      </c>
      <c r="EW7" s="116" cm="1">
        <f t="array" ref="EW7">_xll.EQNXTDZ($A$1,$B7,EW$1)</f>
        <v>1832.95</v>
      </c>
      <c r="EX7" s="116" cm="1">
        <f t="array" ref="EX7">_xll.EQNXTDZ($A$1,$B7,EX$1)</f>
        <v>1859.4</v>
      </c>
      <c r="EY7" s="116" cm="1">
        <f t="array" ref="EY7">_xll.EQNXTDZ($A$1,$B7,EY$1)</f>
        <v>1445</v>
      </c>
      <c r="EZ7" s="116" cm="1">
        <f t="array" ref="EZ7">_xll.EQNXTDZ($A$1,$B7,EZ$1)</f>
        <v>1531</v>
      </c>
      <c r="FA7" s="116" cm="1">
        <f t="array" ref="FA7">_xll.EQNXTDZ($A$1,$B7,FA$1)</f>
        <v>1430</v>
      </c>
      <c r="FB7" s="116" cm="1">
        <f t="array" ref="FB7">_xll.EQNXTDZ($A$1,$B7,FB$1)</f>
        <v>1288</v>
      </c>
      <c r="FC7" s="116" cm="1">
        <f t="array" ref="FC7">_xll.EQNXTDZ($A$1,$B7,FC$1)</f>
        <v>1340.9</v>
      </c>
      <c r="FD7" s="116" cm="1">
        <f t="array" ref="FD7">_xll.EQNXTDZ($A$1,$B7,FD$1)</f>
        <v>1400</v>
      </c>
      <c r="FE7" s="116" cm="1">
        <f t="array" ref="FE7">_xll.EQNXTDZ($A$1,$B7,FE$1)</f>
        <v>1402.2</v>
      </c>
      <c r="FF7" s="116" cm="1">
        <f t="array" ref="FF7">_xll.EQNXTDZ($A$1,$B7,FF$1)</f>
        <v>1470</v>
      </c>
      <c r="FG7" s="116" cm="1">
        <f t="array" ref="FG7">_xll.EQNXTDZ($A$1,$B7,FG$1)</f>
        <v>1463.8</v>
      </c>
      <c r="FH7" s="116" cm="1">
        <f t="array" ref="FH7">_xll.EQNXTDZ($A$1,$B7,FH$1)</f>
        <v>1418</v>
      </c>
      <c r="FI7" s="116" cm="1">
        <f t="array" ref="FI7">_xll.EQNXTDZ($A$1,$B7,FI$1)</f>
        <v>1425.9</v>
      </c>
      <c r="FJ7" s="116" cm="1">
        <f t="array" ref="FJ7">_xll.EQNXTDZ($A$1,$B7,FJ$1)</f>
        <v>1517.9</v>
      </c>
      <c r="FK7" s="116" cm="1">
        <f t="array" ref="FK7">_xll.EQNXTDZ($A$1,$B7,FK$1)</f>
        <v>1582.5</v>
      </c>
      <c r="FL7" s="116" cm="1">
        <f t="array" ref="FL7">_xll.EQNXTDZ($A$1,$B7,FL$1)</f>
        <v>1539</v>
      </c>
      <c r="FM7" s="116" cm="1">
        <f t="array" ref="FM7">_xll.EQNXTDZ($A$1,$B7,FM$1)</f>
        <v>1537.9</v>
      </c>
      <c r="FN7" s="116" cm="1">
        <f t="array" ref="FN7">_xll.EQNXTDZ($A$1,$B7,FN$1)</f>
        <v>1463.7</v>
      </c>
      <c r="FO7" s="116" cm="1">
        <f t="array" ref="FO7">_xll.EQNXTDZ($A$1,$B7,FO$1)</f>
        <v>1345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136.30000000000001</v>
      </c>
      <c r="HQ7" s="116">
        <f>+MAX(G7:I7)</f>
        <v>127.3</v>
      </c>
      <c r="HR7" s="116">
        <f>+MAX(J7:L7)</f>
        <v>110.55</v>
      </c>
      <c r="HS7" s="116">
        <f>+MAX(M7:O7)</f>
        <v>96.7</v>
      </c>
      <c r="HT7" s="116">
        <f>+MAX(P7:R7)</f>
        <v>86.9</v>
      </c>
      <c r="HU7" s="116">
        <f>+MAX(S7:U7)</f>
        <v>124.7</v>
      </c>
      <c r="HV7" s="116">
        <f>+MAX(V7:X7)</f>
        <v>164.2</v>
      </c>
      <c r="HW7" s="116">
        <f>+MAX(Y7:AA7)</f>
        <v>233.45</v>
      </c>
      <c r="HX7" s="116">
        <f>+MAX(AB7:AD7)</f>
        <v>271.2</v>
      </c>
      <c r="HY7" s="116">
        <f>+MAX(AE7:AG7)</f>
        <v>286.45</v>
      </c>
      <c r="HZ7" s="116">
        <f>+MAX(AH7:AJ7)</f>
        <v>301.39999999999998</v>
      </c>
      <c r="IA7" s="116">
        <f>+MAX(AK7:AM7)</f>
        <v>359.9</v>
      </c>
      <c r="IB7" s="116">
        <f>+MAX(AN7:AP7)</f>
        <v>330.4</v>
      </c>
      <c r="IC7" s="116">
        <f>+MAX(AQ7:AS7)</f>
        <v>327</v>
      </c>
      <c r="ID7" s="116">
        <f>+MAX(AT7:AV7)</f>
        <v>324.5</v>
      </c>
      <c r="IE7" s="116">
        <f>+MAX(AW7:AY7)</f>
        <v>349</v>
      </c>
      <c r="IF7" s="116">
        <f>+MAX(AZ7:BB7)</f>
        <v>401.8</v>
      </c>
      <c r="IG7" s="116">
        <f>+MAX(BC7:BE7)</f>
        <v>406.4</v>
      </c>
      <c r="IH7" s="116">
        <f>+MAX(BF7:BH7)</f>
        <v>424.75</v>
      </c>
      <c r="II7" s="116">
        <f>+MAX(BI7:BK7)</f>
        <v>514</v>
      </c>
      <c r="IJ7" s="116">
        <f>+MAX(BL7:BN7)</f>
        <v>565</v>
      </c>
      <c r="IK7" s="116">
        <f>+MAX(BO7:BQ7)</f>
        <v>675.3</v>
      </c>
      <c r="IL7" s="116">
        <f>+MAX(BR7:BT7)</f>
        <v>660.8</v>
      </c>
      <c r="IM7" s="116">
        <f>+MAX(BU7:BW7)</f>
        <v>664.7</v>
      </c>
      <c r="IN7" s="116">
        <f>+MAX(BX7:BZ7)</f>
        <v>636.9</v>
      </c>
      <c r="IO7" s="116">
        <f>+MAX(CA7:CC7)</f>
        <v>590.5</v>
      </c>
      <c r="IP7" s="116">
        <f>+MAX(CD7:CF7)</f>
        <v>633.70000000000005</v>
      </c>
      <c r="IQ7" s="116">
        <f>+MAX(CG7:CI7)</f>
        <v>658.85</v>
      </c>
      <c r="IR7" s="116">
        <f>+MAX(CJ7:CL7)</f>
        <v>705</v>
      </c>
      <c r="IS7" s="116">
        <f>+MAX(CM7:CO7)</f>
        <v>725.4</v>
      </c>
      <c r="IT7" s="116">
        <f>+MAX(CP7:CR7)</f>
        <v>741</v>
      </c>
      <c r="IU7" s="116">
        <f>+MAX(CS7:CU7)</f>
        <v>587.5</v>
      </c>
      <c r="IV7" s="116">
        <f>+MAX(CV7:CX7)</f>
        <v>713.5</v>
      </c>
      <c r="IW7" s="116">
        <f>+MAX(CY7:DA7)</f>
        <v>844.95</v>
      </c>
      <c r="IX7" s="116">
        <f>+MAX(DB7:DD7)</f>
        <v>1132</v>
      </c>
      <c r="IY7" s="116">
        <f>+MAX(DE7:DG7)</f>
        <v>1125</v>
      </c>
      <c r="IZ7" s="116">
        <f>+MAX(DH7:DJ7)</f>
        <v>1265</v>
      </c>
      <c r="JA7" s="116">
        <f>+MAX(DK7:DM7)</f>
        <v>1356.9</v>
      </c>
      <c r="JB7" s="116">
        <f>+MAX(DN7:DP7)</f>
        <v>1340</v>
      </c>
      <c r="JC7" s="116">
        <f>+MAX(DQ7:DS7)</f>
        <v>1347.65</v>
      </c>
      <c r="JD7" s="116">
        <f>+MAX(DT7:DV7)</f>
        <v>1064.95</v>
      </c>
      <c r="JE7" s="116">
        <f>+MAX(DW7:DY7)</f>
        <v>936</v>
      </c>
      <c r="JF7" s="116">
        <f>+MAX(DZ7:EB7)</f>
        <v>934</v>
      </c>
      <c r="JG7" s="116">
        <f>+MAX(EC7:EE7)</f>
        <v>869.9</v>
      </c>
      <c r="JH7" s="116">
        <f>+MAX(EF7:EH7)</f>
        <v>914.5</v>
      </c>
      <c r="JI7" s="116">
        <f>+MAX(EI7:EK7)</f>
        <v>992.8</v>
      </c>
      <c r="JJ7" s="116">
        <f>+MAX(EL7:EN7)</f>
        <v>1139.5999999999999</v>
      </c>
      <c r="JK7" s="116">
        <f>MAX(EO7:EQ7)</f>
        <v>1560</v>
      </c>
      <c r="JL7" s="116">
        <f>MAX(ER7:ET7)</f>
        <v>1944.9</v>
      </c>
      <c r="JM7" s="116">
        <f>MAX(EU7:EW7)</f>
        <v>1902</v>
      </c>
      <c r="JN7" s="116">
        <f>MAX(EX7:EZ7)</f>
        <v>1859.4</v>
      </c>
      <c r="JO7" s="116">
        <f>MAX(FA7:FC7)</f>
        <v>1430</v>
      </c>
      <c r="JP7" s="116">
        <f>MAX(FD7:FF7)</f>
        <v>1470</v>
      </c>
      <c r="JQ7" s="116">
        <f>MAX(FG7:FI7)</f>
        <v>1463.8</v>
      </c>
      <c r="JR7" s="116">
        <f>MAX(FJ7:FL7)</f>
        <v>1582.5</v>
      </c>
      <c r="JS7" s="116">
        <f>MAX(FM7:FO7)</f>
        <v>1537.9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90.95</v>
      </c>
      <c r="D8" s="116" cm="1">
        <f t="array" ref="D8">_xll.EQNXTDZ($A$1,$B8,D$1)</f>
        <v>98.5</v>
      </c>
      <c r="E8" s="116" cm="1">
        <f t="array" ref="E8">_xll.EQNXTDZ($A$1,$B8,E$1)</f>
        <v>101</v>
      </c>
      <c r="F8" s="116" cm="1">
        <f t="array" ref="F8">_xll.EQNXTDZ($A$1,$B8,F$1)</f>
        <v>105.05</v>
      </c>
      <c r="G8" s="116" cm="1">
        <f t="array" ref="G8">_xll.EQNXTDZ($A$1,$B8,G$1)</f>
        <v>107.1</v>
      </c>
      <c r="H8" s="116" cm="1">
        <f t="array" ref="H8">_xll.EQNXTDZ($A$1,$B8,H$1)</f>
        <v>100.85</v>
      </c>
      <c r="I8" s="116" cm="1">
        <f t="array" ref="I8">_xll.EQNXTDZ($A$1,$B8,I$1)</f>
        <v>102.45</v>
      </c>
      <c r="J8" s="116" cm="1">
        <f t="array" ref="J8">_xll.EQNXTDZ($A$1,$B8,J$1)</f>
        <v>94.5</v>
      </c>
      <c r="K8" s="116" cm="1">
        <f t="array" ref="K8">_xll.EQNXTDZ($A$1,$B8,K$1)</f>
        <v>77.2</v>
      </c>
      <c r="L8" s="116" cm="1">
        <f t="array" ref="L8">_xll.EQNXTDZ($A$1,$B8,L$1)</f>
        <v>73.150000000000006</v>
      </c>
      <c r="M8" s="116" cm="1">
        <f t="array" ref="M8">_xll.EQNXTDZ($A$1,$B8,M$1)</f>
        <v>75</v>
      </c>
      <c r="N8" s="116" cm="1">
        <f t="array" ref="N8">_xll.EQNXTDZ($A$1,$B8,N$1)</f>
        <v>80.95</v>
      </c>
      <c r="O8" s="116" cm="1">
        <f t="array" ref="O8">_xll.EQNXTDZ($A$1,$B8,O$1)</f>
        <v>77.3</v>
      </c>
      <c r="P8" s="116" cm="1">
        <f t="array" ref="P8">_xll.EQNXTDZ($A$1,$B8,P$1)</f>
        <v>74.55</v>
      </c>
      <c r="Q8" s="116" cm="1">
        <f t="array" ref="Q8">_xll.EQNXTDZ($A$1,$B8,Q$1)</f>
        <v>64.75</v>
      </c>
      <c r="R8" s="116" cm="1">
        <f t="array" ref="R8">_xll.EQNXTDZ($A$1,$B8,R$1)</f>
        <v>62.5</v>
      </c>
      <c r="S8" s="116" cm="1">
        <f t="array" ref="S8">_xll.EQNXTDZ($A$1,$B8,S$1)</f>
        <v>74</v>
      </c>
      <c r="T8" s="116" cm="1">
        <f t="array" ref="T8">_xll.EQNXTDZ($A$1,$B8,T$1)</f>
        <v>83.8</v>
      </c>
      <c r="U8" s="116" cm="1">
        <f t="array" ref="U8">_xll.EQNXTDZ($A$1,$B8,U$1)</f>
        <v>110.05</v>
      </c>
      <c r="V8" s="116" cm="1">
        <f t="array" ref="V8">_xll.EQNXTDZ($A$1,$B8,V$1)</f>
        <v>96.85</v>
      </c>
      <c r="W8" s="116" cm="1">
        <f t="array" ref="W8">_xll.EQNXTDZ($A$1,$B8,W$1)</f>
        <v>104.05</v>
      </c>
      <c r="X8" s="116" cm="1">
        <f t="array" ref="X8">_xll.EQNXTDZ($A$1,$B8,X$1)</f>
        <v>132.85</v>
      </c>
      <c r="Y8" s="116" cm="1">
        <f t="array" ref="Y8">_xll.EQNXTDZ($A$1,$B8,Y$1)</f>
        <v>148.30000000000001</v>
      </c>
      <c r="Z8" s="116" cm="1">
        <f t="array" ref="Z8">_xll.EQNXTDZ($A$1,$B8,Z$1)</f>
        <v>151.55000000000001</v>
      </c>
      <c r="AA8" s="116" cm="1">
        <f t="array" ref="AA8">_xll.EQNXTDZ($A$1,$B8,AA$1)</f>
        <v>184.9</v>
      </c>
      <c r="AB8" s="116" cm="1">
        <f t="array" ref="AB8">_xll.EQNXTDZ($A$1,$B8,AB$1)</f>
        <v>180</v>
      </c>
      <c r="AC8" s="116" cm="1">
        <f t="array" ref="AC8">_xll.EQNXTDZ($A$1,$B8,AC$1)</f>
        <v>187.95</v>
      </c>
      <c r="AD8" s="116" cm="1">
        <f t="array" ref="AD8">_xll.EQNXTDZ($A$1,$B8,AD$1)</f>
        <v>218</v>
      </c>
      <c r="AE8" s="116" cm="1">
        <f t="array" ref="AE8">_xll.EQNXTDZ($A$1,$B8,AE$1)</f>
        <v>218.85</v>
      </c>
      <c r="AF8" s="116" cm="1">
        <f t="array" ref="AF8">_xll.EQNXTDZ($A$1,$B8,AF$1)</f>
        <v>244.15</v>
      </c>
      <c r="AG8" s="116" cm="1">
        <f t="array" ref="AG8">_xll.EQNXTDZ($A$1,$B8,AG$1)</f>
        <v>231.55</v>
      </c>
      <c r="AH8" s="116" cm="1">
        <f t="array" ref="AH8">_xll.EQNXTDZ($A$1,$B8,AH$1)</f>
        <v>227</v>
      </c>
      <c r="AI8" s="116" cm="1">
        <f t="array" ref="AI8">_xll.EQNXTDZ($A$1,$B8,AI$1)</f>
        <v>245.1</v>
      </c>
      <c r="AJ8" s="116" cm="1">
        <f t="array" ref="AJ8">_xll.EQNXTDZ($A$1,$B8,AJ$1)</f>
        <v>253.35</v>
      </c>
      <c r="AK8" s="116" cm="1">
        <f t="array" ref="AK8">_xll.EQNXTDZ($A$1,$B8,AK$1)</f>
        <v>258.25</v>
      </c>
      <c r="AL8" s="116" cm="1">
        <f t="array" ref="AL8">_xll.EQNXTDZ($A$1,$B8,AL$1)</f>
        <v>261.3</v>
      </c>
      <c r="AM8" s="116" cm="1">
        <f t="array" ref="AM8">_xll.EQNXTDZ($A$1,$B8,AM$1)</f>
        <v>313.5</v>
      </c>
      <c r="AN8" s="116" cm="1">
        <f t="array" ref="AN8">_xll.EQNXTDZ($A$1,$B8,AN$1)</f>
        <v>301</v>
      </c>
      <c r="AO8" s="116" cm="1">
        <f t="array" ref="AO8">_xll.EQNXTDZ($A$1,$B8,AO$1)</f>
        <v>245.7</v>
      </c>
      <c r="AP8" s="116" cm="1">
        <f t="array" ref="AP8">_xll.EQNXTDZ($A$1,$B8,AP$1)</f>
        <v>243</v>
      </c>
      <c r="AQ8" s="116" cm="1">
        <f t="array" ref="AQ8">_xll.EQNXTDZ($A$1,$B8,AQ$1)</f>
        <v>266.5</v>
      </c>
      <c r="AR8" s="116" cm="1">
        <f t="array" ref="AR8">_xll.EQNXTDZ($A$1,$B8,AR$1)</f>
        <v>252</v>
      </c>
      <c r="AS8" s="116" cm="1">
        <f t="array" ref="AS8">_xll.EQNXTDZ($A$1,$B8,AS$1)</f>
        <v>277.5</v>
      </c>
      <c r="AT8" s="116" cm="1">
        <f t="array" ref="AT8">_xll.EQNXTDZ($A$1,$B8,AT$1)</f>
        <v>258.39999999999998</v>
      </c>
      <c r="AU8" s="116" cm="1">
        <f t="array" ref="AU8">_xll.EQNXTDZ($A$1,$B8,AU$1)</f>
        <v>211</v>
      </c>
      <c r="AV8" s="116" cm="1">
        <f t="array" ref="AV8">_xll.EQNXTDZ($A$1,$B8,AV$1)</f>
        <v>223.5</v>
      </c>
      <c r="AW8" s="116" cm="1">
        <f t="array" ref="AW8">_xll.EQNXTDZ($A$1,$B8,AW$1)</f>
        <v>266.7</v>
      </c>
      <c r="AX8" s="116" cm="1">
        <f t="array" ref="AX8">_xll.EQNXTDZ($A$1,$B8,AX$1)</f>
        <v>287.5</v>
      </c>
      <c r="AY8" s="116" cm="1">
        <f t="array" ref="AY8">_xll.EQNXTDZ($A$1,$B8,AY$1)</f>
        <v>297.5</v>
      </c>
      <c r="AZ8" s="116" cm="1">
        <f t="array" ref="AZ8">_xll.EQNXTDZ($A$1,$B8,AZ$1)</f>
        <v>311.7</v>
      </c>
      <c r="BA8" s="116" cm="1">
        <f t="array" ref="BA8">_xll.EQNXTDZ($A$1,$B8,BA$1)</f>
        <v>341.8</v>
      </c>
      <c r="BB8" s="116" cm="1">
        <f t="array" ref="BB8">_xll.EQNXTDZ($A$1,$B8,BB$1)</f>
        <v>358.25</v>
      </c>
      <c r="BC8" s="116" cm="1">
        <f t="array" ref="BC8">_xll.EQNXTDZ($A$1,$B8,BC$1)</f>
        <v>376.25</v>
      </c>
      <c r="BD8" s="116" cm="1">
        <f t="array" ref="BD8">_xll.EQNXTDZ($A$1,$B8,BD$1)</f>
        <v>287.14999999999998</v>
      </c>
      <c r="BE8" s="116" cm="1">
        <f t="array" ref="BE8">_xll.EQNXTDZ($A$1,$B8,BE$1)</f>
        <v>300.45</v>
      </c>
      <c r="BF8" s="116" cm="1">
        <f t="array" ref="BF8">_xll.EQNXTDZ($A$1,$B8,BF$1)</f>
        <v>321.10000000000002</v>
      </c>
      <c r="BG8" s="116" cm="1">
        <f t="array" ref="BG8">_xll.EQNXTDZ($A$1,$B8,BG$1)</f>
        <v>320.39999999999998</v>
      </c>
      <c r="BH8" s="116" cm="1">
        <f t="array" ref="BH8">_xll.EQNXTDZ($A$1,$B8,BH$1)</f>
        <v>366.25</v>
      </c>
      <c r="BI8" s="116" cm="1">
        <f t="array" ref="BI8">_xll.EQNXTDZ($A$1,$B8,BI$1)</f>
        <v>401.3</v>
      </c>
      <c r="BJ8" s="116" cm="1">
        <f t="array" ref="BJ8">_xll.EQNXTDZ($A$1,$B8,BJ$1)</f>
        <v>403.4</v>
      </c>
      <c r="BK8" s="116" cm="1">
        <f t="array" ref="BK8">_xll.EQNXTDZ($A$1,$B8,BK$1)</f>
        <v>440.4</v>
      </c>
      <c r="BL8" s="116" cm="1">
        <f t="array" ref="BL8">_xll.EQNXTDZ($A$1,$B8,BL$1)</f>
        <v>453.75</v>
      </c>
      <c r="BM8" s="116" cm="1">
        <f t="array" ref="BM8">_xll.EQNXTDZ($A$1,$B8,BM$1)</f>
        <v>505</v>
      </c>
      <c r="BN8" s="116" cm="1">
        <f t="array" ref="BN8">_xll.EQNXTDZ($A$1,$B8,BN$1)</f>
        <v>494.55</v>
      </c>
      <c r="BO8" s="116" cm="1">
        <f t="array" ref="BO8">_xll.EQNXTDZ($A$1,$B8,BO$1)</f>
        <v>506.65</v>
      </c>
      <c r="BP8" s="116" cm="1">
        <f t="array" ref="BP8">_xll.EQNXTDZ($A$1,$B8,BP$1)</f>
        <v>541.54999999999995</v>
      </c>
      <c r="BQ8" s="116" cm="1">
        <f t="array" ref="BQ8">_xll.EQNXTDZ($A$1,$B8,BQ$1)</f>
        <v>586.54999999999995</v>
      </c>
      <c r="BR8" s="116" cm="1">
        <f t="array" ref="BR8">_xll.EQNXTDZ($A$1,$B8,BR$1)</f>
        <v>595.15</v>
      </c>
      <c r="BS8" s="116" cm="1">
        <f t="array" ref="BS8">_xll.EQNXTDZ($A$1,$B8,BS$1)</f>
        <v>552</v>
      </c>
      <c r="BT8" s="116" cm="1">
        <f t="array" ref="BT8">_xll.EQNXTDZ($A$1,$B8,BT$1)</f>
        <v>591.04999999999995</v>
      </c>
      <c r="BU8" s="116" cm="1">
        <f t="array" ref="BU8">_xll.EQNXTDZ($A$1,$B8,BU$1)</f>
        <v>613.25</v>
      </c>
      <c r="BV8" s="116" cm="1">
        <f t="array" ref="BV8">_xll.EQNXTDZ($A$1,$B8,BV$1)</f>
        <v>524.4</v>
      </c>
      <c r="BW8" s="116" cm="1">
        <f t="array" ref="BW8">_xll.EQNXTDZ($A$1,$B8,BW$1)</f>
        <v>493.05</v>
      </c>
      <c r="BX8" s="116" cm="1">
        <f t="array" ref="BX8">_xll.EQNXTDZ($A$1,$B8,BX$1)</f>
        <v>511</v>
      </c>
      <c r="BY8" s="116" cm="1">
        <f t="array" ref="BY8">_xll.EQNXTDZ($A$1,$B8,BY$1)</f>
        <v>561.04999999999995</v>
      </c>
      <c r="BZ8" s="116" cm="1">
        <f t="array" ref="BZ8">_xll.EQNXTDZ($A$1,$B8,BZ$1)</f>
        <v>525.15</v>
      </c>
      <c r="CA8" s="116" cm="1">
        <f t="array" ref="CA8">_xll.EQNXTDZ($A$1,$B8,CA$1)</f>
        <v>472.25</v>
      </c>
      <c r="CB8" s="116" cm="1">
        <f t="array" ref="CB8">_xll.EQNXTDZ($A$1,$B8,CB$1)</f>
        <v>505.75</v>
      </c>
      <c r="CC8" s="116" cm="1">
        <f t="array" ref="CC8">_xll.EQNXTDZ($A$1,$B8,CC$1)</f>
        <v>525.9</v>
      </c>
      <c r="CD8" s="116" cm="1">
        <f t="array" ref="CD8">_xll.EQNXTDZ($A$1,$B8,CD$1)</f>
        <v>525.65</v>
      </c>
      <c r="CE8" s="116" cm="1">
        <f t="array" ref="CE8">_xll.EQNXTDZ($A$1,$B8,CE$1)</f>
        <v>501.05</v>
      </c>
      <c r="CF8" s="116" cm="1">
        <f t="array" ref="CF8">_xll.EQNXTDZ($A$1,$B8,CF$1)</f>
        <v>563.29999999999995</v>
      </c>
      <c r="CG8" s="116" cm="1">
        <f t="array" ref="CG8">_xll.EQNXTDZ($A$1,$B8,CG$1)</f>
        <v>598.54999999999995</v>
      </c>
      <c r="CH8" s="116" cm="1">
        <f t="array" ref="CH8">_xll.EQNXTDZ($A$1,$B8,CH$1)</f>
        <v>537.70000000000005</v>
      </c>
      <c r="CI8" s="116" cm="1">
        <f t="array" ref="CI8">_xll.EQNXTDZ($A$1,$B8,CI$1)</f>
        <v>578</v>
      </c>
      <c r="CJ8" s="116" cm="1">
        <f t="array" ref="CJ8">_xll.EQNXTDZ($A$1,$B8,CJ$1)</f>
        <v>557.4</v>
      </c>
      <c r="CK8" s="116" cm="1">
        <f t="array" ref="CK8">_xll.EQNXTDZ($A$1,$B8,CK$1)</f>
        <v>579.1</v>
      </c>
      <c r="CL8" s="116" cm="1">
        <f t="array" ref="CL8">_xll.EQNXTDZ($A$1,$B8,CL$1)</f>
        <v>606.65</v>
      </c>
      <c r="CM8" s="116" cm="1">
        <f t="array" ref="CM8">_xll.EQNXTDZ($A$1,$B8,CM$1)</f>
        <v>649.20000000000005</v>
      </c>
      <c r="CN8" s="116" cm="1">
        <f t="array" ref="CN8">_xll.EQNXTDZ($A$1,$B8,CN$1)</f>
        <v>657.15</v>
      </c>
      <c r="CO8" s="116" cm="1">
        <f t="array" ref="CO8">_xll.EQNXTDZ($A$1,$B8,CO$1)</f>
        <v>639</v>
      </c>
      <c r="CP8" s="116" cm="1">
        <f t="array" ref="CP8">_xll.EQNXTDZ($A$1,$B8,CP$1)</f>
        <v>646.29999999999995</v>
      </c>
      <c r="CQ8" s="116" cm="1">
        <f t="array" ref="CQ8">_xll.EQNXTDZ($A$1,$B8,CQ$1)</f>
        <v>655.75</v>
      </c>
      <c r="CR8" s="116" cm="1">
        <f t="array" ref="CR8">_xll.EQNXTDZ($A$1,$B8,CR$1)</f>
        <v>448.75</v>
      </c>
      <c r="CS8" s="116" cm="1">
        <f t="array" ref="CS8">_xll.EQNXTDZ($A$1,$B8,CS$1)</f>
        <v>460.5</v>
      </c>
      <c r="CT8" s="116" cm="1">
        <f t="array" ref="CT8">_xll.EQNXTDZ($A$1,$B8,CT$1)</f>
        <v>427.45</v>
      </c>
      <c r="CU8" s="116" cm="1">
        <f t="array" ref="CU8">_xll.EQNXTDZ($A$1,$B8,CU$1)</f>
        <v>506</v>
      </c>
      <c r="CV8" s="116" cm="1">
        <f t="array" ref="CV8">_xll.EQNXTDZ($A$1,$B8,CV$1)</f>
        <v>529.6</v>
      </c>
      <c r="CW8" s="116" cm="1">
        <f t="array" ref="CW8">_xll.EQNXTDZ($A$1,$B8,CW$1)</f>
        <v>585.6</v>
      </c>
      <c r="CX8" s="116" cm="1">
        <f t="array" ref="CX8">_xll.EQNXTDZ($A$1,$B8,CX$1)</f>
        <v>625.6</v>
      </c>
      <c r="CY8" s="116" cm="1">
        <f t="array" ref="CY8">_xll.EQNXTDZ($A$1,$B8,CY$1)</f>
        <v>656.35</v>
      </c>
      <c r="CZ8" s="116" cm="1">
        <f t="array" ref="CZ8">_xll.EQNXTDZ($A$1,$B8,CZ$1)</f>
        <v>696.1</v>
      </c>
      <c r="DA8" s="116" cm="1">
        <f t="array" ref="DA8">_xll.EQNXTDZ($A$1,$B8,DA$1)</f>
        <v>768.4</v>
      </c>
      <c r="DB8" s="116" cm="1">
        <f t="array" ref="DB8">_xll.EQNXTDZ($A$1,$B8,DB$1)</f>
        <v>820.05</v>
      </c>
      <c r="DC8" s="116" cm="1">
        <f t="array" ref="DC8">_xll.EQNXTDZ($A$1,$B8,DC$1)</f>
        <v>903.1</v>
      </c>
      <c r="DD8" s="116" cm="1">
        <f t="array" ref="DD8">_xll.EQNXTDZ($A$1,$B8,DD$1)</f>
        <v>953.65</v>
      </c>
      <c r="DE8" s="116" cm="1">
        <f t="array" ref="DE8">_xll.EQNXTDZ($A$1,$B8,DE$1)</f>
        <v>918</v>
      </c>
      <c r="DF8" s="116" cm="1">
        <f t="array" ref="DF8">_xll.EQNXTDZ($A$1,$B8,DF$1)</f>
        <v>935.65</v>
      </c>
      <c r="DG8" s="116" cm="1">
        <f t="array" ref="DG8">_xll.EQNXTDZ($A$1,$B8,DG$1)</f>
        <v>984.35</v>
      </c>
      <c r="DH8" s="116" cm="1">
        <f t="array" ref="DH8">_xll.EQNXTDZ($A$1,$B8,DH$1)</f>
        <v>997.2</v>
      </c>
      <c r="DI8" s="116" cm="1">
        <f t="array" ref="DI8">_xll.EQNXTDZ($A$1,$B8,DI$1)</f>
        <v>955</v>
      </c>
      <c r="DJ8" s="116" cm="1">
        <f t="array" ref="DJ8">_xll.EQNXTDZ($A$1,$B8,DJ$1)</f>
        <v>1004</v>
      </c>
      <c r="DK8" s="116" cm="1">
        <f t="array" ref="DK8">_xll.EQNXTDZ($A$1,$B8,DK$1)</f>
        <v>1143.2</v>
      </c>
      <c r="DL8" s="116" cm="1">
        <f t="array" ref="DL8">_xll.EQNXTDZ($A$1,$B8,DL$1)</f>
        <v>1131.25</v>
      </c>
      <c r="DM8" s="116" cm="1">
        <f t="array" ref="DM8">_xll.EQNXTDZ($A$1,$B8,DM$1)</f>
        <v>1146</v>
      </c>
      <c r="DN8" s="116" cm="1">
        <f t="array" ref="DN8">_xll.EQNXTDZ($A$1,$B8,DN$1)</f>
        <v>1149.55</v>
      </c>
      <c r="DO8" s="116" cm="1">
        <f t="array" ref="DO8">_xll.EQNXTDZ($A$1,$B8,DO$1)</f>
        <v>1138</v>
      </c>
      <c r="DP8" s="116" cm="1">
        <f t="array" ref="DP8">_xll.EQNXTDZ($A$1,$B8,DP$1)</f>
        <v>1100</v>
      </c>
      <c r="DQ8" s="116" cm="1">
        <f t="array" ref="DQ8">_xll.EQNXTDZ($A$1,$B8,DQ$1)</f>
        <v>1222.7</v>
      </c>
      <c r="DR8" s="116" cm="1">
        <f t="array" ref="DR8">_xll.EQNXTDZ($A$1,$B8,DR$1)</f>
        <v>922.55</v>
      </c>
      <c r="DS8" s="116" cm="1">
        <f t="array" ref="DS8">_xll.EQNXTDZ($A$1,$B8,DS$1)</f>
        <v>933.6</v>
      </c>
      <c r="DT8" s="116" cm="1">
        <f t="array" ref="DT8">_xll.EQNXTDZ($A$1,$B8,DT$1)</f>
        <v>932.5</v>
      </c>
      <c r="DU8" s="116" cm="1">
        <f t="array" ref="DU8">_xll.EQNXTDZ($A$1,$B8,DU$1)</f>
        <v>958.45</v>
      </c>
      <c r="DV8" s="116" cm="1">
        <f t="array" ref="DV8">_xll.EQNXTDZ($A$1,$B8,DV$1)</f>
        <v>868</v>
      </c>
      <c r="DW8" s="116" cm="1">
        <f t="array" ref="DW8">_xll.EQNXTDZ($A$1,$B8,DW$1)</f>
        <v>857.35</v>
      </c>
      <c r="DX8" s="116" cm="1">
        <f t="array" ref="DX8">_xll.EQNXTDZ($A$1,$B8,DX$1)</f>
        <v>803.6</v>
      </c>
      <c r="DY8" s="116" cm="1">
        <f t="array" ref="DY8">_xll.EQNXTDZ($A$1,$B8,DY$1)</f>
        <v>770</v>
      </c>
      <c r="DZ8" s="116" cm="1">
        <f t="array" ref="DZ8">_xll.EQNXTDZ($A$1,$B8,DZ$1)</f>
        <v>737.2</v>
      </c>
      <c r="EA8" s="116" cm="1">
        <f t="array" ref="EA8">_xll.EQNXTDZ($A$1,$B8,EA$1)</f>
        <v>784</v>
      </c>
      <c r="EB8" s="116" cm="1">
        <f t="array" ref="EB8">_xll.EQNXTDZ($A$1,$B8,EB$1)</f>
        <v>805.5</v>
      </c>
      <c r="EC8" s="116" cm="1">
        <f t="array" ref="EC8">_xll.EQNXTDZ($A$1,$B8,EC$1)</f>
        <v>762.75</v>
      </c>
      <c r="ED8" s="116" cm="1">
        <f t="array" ref="ED8">_xll.EQNXTDZ($A$1,$B8,ED$1)</f>
        <v>785.85</v>
      </c>
      <c r="EE8" s="116" cm="1">
        <f t="array" ref="EE8">_xll.EQNXTDZ($A$1,$B8,EE$1)</f>
        <v>747.6</v>
      </c>
      <c r="EF8" s="116" cm="1">
        <f t="array" ref="EF8">_xll.EQNXTDZ($A$1,$B8,EF$1)</f>
        <v>745</v>
      </c>
      <c r="EG8" s="116" cm="1">
        <f t="array" ref="EG8">_xll.EQNXTDZ($A$1,$B8,EG$1)</f>
        <v>780.25</v>
      </c>
      <c r="EH8" s="116" cm="1">
        <f t="array" ref="EH8">_xll.EQNXTDZ($A$1,$B8,EH$1)</f>
        <v>851.3</v>
      </c>
      <c r="EI8" s="116" cm="1">
        <f t="array" ref="EI8">_xll.EQNXTDZ($A$1,$B8,EI$1)</f>
        <v>806.7</v>
      </c>
      <c r="EJ8" s="116" cm="1">
        <f t="array" ref="EJ8">_xll.EQNXTDZ($A$1,$B8,EJ$1)</f>
        <v>811.15</v>
      </c>
      <c r="EK8" s="116" cm="1">
        <f t="array" ref="EK8">_xll.EQNXTDZ($A$1,$B8,EK$1)</f>
        <v>825.4</v>
      </c>
      <c r="EL8" s="116" cm="1">
        <f t="array" ref="EL8">_xll.EQNXTDZ($A$1,$B8,EL$1)</f>
        <v>968</v>
      </c>
      <c r="EM8" s="116" cm="1">
        <f t="array" ref="EM8">_xll.EQNXTDZ($A$1,$B8,EM$1)</f>
        <v>1013.15</v>
      </c>
      <c r="EN8" s="116" cm="1">
        <f t="array" ref="EN8">_xll.EQNXTDZ($A$1,$B8,EN$1)</f>
        <v>1023.95</v>
      </c>
      <c r="EO8" s="116" cm="1">
        <f t="array" ref="EO8">_xll.EQNXTDZ($A$1,$B8,EO$1)</f>
        <v>1101.2</v>
      </c>
      <c r="EP8" s="116" cm="1">
        <f t="array" ref="EP8">_xll.EQNXTDZ($A$1,$B8,EP$1)</f>
        <v>1257.5</v>
      </c>
      <c r="EQ8" s="116" cm="1">
        <f t="array" ref="EQ8">_xll.EQNXTDZ($A$1,$B8,EQ$1)</f>
        <v>1239.5</v>
      </c>
      <c r="ER8" s="116" cm="1">
        <f t="array" ref="ER8">_xll.EQNXTDZ($A$1,$B8,ER$1)</f>
        <v>1416.5</v>
      </c>
      <c r="ES8" s="116" cm="1">
        <f t="array" ref="ES8">_xll.EQNXTDZ($A$1,$B8,ES$1)</f>
        <v>1418.55</v>
      </c>
      <c r="ET8" s="116" cm="1">
        <f t="array" ref="ET8">_xll.EQNXTDZ($A$1,$B8,ET$1)</f>
        <v>1750.55</v>
      </c>
      <c r="EU8" s="116" cm="1">
        <f t="array" ref="EU8">_xll.EQNXTDZ($A$1,$B8,EU$1)</f>
        <v>1617.7</v>
      </c>
      <c r="EV8" s="116" cm="1">
        <f t="array" ref="EV8">_xll.EQNXTDZ($A$1,$B8,EV$1)</f>
        <v>1618.25</v>
      </c>
      <c r="EW8" s="116" cm="1">
        <f t="array" ref="EW8">_xll.EQNXTDZ($A$1,$B8,EW$1)</f>
        <v>1656</v>
      </c>
      <c r="EX8" s="116" cm="1">
        <f t="array" ref="EX8">_xll.EQNXTDZ($A$1,$B8,EX$1)</f>
        <v>1239.05</v>
      </c>
      <c r="EY8" s="116" cm="1">
        <f t="array" ref="EY8">_xll.EQNXTDZ($A$1,$B8,EY$1)</f>
        <v>1135</v>
      </c>
      <c r="EZ8" s="116" cm="1">
        <f t="array" ref="EZ8">_xll.EQNXTDZ($A$1,$B8,EZ$1)</f>
        <v>1322.15</v>
      </c>
      <c r="FA8" s="116" cm="1">
        <f t="array" ref="FA8">_xll.EQNXTDZ($A$1,$B8,FA$1)</f>
        <v>1221.0999999999999</v>
      </c>
      <c r="FB8" s="116" cm="1">
        <f t="array" ref="FB8">_xll.EQNXTDZ($A$1,$B8,FB$1)</f>
        <v>1190</v>
      </c>
      <c r="FC8" s="116" cm="1">
        <f t="array" ref="FC8">_xll.EQNXTDZ($A$1,$B8,FC$1)</f>
        <v>1224.4000000000001</v>
      </c>
      <c r="FD8" s="116" cm="1">
        <f t="array" ref="FD8">_xll.EQNXTDZ($A$1,$B8,FD$1)</f>
        <v>1301.2</v>
      </c>
      <c r="FE8" s="116" cm="1">
        <f t="array" ref="FE8">_xll.EQNXTDZ($A$1,$B8,FE$1)</f>
        <v>1192</v>
      </c>
      <c r="FF8" s="116" cm="1">
        <f t="array" ref="FF8">_xll.EQNXTDZ($A$1,$B8,FF$1)</f>
        <v>1332.7</v>
      </c>
      <c r="FG8" s="116" cm="1">
        <f t="array" ref="FG8">_xll.EQNXTDZ($A$1,$B8,FG$1)</f>
        <v>1332.9</v>
      </c>
      <c r="FH8" s="116" cm="1">
        <f t="array" ref="FH8">_xll.EQNXTDZ($A$1,$B8,FH$1)</f>
        <v>1288.0999999999999</v>
      </c>
      <c r="FI8" s="116" cm="1">
        <f t="array" ref="FI8">_xll.EQNXTDZ($A$1,$B8,FI$1)</f>
        <v>1309.5</v>
      </c>
      <c r="FJ8" s="116" cm="1">
        <f t="array" ref="FJ8">_xll.EQNXTDZ($A$1,$B8,FJ$1)</f>
        <v>1274.2</v>
      </c>
      <c r="FK8" s="116" cm="1">
        <f t="array" ref="FK8">_xll.EQNXTDZ($A$1,$B8,FK$1)</f>
        <v>1270</v>
      </c>
      <c r="FL8" s="116" cm="1">
        <f t="array" ref="FL8">_xll.EQNXTDZ($A$1,$B8,FL$1)</f>
        <v>1223</v>
      </c>
      <c r="FM8" s="116" cm="1">
        <f t="array" ref="FM8">_xll.EQNXTDZ($A$1,$B8,FM$1)</f>
        <v>1186.8</v>
      </c>
      <c r="FN8" s="116" cm="1">
        <f t="array" ref="FN8">_xll.EQNXTDZ($A$1,$B8,FN$1)</f>
        <v>1198.5999999999999</v>
      </c>
      <c r="FO8" s="116" cm="1">
        <f t="array" ref="FO8">_xll.EQNXTDZ($A$1,$B8,FO$1)</f>
        <v>1204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98.5</v>
      </c>
      <c r="HQ8" s="116">
        <f>+MIN(G8:I8)</f>
        <v>100.85</v>
      </c>
      <c r="HR8" s="116">
        <f>+MIN(J8:L8)</f>
        <v>73.150000000000006</v>
      </c>
      <c r="HS8" s="116">
        <f>+MIN(M8:O8)</f>
        <v>75</v>
      </c>
      <c r="HT8" s="116">
        <f>+MIN(P8:R8)</f>
        <v>62.5</v>
      </c>
      <c r="HU8" s="116">
        <f>+MIN(S8:U8)</f>
        <v>74</v>
      </c>
      <c r="HV8" s="116">
        <f>+MIN(V8:X8)</f>
        <v>96.85</v>
      </c>
      <c r="HW8" s="116">
        <f>+MIN(Y8:AA8)</f>
        <v>148.30000000000001</v>
      </c>
      <c r="HX8" s="116">
        <f>+MIN(AB8:AD8)</f>
        <v>180</v>
      </c>
      <c r="HY8" s="116">
        <f>+MIN(AE8:AG8)</f>
        <v>218.85</v>
      </c>
      <c r="HZ8" s="116">
        <f>+MIN(AH8:AJ8)</f>
        <v>227</v>
      </c>
      <c r="IA8" s="116">
        <f>+MIN(AK8:AM8)</f>
        <v>258.25</v>
      </c>
      <c r="IB8" s="116">
        <f>+MIN(AN8:AP8)</f>
        <v>243</v>
      </c>
      <c r="IC8" s="116">
        <f>+MIN(AQ8:AS8)</f>
        <v>252</v>
      </c>
      <c r="ID8" s="116">
        <f>+MIN(AT8:AV8)</f>
        <v>211</v>
      </c>
      <c r="IE8" s="116">
        <f>+MIN(AW8:AY8)</f>
        <v>266.7</v>
      </c>
      <c r="IF8" s="116">
        <f>+MIN(AZ8:BB8)</f>
        <v>311.7</v>
      </c>
      <c r="IG8" s="116">
        <f>+MIN(BC8:BE8)</f>
        <v>287.14999999999998</v>
      </c>
      <c r="IH8" s="116">
        <f>+MIN(BF8:BH8)</f>
        <v>320.39999999999998</v>
      </c>
      <c r="II8" s="116">
        <f>+MIN(BI8:BK8)</f>
        <v>401.3</v>
      </c>
      <c r="IJ8" s="116">
        <f>+MIN(BL8:BN8)</f>
        <v>453.75</v>
      </c>
      <c r="IK8" s="116">
        <f>+MIN(BO8:BQ8)</f>
        <v>506.65</v>
      </c>
      <c r="IL8" s="116">
        <f>+MIN(BR8:BT8)</f>
        <v>552</v>
      </c>
      <c r="IM8" s="116">
        <f>+MIN(BU8:BW8)</f>
        <v>493.05</v>
      </c>
      <c r="IN8" s="116">
        <f>+MIN(BX8:BZ8)</f>
        <v>511</v>
      </c>
      <c r="IO8" s="116">
        <f>+MIN(CA8:CC8)</f>
        <v>472.25</v>
      </c>
      <c r="IP8" s="116">
        <f>+MIN(CD8:CF8)</f>
        <v>501.05</v>
      </c>
      <c r="IQ8" s="116">
        <f>+MIN(CG8:CI8)</f>
        <v>537.70000000000005</v>
      </c>
      <c r="IR8" s="116">
        <f>+MIN(CJ8:CL8)</f>
        <v>557.4</v>
      </c>
      <c r="IS8" s="116">
        <f>+MIN(CM8:CO8)</f>
        <v>639</v>
      </c>
      <c r="IT8" s="116">
        <f>+MIN(CP8:CR8)</f>
        <v>448.75</v>
      </c>
      <c r="IU8" s="116">
        <f>+MIN(CS8:CU8)</f>
        <v>427.45</v>
      </c>
      <c r="IV8" s="116">
        <f>+MIN(CV8:CX8)</f>
        <v>529.6</v>
      </c>
      <c r="IW8" s="116">
        <f>+MIN(CY8:DA8)</f>
        <v>656.35</v>
      </c>
      <c r="IX8" s="116">
        <f>+MIN(DB8:DD8)</f>
        <v>820.05</v>
      </c>
      <c r="IY8" s="116">
        <f>+MIN(DE8:DG8)</f>
        <v>918</v>
      </c>
      <c r="IZ8" s="116">
        <f>+MIN(DH8:DJ8)</f>
        <v>955</v>
      </c>
      <c r="JA8" s="116">
        <f>+MIN(DK8:DM8)</f>
        <v>1131.25</v>
      </c>
      <c r="JB8" s="116">
        <f>+MIN(DN8:DP8)</f>
        <v>1100</v>
      </c>
      <c r="JC8" s="116">
        <f>+MIN(DQ8:DS8)</f>
        <v>922.55</v>
      </c>
      <c r="JD8" s="116">
        <f>+MIN(DT8:DV8)</f>
        <v>868</v>
      </c>
      <c r="JE8" s="116">
        <f>+MIN(DW8:DY8)</f>
        <v>770</v>
      </c>
      <c r="JF8" s="116">
        <f>+MIN(DZ8:EB8)</f>
        <v>737.2</v>
      </c>
      <c r="JG8" s="116">
        <f>+MIN(EC8:EE8)</f>
        <v>747.6</v>
      </c>
      <c r="JH8" s="116">
        <f>+MIN(EF8:EH8)</f>
        <v>745</v>
      </c>
      <c r="JI8" s="116">
        <f>+MIN(EI8:EK8)</f>
        <v>806.7</v>
      </c>
      <c r="JJ8" s="116">
        <f>+MIN(EL8:EN8)</f>
        <v>968</v>
      </c>
      <c r="JK8" s="116">
        <f>MIN(EO8:EQ8)</f>
        <v>1101.2</v>
      </c>
      <c r="JL8" s="116">
        <f>MIN(ER8:ET8)</f>
        <v>1416.5</v>
      </c>
      <c r="JM8" s="116">
        <f>MIN(EU8:EW8)</f>
        <v>1617.7</v>
      </c>
      <c r="JN8" s="116">
        <f>MIN(EX8:EZ8)</f>
        <v>1135</v>
      </c>
      <c r="JO8" s="116">
        <f>MIN(FA8:FC8)</f>
        <v>1190</v>
      </c>
      <c r="JP8" s="116">
        <f>MIN(FD8:FF8)</f>
        <v>1192</v>
      </c>
      <c r="JQ8" s="116">
        <f>MIN(FG8:FI8)</f>
        <v>1288.0999999999999</v>
      </c>
      <c r="JR8" s="116">
        <f>MIN(FJ8:FL8)</f>
        <v>1223</v>
      </c>
      <c r="JS8" s="116">
        <f>MIN(FM8:FO8)</f>
        <v>1186.8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104.7</v>
      </c>
      <c r="D9" s="116" cm="1">
        <f t="array" ref="D9">_xll.EQNXTDZ($A$1,$B9,D$1)</f>
        <v>106.3</v>
      </c>
      <c r="E9" s="116" cm="1">
        <f t="array" ref="E9">_xll.EQNXTDZ($A$1,$B9,E$1)</f>
        <v>110.2</v>
      </c>
      <c r="F9" s="116" cm="1">
        <f t="array" ref="F9">_xll.EQNXTDZ($A$1,$B9,F$1)</f>
        <v>124.95</v>
      </c>
      <c r="G9" s="116" cm="1">
        <f t="array" ref="G9">_xll.EQNXTDZ($A$1,$B9,G$1)</f>
        <v>110.8</v>
      </c>
      <c r="H9" s="116" cm="1">
        <f t="array" ref="H9">_xll.EQNXTDZ($A$1,$B9,H$1)</f>
        <v>108.3</v>
      </c>
      <c r="I9" s="116" cm="1">
        <f t="array" ref="I9">_xll.EQNXTDZ($A$1,$B9,I$1)</f>
        <v>105.9</v>
      </c>
      <c r="J9" s="116" cm="1">
        <f t="array" ref="J9">_xll.EQNXTDZ($A$1,$B9,J$1)</f>
        <v>97.7</v>
      </c>
      <c r="K9" s="116" cm="1">
        <f t="array" ref="K9">_xll.EQNXTDZ($A$1,$B9,K$1)</f>
        <v>79.05</v>
      </c>
      <c r="L9" s="116" cm="1">
        <f t="array" ref="L9">_xll.EQNXTDZ($A$1,$B9,L$1)</f>
        <v>75.349999999999994</v>
      </c>
      <c r="M9" s="116" cm="1">
        <f t="array" ref="M9">_xll.EQNXTDZ($A$1,$B9,M$1)</f>
        <v>85.25</v>
      </c>
      <c r="N9" s="116" cm="1">
        <f t="array" ref="N9">_xll.EQNXTDZ($A$1,$B9,N$1)</f>
        <v>83.75</v>
      </c>
      <c r="O9" s="116" cm="1">
        <f t="array" ref="O9">_xll.EQNXTDZ($A$1,$B9,O$1)</f>
        <v>80.95</v>
      </c>
      <c r="P9" s="116" cm="1">
        <f t="array" ref="P9">_xll.EQNXTDZ($A$1,$B9,P$1)</f>
        <v>77.8</v>
      </c>
      <c r="Q9" s="116" cm="1">
        <f t="array" ref="Q9">_xll.EQNXTDZ($A$1,$B9,Q$1)</f>
        <v>67</v>
      </c>
      <c r="R9" s="116" cm="1">
        <f t="array" ref="R9">_xll.EQNXTDZ($A$1,$B9,R$1)</f>
        <v>73.900000000000006</v>
      </c>
      <c r="S9" s="116" cm="1">
        <f t="array" ref="S9">_xll.EQNXTDZ($A$1,$B9,S$1)</f>
        <v>89.15</v>
      </c>
      <c r="T9" s="116" cm="1">
        <f t="array" ref="T9">_xll.EQNXTDZ($A$1,$B9,T$1)</f>
        <v>111.05</v>
      </c>
      <c r="U9" s="116" cm="1">
        <f t="array" ref="U9">_xll.EQNXTDZ($A$1,$B9,U$1)</f>
        <v>116.05</v>
      </c>
      <c r="V9" s="116" cm="1">
        <f t="array" ref="V9">_xll.EQNXTDZ($A$1,$B9,V$1)</f>
        <v>106.1</v>
      </c>
      <c r="W9" s="116" cm="1">
        <f t="array" ref="W9">_xll.EQNXTDZ($A$1,$B9,W$1)</f>
        <v>133.4</v>
      </c>
      <c r="X9" s="116" cm="1">
        <f t="array" ref="X9">_xll.EQNXTDZ($A$1,$B9,X$1)</f>
        <v>160.9</v>
      </c>
      <c r="Y9" s="116" cm="1">
        <f t="array" ref="Y9">_xll.EQNXTDZ($A$1,$B9,Y$1)</f>
        <v>156.35</v>
      </c>
      <c r="Z9" s="116" cm="1">
        <f t="array" ref="Z9">_xll.EQNXTDZ($A$1,$B9,Z$1)</f>
        <v>186.7</v>
      </c>
      <c r="AA9" s="116" cm="1">
        <f t="array" ref="AA9">_xll.EQNXTDZ($A$1,$B9,AA$1)</f>
        <v>218.05</v>
      </c>
      <c r="AB9" s="116" cm="1">
        <f t="array" ref="AB9">_xll.EQNXTDZ($A$1,$B9,AB$1)</f>
        <v>192.25</v>
      </c>
      <c r="AC9" s="116" cm="1">
        <f t="array" ref="AC9">_xll.EQNXTDZ($A$1,$B9,AC$1)</f>
        <v>244.65</v>
      </c>
      <c r="AD9" s="116" cm="1">
        <f t="array" ref="AD9">_xll.EQNXTDZ($A$1,$B9,AD$1)</f>
        <v>241.6</v>
      </c>
      <c r="AE9" s="116" cm="1">
        <f t="array" ref="AE9">_xll.EQNXTDZ($A$1,$B9,AE$1)</f>
        <v>251.4</v>
      </c>
      <c r="AF9" s="116" cm="1">
        <f t="array" ref="AF9">_xll.EQNXTDZ($A$1,$B9,AF$1)</f>
        <v>270.55</v>
      </c>
      <c r="AG9" s="116" cm="1">
        <f t="array" ref="AG9">_xll.EQNXTDZ($A$1,$B9,AG$1)</f>
        <v>242.5</v>
      </c>
      <c r="AH9" s="116" cm="1">
        <f t="array" ref="AH9">_xll.EQNXTDZ($A$1,$B9,AH$1)</f>
        <v>268.60000000000002</v>
      </c>
      <c r="AI9" s="116" cm="1">
        <f t="array" ref="AI9">_xll.EQNXTDZ($A$1,$B9,AI$1)</f>
        <v>254</v>
      </c>
      <c r="AJ9" s="116" cm="1">
        <f t="array" ref="AJ9">_xll.EQNXTDZ($A$1,$B9,AJ$1)</f>
        <v>279.85000000000002</v>
      </c>
      <c r="AK9" s="116" cm="1">
        <f t="array" ref="AK9">_xll.EQNXTDZ($A$1,$B9,AK$1)</f>
        <v>281.10000000000002</v>
      </c>
      <c r="AL9" s="116" cm="1">
        <f t="array" ref="AL9">_xll.EQNXTDZ($A$1,$B9,AL$1)</f>
        <v>332.95</v>
      </c>
      <c r="AM9" s="116" cm="1">
        <f t="array" ref="AM9">_xll.EQNXTDZ($A$1,$B9,AM$1)</f>
        <v>315.3</v>
      </c>
      <c r="AN9" s="116" cm="1">
        <f t="array" ref="AN9">_xll.EQNXTDZ($A$1,$B9,AN$1)</f>
        <v>317.60000000000002</v>
      </c>
      <c r="AO9" s="116" cm="1">
        <f t="array" ref="AO9">_xll.EQNXTDZ($A$1,$B9,AO$1)</f>
        <v>272.95</v>
      </c>
      <c r="AP9" s="116" cm="1">
        <f t="array" ref="AP9">_xll.EQNXTDZ($A$1,$B9,AP$1)</f>
        <v>268.3</v>
      </c>
      <c r="AQ9" s="116" cm="1">
        <f t="array" ref="AQ9">_xll.EQNXTDZ($A$1,$B9,AQ$1)</f>
        <v>283.45</v>
      </c>
      <c r="AR9" s="116" cm="1">
        <f t="array" ref="AR9">_xll.EQNXTDZ($A$1,$B9,AR$1)</f>
        <v>288.5</v>
      </c>
      <c r="AS9" s="116" cm="1">
        <f t="array" ref="AS9">_xll.EQNXTDZ($A$1,$B9,AS$1)</f>
        <v>324.3</v>
      </c>
      <c r="AT9" s="116" cm="1">
        <f t="array" ref="AT9">_xll.EQNXTDZ($A$1,$B9,AT$1)</f>
        <v>286.55</v>
      </c>
      <c r="AU9" s="116" cm="1">
        <f t="array" ref="AU9">_xll.EQNXTDZ($A$1,$B9,AU$1)</f>
        <v>223.4</v>
      </c>
      <c r="AV9" s="116" cm="1">
        <f t="array" ref="AV9">_xll.EQNXTDZ($A$1,$B9,AV$1)</f>
        <v>278.10000000000002</v>
      </c>
      <c r="AW9" s="116" cm="1">
        <f t="array" ref="AW9">_xll.EQNXTDZ($A$1,$B9,AW$1)</f>
        <v>293.5</v>
      </c>
      <c r="AX9" s="116" cm="1">
        <f t="array" ref="AX9">_xll.EQNXTDZ($A$1,$B9,AX$1)</f>
        <v>335.9</v>
      </c>
      <c r="AY9" s="116" cm="1">
        <f t="array" ref="AY9">_xll.EQNXTDZ($A$1,$B9,AY$1)</f>
        <v>322.25</v>
      </c>
      <c r="AZ9" s="116" cm="1">
        <f t="array" ref="AZ9">_xll.EQNXTDZ($A$1,$B9,AZ$1)</f>
        <v>349.55</v>
      </c>
      <c r="BA9" s="116" cm="1">
        <f t="array" ref="BA9">_xll.EQNXTDZ($A$1,$B9,BA$1)</f>
        <v>390.3</v>
      </c>
      <c r="BB9" s="116" cm="1">
        <f t="array" ref="BB9">_xll.EQNXTDZ($A$1,$B9,BB$1)</f>
        <v>379.1</v>
      </c>
      <c r="BC9" s="116" cm="1">
        <f t="array" ref="BC9">_xll.EQNXTDZ($A$1,$B9,BC$1)</f>
        <v>386.4</v>
      </c>
      <c r="BD9" s="116" cm="1">
        <f t="array" ref="BD9">_xll.EQNXTDZ($A$1,$B9,BD$1)</f>
        <v>315.85000000000002</v>
      </c>
      <c r="BE9" s="116" cm="1">
        <f t="array" ref="BE9">_xll.EQNXTDZ($A$1,$B9,BE$1)</f>
        <v>328.25</v>
      </c>
      <c r="BF9" s="116" cm="1">
        <f t="array" ref="BF9">_xll.EQNXTDZ($A$1,$B9,BF$1)</f>
        <v>326.95</v>
      </c>
      <c r="BG9" s="116" cm="1">
        <f t="array" ref="BG9">_xll.EQNXTDZ($A$1,$B9,BG$1)</f>
        <v>373.5</v>
      </c>
      <c r="BH9" s="116" cm="1">
        <f t="array" ref="BH9">_xll.EQNXTDZ($A$1,$B9,BH$1)</f>
        <v>412.1</v>
      </c>
      <c r="BI9" s="116" cm="1">
        <f t="array" ref="BI9">_xll.EQNXTDZ($A$1,$B9,BI$1)</f>
        <v>411.05</v>
      </c>
      <c r="BJ9" s="116" cm="1">
        <f t="array" ref="BJ9">_xll.EQNXTDZ($A$1,$B9,BJ$1)</f>
        <v>486.35</v>
      </c>
      <c r="BK9" s="116" cm="1">
        <f t="array" ref="BK9">_xll.EQNXTDZ($A$1,$B9,BK$1)</f>
        <v>457.25</v>
      </c>
      <c r="BL9" s="116" cm="1">
        <f t="array" ref="BL9">_xll.EQNXTDZ($A$1,$B9,BL$1)</f>
        <v>504.25</v>
      </c>
      <c r="BM9" s="116" cm="1">
        <f t="array" ref="BM9">_xll.EQNXTDZ($A$1,$B9,BM$1)</f>
        <v>524.75</v>
      </c>
      <c r="BN9" s="116" cm="1">
        <f t="array" ref="BN9">_xll.EQNXTDZ($A$1,$B9,BN$1)</f>
        <v>506.05</v>
      </c>
      <c r="BO9" s="116" cm="1">
        <f t="array" ref="BO9">_xll.EQNXTDZ($A$1,$B9,BO$1)</f>
        <v>567.6</v>
      </c>
      <c r="BP9" s="116" cm="1">
        <f t="array" ref="BP9">_xll.EQNXTDZ($A$1,$B9,BP$1)</f>
        <v>636.6</v>
      </c>
      <c r="BQ9" s="116" cm="1">
        <f t="array" ref="BQ9">_xll.EQNXTDZ($A$1,$B9,BQ$1)</f>
        <v>655.9</v>
      </c>
      <c r="BR9" s="116" cm="1">
        <f t="array" ref="BR9">_xll.EQNXTDZ($A$1,$B9,BR$1)</f>
        <v>605</v>
      </c>
      <c r="BS9" s="116" cm="1">
        <f t="array" ref="BS9">_xll.EQNXTDZ($A$1,$B9,BS$1)</f>
        <v>609.4</v>
      </c>
      <c r="BT9" s="116" cm="1">
        <f t="array" ref="BT9">_xll.EQNXTDZ($A$1,$B9,BT$1)</f>
        <v>620.9</v>
      </c>
      <c r="BU9" s="116" cm="1">
        <f t="array" ref="BU9">_xll.EQNXTDZ($A$1,$B9,BU$1)</f>
        <v>642.5</v>
      </c>
      <c r="BV9" s="116" cm="1">
        <f t="array" ref="BV9">_xll.EQNXTDZ($A$1,$B9,BV$1)</f>
        <v>539.95000000000005</v>
      </c>
      <c r="BW9" s="116" cm="1">
        <f t="array" ref="BW9">_xll.EQNXTDZ($A$1,$B9,BW$1)</f>
        <v>523.79999999999995</v>
      </c>
      <c r="BX9" s="116" cm="1">
        <f t="array" ref="BX9">_xll.EQNXTDZ($A$1,$B9,BX$1)</f>
        <v>567.95000000000005</v>
      </c>
      <c r="BY9" s="116" cm="1">
        <f t="array" ref="BY9">_xll.EQNXTDZ($A$1,$B9,BY$1)</f>
        <v>614.79999999999995</v>
      </c>
      <c r="BZ9" s="116" cm="1">
        <f t="array" ref="BZ9">_xll.EQNXTDZ($A$1,$B9,BZ$1)</f>
        <v>532.20000000000005</v>
      </c>
      <c r="CA9" s="116" cm="1">
        <f t="array" ref="CA9">_xll.EQNXTDZ($A$1,$B9,CA$1)</f>
        <v>540.25</v>
      </c>
      <c r="CB9" s="116" cm="1">
        <f t="array" ref="CB9">_xll.EQNXTDZ($A$1,$B9,CB$1)</f>
        <v>553.95000000000005</v>
      </c>
      <c r="CC9" s="116" cm="1">
        <f t="array" ref="CC9">_xll.EQNXTDZ($A$1,$B9,CC$1)</f>
        <v>553.5</v>
      </c>
      <c r="CD9" s="116" cm="1">
        <f t="array" ref="CD9">_xll.EQNXTDZ($A$1,$B9,CD$1)</f>
        <v>541.1</v>
      </c>
      <c r="CE9" s="116" cm="1">
        <f t="array" ref="CE9">_xll.EQNXTDZ($A$1,$B9,CE$1)</f>
        <v>566.54999999999995</v>
      </c>
      <c r="CF9" s="116" cm="1">
        <f t="array" ref="CF9">_xll.EQNXTDZ($A$1,$B9,CF$1)</f>
        <v>629.45000000000005</v>
      </c>
      <c r="CG9" s="116" cm="1">
        <f t="array" ref="CG9">_xll.EQNXTDZ($A$1,$B9,CG$1)</f>
        <v>602.70000000000005</v>
      </c>
      <c r="CH9" s="116" cm="1">
        <f t="array" ref="CH9">_xll.EQNXTDZ($A$1,$B9,CH$1)</f>
        <v>580.15</v>
      </c>
      <c r="CI9" s="116" cm="1">
        <f t="array" ref="CI9">_xll.EQNXTDZ($A$1,$B9,CI$1)</f>
        <v>643.4</v>
      </c>
      <c r="CJ9" s="116" cm="1">
        <f t="array" ref="CJ9">_xll.EQNXTDZ($A$1,$B9,CJ$1)</f>
        <v>583</v>
      </c>
      <c r="CK9" s="116" cm="1">
        <f t="array" ref="CK9">_xll.EQNXTDZ($A$1,$B9,CK$1)</f>
        <v>640</v>
      </c>
      <c r="CL9" s="116" cm="1">
        <f t="array" ref="CL9">_xll.EQNXTDZ($A$1,$B9,CL$1)</f>
        <v>679.55</v>
      </c>
      <c r="CM9" s="116" cm="1">
        <f t="array" ref="CM9">_xll.EQNXTDZ($A$1,$B9,CM$1)</f>
        <v>708.5</v>
      </c>
      <c r="CN9" s="116" cm="1">
        <f t="array" ref="CN9">_xll.EQNXTDZ($A$1,$B9,CN$1)</f>
        <v>700.6</v>
      </c>
      <c r="CO9" s="116" cm="1">
        <f t="array" ref="CO9">_xll.EQNXTDZ($A$1,$B9,CO$1)</f>
        <v>659.3</v>
      </c>
      <c r="CP9" s="116" cm="1">
        <f t="array" ref="CP9">_xll.EQNXTDZ($A$1,$B9,CP$1)</f>
        <v>694.2</v>
      </c>
      <c r="CQ9" s="116" cm="1">
        <f t="array" ref="CQ9">_xll.EQNXTDZ($A$1,$B9,CQ$1)</f>
        <v>678.75</v>
      </c>
      <c r="CR9" s="116" cm="1">
        <f t="array" ref="CR9">_xll.EQNXTDZ($A$1,$B9,CR$1)</f>
        <v>476.9</v>
      </c>
      <c r="CS9" s="116" cm="1">
        <f t="array" ref="CS9">_xll.EQNXTDZ($A$1,$B9,CS$1)</f>
        <v>505.4</v>
      </c>
      <c r="CT9" s="116" cm="1">
        <f t="array" ref="CT9">_xll.EQNXTDZ($A$1,$B9,CT$1)</f>
        <v>480.15</v>
      </c>
      <c r="CU9" s="116" cm="1">
        <f t="array" ref="CU9">_xll.EQNXTDZ($A$1,$B9,CU$1)</f>
        <v>546.45000000000005</v>
      </c>
      <c r="CV9" s="116" cm="1">
        <f t="array" ref="CV9">_xll.EQNXTDZ($A$1,$B9,CV$1)</f>
        <v>598.4</v>
      </c>
      <c r="CW9" s="116" cm="1">
        <f t="array" ref="CW9">_xll.EQNXTDZ($A$1,$B9,CW$1)</f>
        <v>634.75</v>
      </c>
      <c r="CX9" s="116" cm="1">
        <f t="array" ref="CX9">_xll.EQNXTDZ($A$1,$B9,CX$1)</f>
        <v>680.35</v>
      </c>
      <c r="CY9" s="116" cm="1">
        <f t="array" ref="CY9">_xll.EQNXTDZ($A$1,$B9,CY$1)</f>
        <v>705.55</v>
      </c>
      <c r="CZ9" s="116" cm="1">
        <f t="array" ref="CZ9">_xll.EQNXTDZ($A$1,$B9,CZ$1)</f>
        <v>806.6</v>
      </c>
      <c r="DA9" s="116" cm="1">
        <f t="array" ref="DA9">_xll.EQNXTDZ($A$1,$B9,DA$1)</f>
        <v>825.65</v>
      </c>
      <c r="DB9" s="116" cm="1">
        <f t="array" ref="DB9">_xll.EQNXTDZ($A$1,$B9,DB$1)</f>
        <v>908.1</v>
      </c>
      <c r="DC9" s="116" cm="1">
        <f t="array" ref="DC9">_xll.EQNXTDZ($A$1,$B9,DC$1)</f>
        <v>1018.15</v>
      </c>
      <c r="DD9" s="116" cm="1">
        <f t="array" ref="DD9">_xll.EQNXTDZ($A$1,$B9,DD$1)</f>
        <v>1001.95</v>
      </c>
      <c r="DE9" s="116" cm="1">
        <f t="array" ref="DE9">_xll.EQNXTDZ($A$1,$B9,DE$1)</f>
        <v>957.15</v>
      </c>
      <c r="DF9" s="116" cm="1">
        <f t="array" ref="DF9">_xll.EQNXTDZ($A$1,$B9,DF$1)</f>
        <v>1007.3</v>
      </c>
      <c r="DG9" s="116" cm="1">
        <f t="array" ref="DG9">_xll.EQNXTDZ($A$1,$B9,DG$1)</f>
        <v>1022.45</v>
      </c>
      <c r="DH9" s="116" cm="1">
        <f t="array" ref="DH9">_xll.EQNXTDZ($A$1,$B9,DH$1)</f>
        <v>1059.2</v>
      </c>
      <c r="DI9" s="116" cm="1">
        <f t="array" ref="DI9">_xll.EQNXTDZ($A$1,$B9,DI$1)</f>
        <v>995.85</v>
      </c>
      <c r="DJ9" s="116" cm="1">
        <f t="array" ref="DJ9">_xll.EQNXTDZ($A$1,$B9,DJ$1)</f>
        <v>1218.05</v>
      </c>
      <c r="DK9" s="116" cm="1">
        <f t="array" ref="DK9">_xll.EQNXTDZ($A$1,$B9,DK$1)</f>
        <v>1204.55</v>
      </c>
      <c r="DL9" s="116" cm="1">
        <f t="array" ref="DL9">_xll.EQNXTDZ($A$1,$B9,DL$1)</f>
        <v>1201</v>
      </c>
      <c r="DM9" s="116" cm="1">
        <f t="array" ref="DM9">_xll.EQNXTDZ($A$1,$B9,DM$1)</f>
        <v>1219.1500000000001</v>
      </c>
      <c r="DN9" s="116" cm="1">
        <f t="array" ref="DN9">_xll.EQNXTDZ($A$1,$B9,DN$1)</f>
        <v>1183.3</v>
      </c>
      <c r="DO9" s="116" cm="1">
        <f t="array" ref="DO9">_xll.EQNXTDZ($A$1,$B9,DO$1)</f>
        <v>1263.1500000000001</v>
      </c>
      <c r="DP9" s="116" cm="1">
        <f t="array" ref="DP9">_xll.EQNXTDZ($A$1,$B9,DP$1)</f>
        <v>1245.4000000000001</v>
      </c>
      <c r="DQ9" s="116" cm="1">
        <f t="array" ref="DQ9">_xll.EQNXTDZ($A$1,$B9,DQ$1)</f>
        <v>1261.55</v>
      </c>
      <c r="DR9" s="116" cm="1">
        <f t="array" ref="DR9">_xll.EQNXTDZ($A$1,$B9,DR$1)</f>
        <v>1018.05</v>
      </c>
      <c r="DS9" s="116" cm="1">
        <f t="array" ref="DS9">_xll.EQNXTDZ($A$1,$B9,DS$1)</f>
        <v>972.4</v>
      </c>
      <c r="DT9" s="116" cm="1">
        <f t="array" ref="DT9">_xll.EQNXTDZ($A$1,$B9,DT$1)</f>
        <v>1004.75</v>
      </c>
      <c r="DU9" s="116" cm="1">
        <f t="array" ref="DU9">_xll.EQNXTDZ($A$1,$B9,DU$1)</f>
        <v>1001.2</v>
      </c>
      <c r="DV9" s="116" cm="1">
        <f t="array" ref="DV9">_xll.EQNXTDZ($A$1,$B9,DV$1)</f>
        <v>906.45</v>
      </c>
      <c r="DW9" s="116" cm="1">
        <f t="array" ref="DW9">_xll.EQNXTDZ($A$1,$B9,DW$1)</f>
        <v>876.2</v>
      </c>
      <c r="DX9" s="116" cm="1">
        <f t="array" ref="DX9">_xll.EQNXTDZ($A$1,$B9,DX$1)</f>
        <v>819.5</v>
      </c>
      <c r="DY9" s="116" cm="1">
        <f t="array" ref="DY9">_xll.EQNXTDZ($A$1,$B9,DY$1)</f>
        <v>799.85</v>
      </c>
      <c r="DZ9" s="116" cm="1">
        <f t="array" ref="DZ9">_xll.EQNXTDZ($A$1,$B9,DZ$1)</f>
        <v>802.65</v>
      </c>
      <c r="EA9" s="116" cm="1">
        <f t="array" ref="EA9">_xll.EQNXTDZ($A$1,$B9,EA$1)</f>
        <v>892</v>
      </c>
      <c r="EB9" s="116" cm="1">
        <f t="array" ref="EB9">_xll.EQNXTDZ($A$1,$B9,EB$1)</f>
        <v>818.25</v>
      </c>
      <c r="EC9" s="116" cm="1">
        <f t="array" ref="EC9">_xll.EQNXTDZ($A$1,$B9,EC$1)</f>
        <v>799.05</v>
      </c>
      <c r="ED9" s="116" cm="1">
        <f t="array" ref="ED9">_xll.EQNXTDZ($A$1,$B9,ED$1)</f>
        <v>821.35</v>
      </c>
      <c r="EE9" s="116" cm="1">
        <f t="array" ref="EE9">_xll.EQNXTDZ($A$1,$B9,EE$1)</f>
        <v>759.75</v>
      </c>
      <c r="EF9" s="116" cm="1">
        <f t="array" ref="EF9">_xll.EQNXTDZ($A$1,$B9,EF$1)</f>
        <v>780.1</v>
      </c>
      <c r="EG9" s="116" cm="1">
        <f t="array" ref="EG9">_xll.EQNXTDZ($A$1,$B9,EG$1)</f>
        <v>869.9</v>
      </c>
      <c r="EH9" s="116" cm="1">
        <f t="array" ref="EH9">_xll.EQNXTDZ($A$1,$B9,EH$1)</f>
        <v>863.3</v>
      </c>
      <c r="EI9" s="116" cm="1">
        <f t="array" ref="EI9">_xll.EQNXTDZ($A$1,$B9,EI$1)</f>
        <v>837.5</v>
      </c>
      <c r="EJ9" s="116" cm="1">
        <f t="array" ref="EJ9">_xll.EQNXTDZ($A$1,$B9,EJ$1)</f>
        <v>827.95</v>
      </c>
      <c r="EK9" s="116" cm="1">
        <f t="array" ref="EK9">_xll.EQNXTDZ($A$1,$B9,EK$1)</f>
        <v>978.35</v>
      </c>
      <c r="EL9" s="116" cm="1">
        <f t="array" ref="EL9">_xll.EQNXTDZ($A$1,$B9,EL$1)</f>
        <v>1092.75</v>
      </c>
      <c r="EM9" s="116" cm="1">
        <f t="array" ref="EM9">_xll.EQNXTDZ($A$1,$B9,EM$1)</f>
        <v>1109.0999999999999</v>
      </c>
      <c r="EN9" s="116" cm="1">
        <f t="array" ref="EN9">_xll.EQNXTDZ($A$1,$B9,EN$1)</f>
        <v>1103.55</v>
      </c>
      <c r="EO9" s="116" cm="1">
        <f t="array" ref="EO9">_xll.EQNXTDZ($A$1,$B9,EO$1)</f>
        <v>1474.75</v>
      </c>
      <c r="EP9" s="116" cm="1">
        <f t="array" ref="EP9">_xll.EQNXTDZ($A$1,$B9,EP$1)</f>
        <v>1359.7</v>
      </c>
      <c r="EQ9" s="116" cm="1">
        <f t="array" ref="EQ9">_xll.EQNXTDZ($A$1,$B9,EQ$1)</f>
        <v>1472.2</v>
      </c>
      <c r="ER9" s="116" cm="1">
        <f t="array" ref="ER9">_xll.EQNXTDZ($A$1,$B9,ER$1)</f>
        <v>1537.6</v>
      </c>
      <c r="ES9" s="116" cm="1">
        <f t="array" ref="ES9">_xll.EQNXTDZ($A$1,$B9,ES$1)</f>
        <v>1743.65</v>
      </c>
      <c r="ET9" s="116" cm="1">
        <f t="array" ref="ET9">_xll.EQNXTDZ($A$1,$B9,ET$1)</f>
        <v>1845.1</v>
      </c>
      <c r="EU9" s="116" cm="1">
        <f t="array" ref="EU9">_xll.EQNXTDZ($A$1,$B9,EU$1)</f>
        <v>1649.5</v>
      </c>
      <c r="EV9" s="116" cm="1">
        <f t="array" ref="EV9">_xll.EQNXTDZ($A$1,$B9,EV$1)</f>
        <v>1658.25</v>
      </c>
      <c r="EW9" s="116" cm="1">
        <f t="array" ref="EW9">_xll.EQNXTDZ($A$1,$B9,EW$1)</f>
        <v>1789.95</v>
      </c>
      <c r="EX9" s="116" cm="1">
        <f t="array" ref="EX9">_xll.EQNXTDZ($A$1,$B9,EX$1)</f>
        <v>1260.8499999999999</v>
      </c>
      <c r="EY9" s="116" cm="1">
        <f t="array" ref="EY9">_xll.EQNXTDZ($A$1,$B9,EY$1)</f>
        <v>1320.1</v>
      </c>
      <c r="EZ9" s="116" cm="1">
        <f t="array" ref="EZ9">_xll.EQNXTDZ($A$1,$B9,EZ$1)</f>
        <v>1458.7</v>
      </c>
      <c r="FA9" s="116" cm="1">
        <f t="array" ref="FA9">_xll.EQNXTDZ($A$1,$B9,FA$1)</f>
        <v>1236.0999999999999</v>
      </c>
      <c r="FB9" s="116" cm="1">
        <f t="array" ref="FB9">_xll.EQNXTDZ($A$1,$B9,FB$1)</f>
        <v>1262.8</v>
      </c>
      <c r="FC9" s="116" cm="1">
        <f t="array" ref="FC9">_xll.EQNXTDZ($A$1,$B9,FC$1)</f>
        <v>1314.1</v>
      </c>
      <c r="FD9" s="116" cm="1">
        <f t="array" ref="FD9">_xll.EQNXTDZ($A$1,$B9,FD$1)</f>
        <v>1327.7</v>
      </c>
      <c r="FE9" s="116" cm="1">
        <f t="array" ref="FE9">_xll.EQNXTDZ($A$1,$B9,FE$1)</f>
        <v>1374</v>
      </c>
      <c r="FF9" s="116" cm="1">
        <f t="array" ref="FF9">_xll.EQNXTDZ($A$1,$B9,FF$1)</f>
        <v>1353.5</v>
      </c>
      <c r="FG9" s="116" cm="1">
        <f t="array" ref="FG9">_xll.EQNXTDZ($A$1,$B9,FG$1)</f>
        <v>1383.6</v>
      </c>
      <c r="FH9" s="116" cm="1">
        <f t="array" ref="FH9">_xll.EQNXTDZ($A$1,$B9,FH$1)</f>
        <v>1376.3</v>
      </c>
      <c r="FI9" s="116" cm="1">
        <f t="array" ref="FI9">_xll.EQNXTDZ($A$1,$B9,FI$1)</f>
        <v>1361.2</v>
      </c>
      <c r="FJ9" s="116" cm="1">
        <f t="array" ref="FJ9">_xll.EQNXTDZ($A$1,$B9,FJ$1)</f>
        <v>1327.9</v>
      </c>
      <c r="FK9" s="116" cm="1">
        <f t="array" ref="FK9">_xll.EQNXTDZ($A$1,$B9,FK$1)</f>
        <v>1561.3</v>
      </c>
      <c r="FL9" s="116" cm="1">
        <f t="array" ref="FL9">_xll.EQNXTDZ($A$1,$B9,FL$1)</f>
        <v>1272.8</v>
      </c>
      <c r="FM9" s="116" cm="1">
        <f t="array" ref="FM9">_xll.EQNXTDZ($A$1,$B9,FM$1)</f>
        <v>1430.4</v>
      </c>
      <c r="FN9" s="116" cm="1">
        <f t="array" ref="FN9">_xll.EQNXTDZ($A$1,$B9,FN$1)</f>
        <v>1245.7</v>
      </c>
      <c r="FO9" s="116" cm="1">
        <f t="array" ref="FO9">_xll.EQNXTDZ($A$1,$B9,FO$1)</f>
        <v>1327.6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124.95</v>
      </c>
      <c r="HQ9" s="116">
        <f>+I9</f>
        <v>105.9</v>
      </c>
      <c r="HR9" s="116">
        <f>+L9</f>
        <v>75.349999999999994</v>
      </c>
      <c r="HS9" s="116">
        <f>+O9</f>
        <v>80.95</v>
      </c>
      <c r="HT9" s="116">
        <f>+R9</f>
        <v>73.900000000000006</v>
      </c>
      <c r="HU9" s="116">
        <f>+U9</f>
        <v>116.05</v>
      </c>
      <c r="HV9" s="116">
        <f>+X9</f>
        <v>160.9</v>
      </c>
      <c r="HW9" s="116">
        <f>+AA9</f>
        <v>218.05</v>
      </c>
      <c r="HX9" s="116">
        <f>+AD9</f>
        <v>241.6</v>
      </c>
      <c r="HY9" s="116">
        <f>+AG9</f>
        <v>242.5</v>
      </c>
      <c r="HZ9" s="116">
        <f>+AJ9</f>
        <v>279.85000000000002</v>
      </c>
      <c r="IA9" s="116">
        <f>+AM9</f>
        <v>315.3</v>
      </c>
      <c r="IB9" s="116">
        <f>+AP9</f>
        <v>268.3</v>
      </c>
      <c r="IC9" s="116">
        <f>+AS9</f>
        <v>324.3</v>
      </c>
      <c r="ID9" s="116">
        <f>+AV9</f>
        <v>278.10000000000002</v>
      </c>
      <c r="IE9" s="116">
        <f>+AY9</f>
        <v>322.25</v>
      </c>
      <c r="IF9" s="116">
        <f>+BB9</f>
        <v>379.1</v>
      </c>
      <c r="IG9" s="116">
        <f>+BE9</f>
        <v>328.25</v>
      </c>
      <c r="IH9" s="116">
        <f>+BH9</f>
        <v>412.1</v>
      </c>
      <c r="II9" s="116">
        <f>+BK9</f>
        <v>457.25</v>
      </c>
      <c r="IJ9" s="116">
        <f>+BN9</f>
        <v>506.05</v>
      </c>
      <c r="IK9" s="116">
        <f>+BQ9</f>
        <v>655.9</v>
      </c>
      <c r="IL9" s="116">
        <f>+BT9</f>
        <v>620.9</v>
      </c>
      <c r="IM9" s="116">
        <f>+BW9</f>
        <v>523.79999999999995</v>
      </c>
      <c r="IN9" s="116">
        <f>+BZ9</f>
        <v>532.20000000000005</v>
      </c>
      <c r="IO9" s="116">
        <f>+CC9</f>
        <v>553.5</v>
      </c>
      <c r="IP9" s="116">
        <f>+CF9</f>
        <v>629.45000000000005</v>
      </c>
      <c r="IQ9" s="116">
        <f>+CI9</f>
        <v>643.4</v>
      </c>
      <c r="IR9" s="116">
        <f>+CL9</f>
        <v>679.55</v>
      </c>
      <c r="IS9" s="116">
        <f>+CO9</f>
        <v>659.3</v>
      </c>
      <c r="IT9" s="116">
        <f>+CR9</f>
        <v>476.9</v>
      </c>
      <c r="IU9" s="116">
        <f>+CU9</f>
        <v>546.45000000000005</v>
      </c>
      <c r="IV9" s="116">
        <f>+CX9</f>
        <v>680.35</v>
      </c>
      <c r="IW9" s="116">
        <f>+DA9</f>
        <v>825.65</v>
      </c>
      <c r="IX9" s="116">
        <f>+DD9</f>
        <v>1001.95</v>
      </c>
      <c r="IY9" s="116">
        <f>+DG9</f>
        <v>1022.45</v>
      </c>
      <c r="IZ9" s="116">
        <f>+DJ9</f>
        <v>1218.05</v>
      </c>
      <c r="JA9" s="116">
        <f>+DM9</f>
        <v>1219.1500000000001</v>
      </c>
      <c r="JB9" s="116">
        <f>+DP9</f>
        <v>1245.4000000000001</v>
      </c>
      <c r="JC9" s="116">
        <f>+DS9</f>
        <v>972.4</v>
      </c>
      <c r="JD9" s="116">
        <f>+DV9</f>
        <v>906.45</v>
      </c>
      <c r="JE9" s="116">
        <f>+DY9</f>
        <v>799.85</v>
      </c>
      <c r="JF9" s="116">
        <f>+EB9</f>
        <v>818.25</v>
      </c>
      <c r="JG9" s="116">
        <f>+EE9</f>
        <v>759.75</v>
      </c>
      <c r="JH9" s="116">
        <f>+EH9</f>
        <v>863.3</v>
      </c>
      <c r="JI9" s="116">
        <f>+EK9</f>
        <v>978.35</v>
      </c>
      <c r="JJ9" s="116">
        <f>+EN9</f>
        <v>1103.55</v>
      </c>
      <c r="JK9" s="116">
        <f>EQ9</f>
        <v>1472.2</v>
      </c>
      <c r="JL9" s="116">
        <f>ET9</f>
        <v>1845.1</v>
      </c>
      <c r="JM9" s="116">
        <f>EW9</f>
        <v>1789.95</v>
      </c>
      <c r="JN9" s="116">
        <f>EZ9</f>
        <v>1458.7</v>
      </c>
      <c r="JO9" s="116">
        <f>FC9</f>
        <v>1314.1</v>
      </c>
      <c r="JP9" s="116">
        <f>FF9</f>
        <v>1353.5</v>
      </c>
      <c r="JQ9" s="116">
        <f>FI9</f>
        <v>1361.2</v>
      </c>
      <c r="JR9" s="116">
        <f>FL9</f>
        <v>1272.8</v>
      </c>
      <c r="JS9" s="116">
        <f>FO9</f>
        <v>1327.6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99.1</v>
      </c>
      <c r="D13" cm="1">
        <f t="array" ref="D13">_xll.EQNXTDZ($A$1,$B13,D$1)</f>
        <v>105.3</v>
      </c>
      <c r="E13" cm="1">
        <f t="array" ref="E13">_xll.EQNXTDZ($A$1,$B13,E$1)</f>
        <v>103</v>
      </c>
      <c r="F13" cm="1">
        <f t="array" ref="F13">_xll.EQNXTDZ($A$1,$B13,F$1)</f>
        <v>110.55</v>
      </c>
      <c r="G13" cm="1">
        <f t="array" ref="G13">_xll.EQNXTDZ($A$1,$B13,G$1)</f>
        <v>123.9</v>
      </c>
      <c r="H13" cm="1">
        <f t="array" ref="H13">_xll.EQNXTDZ($A$1,$B13,H$1)</f>
        <v>110.5</v>
      </c>
      <c r="I13" cm="1">
        <f t="array" ref="I13">_xll.EQNXTDZ($A$1,$B13,I$1)</f>
        <v>108.75</v>
      </c>
      <c r="J13" cm="1">
        <f t="array" ref="J13">_xll.EQNXTDZ($A$1,$B13,J$1)</f>
        <v>106.65</v>
      </c>
      <c r="K13" cm="1">
        <f t="array" ref="K13">_xll.EQNXTDZ($A$1,$B13,K$1)</f>
        <v>97.9</v>
      </c>
      <c r="L13" cm="1">
        <f t="array" ref="L13">_xll.EQNXTDZ($A$1,$B13,L$1)</f>
        <v>79.5</v>
      </c>
      <c r="M13" cm="1">
        <f t="array" ref="M13">_xll.EQNXTDZ($A$1,$B13,M$1)</f>
        <v>76.05</v>
      </c>
      <c r="N13" cm="1">
        <f t="array" ref="N13">_xll.EQNXTDZ($A$1,$B13,N$1)</f>
        <v>84.6</v>
      </c>
      <c r="O13" cm="1">
        <f t="array" ref="O13">_xll.EQNXTDZ($A$1,$B13,O$1)</f>
        <v>84</v>
      </c>
      <c r="P13" cm="1">
        <f t="array" ref="P13">_xll.EQNXTDZ($A$1,$B13,P$1)</f>
        <v>81</v>
      </c>
      <c r="Q13" cm="1">
        <f t="array" ref="Q13">_xll.EQNXTDZ($A$1,$B13,Q$1)</f>
        <v>78.349999999999994</v>
      </c>
      <c r="R13" cm="1">
        <f t="array" ref="R13">_xll.EQNXTDZ($A$1,$B13,R$1)</f>
        <v>67.5</v>
      </c>
      <c r="S13" cm="1">
        <f t="array" ref="S13">_xll.EQNXTDZ($A$1,$B13,S$1)</f>
        <v>74</v>
      </c>
      <c r="T13" cm="1">
        <f t="array" ref="T13">_xll.EQNXTDZ($A$1,$B13,T$1)</f>
        <v>89.9</v>
      </c>
      <c r="U13" cm="1">
        <f t="array" ref="U13">_xll.EQNXTDZ($A$1,$B13,U$1)</f>
        <v>111</v>
      </c>
      <c r="V13" cm="1">
        <f t="array" ref="V13">_xll.EQNXTDZ($A$1,$B13,V$1)</f>
        <v>116.5</v>
      </c>
      <c r="W13" cm="1">
        <f t="array" ref="W13">_xll.EQNXTDZ($A$1,$B13,W$1)</f>
        <v>107</v>
      </c>
      <c r="X13" cm="1">
        <f t="array" ref="X13">_xll.EQNXTDZ($A$1,$B13,X$1)</f>
        <v>133.35</v>
      </c>
      <c r="Y13" cm="1">
        <f t="array" ref="Y13">_xll.EQNXTDZ($A$1,$B13,Y$1)</f>
        <v>161.1</v>
      </c>
      <c r="Z13" cm="1">
        <f t="array" ref="Z13">_xll.EQNXTDZ($A$1,$B13,Z$1)</f>
        <v>155</v>
      </c>
      <c r="AA13" cm="1">
        <f t="array" ref="AA13">_xll.EQNXTDZ($A$1,$B13,AA$1)</f>
        <v>187</v>
      </c>
      <c r="AB13" cm="1">
        <f t="array" ref="AB13">_xll.EQNXTDZ($A$1,$B13,AB$1)</f>
        <v>219.25</v>
      </c>
      <c r="AC13" cm="1">
        <f t="array" ref="AC13">_xll.EQNXTDZ($A$1,$B13,AC$1)</f>
        <v>190</v>
      </c>
      <c r="AD13" cm="1">
        <f t="array" ref="AD13">_xll.EQNXTDZ($A$1,$B13,AD$1)</f>
        <v>246</v>
      </c>
      <c r="AE13" cm="1">
        <f t="array" ref="AE13">_xll.EQNXTDZ($A$1,$B13,AE$1)</f>
        <v>239.25</v>
      </c>
      <c r="AF13" cm="1">
        <f t="array" ref="AF13">_xll.EQNXTDZ($A$1,$B13,AF$1)</f>
        <v>251.45</v>
      </c>
      <c r="AG13" cm="1">
        <f t="array" ref="AG13">_xll.EQNXTDZ($A$1,$B13,AG$1)</f>
        <v>272</v>
      </c>
      <c r="AH13" cm="1">
        <f t="array" ref="AH13">_xll.EQNXTDZ($A$1,$B13,AH$1)</f>
        <v>242.95</v>
      </c>
      <c r="AI13" cm="1">
        <f t="array" ref="AI13">_xll.EQNXTDZ($A$1,$B13,AI$1)</f>
        <v>268.89999999999998</v>
      </c>
      <c r="AJ13" cm="1">
        <f t="array" ref="AJ13">_xll.EQNXTDZ($A$1,$B13,AJ$1)</f>
        <v>253.2</v>
      </c>
      <c r="AK13" cm="1">
        <f t="array" ref="AK13">_xll.EQNXTDZ($A$1,$B13,AK$1)</f>
        <v>280.5</v>
      </c>
      <c r="AL13" cm="1">
        <f t="array" ref="AL13">_xll.EQNXTDZ($A$1,$B13,AL$1)</f>
        <v>282.39999999999998</v>
      </c>
      <c r="AM13" cm="1">
        <f t="array" ref="AM13">_xll.EQNXTDZ($A$1,$B13,AM$1)</f>
        <v>332.8</v>
      </c>
      <c r="AN13" cm="1">
        <f t="array" ref="AN13">_xll.EQNXTDZ($A$1,$B13,AN$1)</f>
        <v>316.89999999999998</v>
      </c>
      <c r="AO13" cm="1">
        <f t="array" ref="AO13">_xll.EQNXTDZ($A$1,$B13,AO$1)</f>
        <v>320</v>
      </c>
      <c r="AP13" cm="1">
        <f t="array" ref="AP13">_xll.EQNXTDZ($A$1,$B13,AP$1)</f>
        <v>271.89999999999998</v>
      </c>
      <c r="AQ13" cm="1">
        <f t="array" ref="AQ13">_xll.EQNXTDZ($A$1,$B13,AQ$1)</f>
        <v>271.8</v>
      </c>
      <c r="AR13" cm="1">
        <f t="array" ref="AR13">_xll.EQNXTDZ($A$1,$B13,AR$1)</f>
        <v>283.89999999999998</v>
      </c>
      <c r="AS13" cm="1">
        <f t="array" ref="AS13">_xll.EQNXTDZ($A$1,$B13,AS$1)</f>
        <v>289</v>
      </c>
      <c r="AT13" cm="1">
        <f t="array" ref="AT13">_xll.EQNXTDZ($A$1,$B13,AT$1)</f>
        <v>324.5</v>
      </c>
      <c r="AU13" cm="1">
        <f t="array" ref="AU13">_xll.EQNXTDZ($A$1,$B13,AU$1)</f>
        <v>289</v>
      </c>
      <c r="AV13" cm="1">
        <f t="array" ref="AV13">_xll.EQNXTDZ($A$1,$B13,AV$1)</f>
        <v>225.6</v>
      </c>
      <c r="AW13" cm="1">
        <f t="array" ref="AW13">_xll.EQNXTDZ($A$1,$B13,AW$1)</f>
        <v>278</v>
      </c>
      <c r="AX13" cm="1">
        <f t="array" ref="AX13">_xll.EQNXTDZ($A$1,$B13,AX$1)</f>
        <v>294.10000000000002</v>
      </c>
      <c r="AY13" cm="1">
        <f t="array" ref="AY13">_xll.EQNXTDZ($A$1,$B13,AY$1)</f>
        <v>336.1</v>
      </c>
      <c r="AZ13" cm="1">
        <f t="array" ref="AZ13">_xll.EQNXTDZ($A$1,$B13,AZ$1)</f>
        <v>322.35000000000002</v>
      </c>
      <c r="BA13" cm="1">
        <f t="array" ref="BA13">_xll.EQNXTDZ($A$1,$B13,BA$1)</f>
        <v>350</v>
      </c>
      <c r="BB13" cm="1">
        <f t="array" ref="BB13">_xll.EQNXTDZ($A$1,$B13,BB$1)</f>
        <v>395</v>
      </c>
      <c r="BC13" cm="1">
        <f t="array" ref="BC13">_xll.EQNXTDZ($A$1,$B13,BC$1)</f>
        <v>381</v>
      </c>
      <c r="BD13" cm="1">
        <f t="array" ref="BD13">_xll.EQNXTDZ($A$1,$B13,BD$1)</f>
        <v>385</v>
      </c>
      <c r="BE13" cm="1">
        <f t="array" ref="BE13">_xll.EQNXTDZ($A$1,$B13,BE$1)</f>
        <v>319.85000000000002</v>
      </c>
      <c r="BF13" cm="1">
        <f t="array" ref="BF13">_xll.EQNXTDZ($A$1,$B13,BF$1)</f>
        <v>325</v>
      </c>
      <c r="BG13" cm="1">
        <f t="array" ref="BG13">_xll.EQNXTDZ($A$1,$B13,BG$1)</f>
        <v>328.1</v>
      </c>
      <c r="BH13" cm="1">
        <f t="array" ref="BH13">_xll.EQNXTDZ($A$1,$B13,BH$1)</f>
        <v>374.9</v>
      </c>
      <c r="BI13" cm="1">
        <f t="array" ref="BI13">_xll.EQNXTDZ($A$1,$B13,BI$1)</f>
        <v>413.5</v>
      </c>
      <c r="BJ13" cm="1">
        <f t="array" ref="BJ13">_xll.EQNXTDZ($A$1,$B13,BJ$1)</f>
        <v>416</v>
      </c>
      <c r="BK13" cm="1">
        <f t="array" ref="BK13">_xll.EQNXTDZ($A$1,$B13,BK$1)</f>
        <v>485.7</v>
      </c>
      <c r="BL13" cm="1">
        <f t="array" ref="BL13">_xll.EQNXTDZ($A$1,$B13,BL$1)</f>
        <v>445.15</v>
      </c>
      <c r="BM13" cm="1">
        <f t="array" ref="BM13">_xll.EQNXTDZ($A$1,$B13,BM$1)</f>
        <v>504</v>
      </c>
      <c r="BN13" cm="1">
        <f t="array" ref="BN13">_xll.EQNXTDZ($A$1,$B13,BN$1)</f>
        <v>527.45000000000005</v>
      </c>
      <c r="BO13" cm="1">
        <f t="array" ref="BO13">_xll.EQNXTDZ($A$1,$B13,BO$1)</f>
        <v>508</v>
      </c>
      <c r="BP13" cm="1">
        <f t="array" ref="BP13">_xll.EQNXTDZ($A$1,$B13,BP$1)</f>
        <v>572.1</v>
      </c>
      <c r="BQ13" cm="1">
        <f t="array" ref="BQ13">_xll.EQNXTDZ($A$1,$B13,BQ$1)</f>
        <v>635.95000000000005</v>
      </c>
      <c r="BR13" cm="1">
        <f t="array" ref="BR13">_xll.EQNXTDZ($A$1,$B13,BR$1)</f>
        <v>656.4</v>
      </c>
      <c r="BS13" cm="1">
        <f t="array" ref="BS13">_xll.EQNXTDZ($A$1,$B13,BS$1)</f>
        <v>606</v>
      </c>
      <c r="BT13" cm="1">
        <f t="array" ref="BT13">_xll.EQNXTDZ($A$1,$B13,BT$1)</f>
        <v>615</v>
      </c>
      <c r="BU13" cm="1">
        <f t="array" ref="BU13">_xll.EQNXTDZ($A$1,$B13,BU$1)</f>
        <v>629</v>
      </c>
      <c r="BV13" cm="1">
        <f t="array" ref="BV13">_xll.EQNXTDZ($A$1,$B13,BV$1)</f>
        <v>643.6</v>
      </c>
      <c r="BW13" cm="1">
        <f t="array" ref="BW13">_xll.EQNXTDZ($A$1,$B13,BW$1)</f>
        <v>534</v>
      </c>
      <c r="BX13" cm="1">
        <f t="array" ref="BX13">_xll.EQNXTDZ($A$1,$B13,BX$1)</f>
        <v>525</v>
      </c>
      <c r="BY13" cm="1">
        <f t="array" ref="BY13">_xll.EQNXTDZ($A$1,$B13,BY$1)</f>
        <v>567.85</v>
      </c>
      <c r="BZ13" cm="1">
        <f t="array" ref="BZ13">_xll.EQNXTDZ($A$1,$B13,BZ$1)</f>
        <v>619</v>
      </c>
      <c r="CA13" cm="1">
        <f t="array" ref="CA13">_xll.EQNXTDZ($A$1,$B13,CA$1)</f>
        <v>526.04999999999995</v>
      </c>
      <c r="CB13" cm="1">
        <f t="array" ref="CB13">_xll.EQNXTDZ($A$1,$B13,CB$1)</f>
        <v>542</v>
      </c>
      <c r="CC13" cm="1">
        <f t="array" ref="CC13">_xll.EQNXTDZ($A$1,$B13,CC$1)</f>
        <v>555.5</v>
      </c>
      <c r="CD13" cm="1">
        <f t="array" ref="CD13">_xll.EQNXTDZ($A$1,$B13,CD$1)</f>
        <v>558</v>
      </c>
      <c r="CE13" cm="1">
        <f t="array" ref="CE13">_xll.EQNXTDZ($A$1,$B13,CE$1)</f>
        <v>540.5</v>
      </c>
      <c r="CF13" cm="1">
        <f t="array" ref="CF13">_xll.EQNXTDZ($A$1,$B13,CF$1)</f>
        <v>567</v>
      </c>
      <c r="CG13" cm="1">
        <f t="array" ref="CG13">_xll.EQNXTDZ($A$1,$B13,CG$1)</f>
        <v>633</v>
      </c>
      <c r="CH13" cm="1">
        <f t="array" ref="CH13">_xll.EQNXTDZ($A$1,$B13,CH$1)</f>
        <v>600</v>
      </c>
      <c r="CI13" cm="1">
        <f t="array" ref="CI13">_xll.EQNXTDZ($A$1,$B13,CI$1)</f>
        <v>584</v>
      </c>
      <c r="CJ13" cm="1">
        <f t="array" ref="CJ13">_xll.EQNXTDZ($A$1,$B13,CJ$1)</f>
        <v>645.15</v>
      </c>
      <c r="CK13" cm="1">
        <f t="array" ref="CK13">_xll.EQNXTDZ($A$1,$B13,CK$1)</f>
        <v>583.9</v>
      </c>
      <c r="CL13" cm="1">
        <f t="array" ref="CL13">_xll.EQNXTDZ($A$1,$B13,CL$1)</f>
        <v>633</v>
      </c>
      <c r="CM13" cm="1">
        <f t="array" ref="CM13">_xll.EQNXTDZ($A$1,$B13,CM$1)</f>
        <v>680.45</v>
      </c>
      <c r="CN13" cm="1">
        <f t="array" ref="CN13">_xll.EQNXTDZ($A$1,$B13,CN$1)</f>
        <v>707.4</v>
      </c>
      <c r="CO13" cm="1">
        <f t="array" ref="CO13">_xll.EQNXTDZ($A$1,$B13,CO$1)</f>
        <v>699.8</v>
      </c>
      <c r="CP13" cm="1">
        <f t="array" ref="CP13">_xll.EQNXTDZ($A$1,$B13,CP$1)</f>
        <v>648.15</v>
      </c>
      <c r="CQ13" cm="1">
        <f t="array" ref="CQ13">_xll.EQNXTDZ($A$1,$B13,CQ$1)</f>
        <v>695.75</v>
      </c>
      <c r="CR13" cm="1">
        <f t="array" ref="CR13">_xll.EQNXTDZ($A$1,$B13,CR$1)</f>
        <v>678.1</v>
      </c>
      <c r="CS13" cm="1">
        <f t="array" ref="CS13">_xll.EQNXTDZ($A$1,$B13,CS$1)</f>
        <v>476.2</v>
      </c>
      <c r="CT13" cm="1">
        <f t="array" ref="CT13">_xll.EQNXTDZ($A$1,$B13,CT$1)</f>
        <v>503</v>
      </c>
      <c r="CU13" cm="1">
        <f t="array" ref="CU13">_xll.EQNXTDZ($A$1,$B13,CU$1)</f>
        <v>505</v>
      </c>
      <c r="CV13" cm="1">
        <f t="array" ref="CV13">_xll.EQNXTDZ($A$1,$B13,CV$1)</f>
        <v>548</v>
      </c>
      <c r="CW13" cm="1">
        <f t="array" ref="CW13">_xll.EQNXTDZ($A$1,$B13,CW$1)</f>
        <v>595</v>
      </c>
      <c r="CX13" cm="1">
        <f t="array" ref="CX13">_xll.EQNXTDZ($A$1,$B13,CX$1)</f>
        <v>635.1</v>
      </c>
      <c r="CY13" cm="1">
        <f t="array" ref="CY13">_xll.EQNXTDZ($A$1,$B13,CY$1)</f>
        <v>687.15</v>
      </c>
      <c r="CZ13" cm="1">
        <f t="array" ref="CZ13">_xll.EQNXTDZ($A$1,$B13,CZ$1)</f>
        <v>705</v>
      </c>
      <c r="DA13" cm="1">
        <f t="array" ref="DA13">_xll.EQNXTDZ($A$1,$B13,DA$1)</f>
        <v>806.2</v>
      </c>
      <c r="DB13" cm="1">
        <f t="array" ref="DB13">_xll.EQNXTDZ($A$1,$B13,DB$1)</f>
        <v>826.3</v>
      </c>
      <c r="DC13" cm="1">
        <f t="array" ref="DC13">_xll.EQNXTDZ($A$1,$B13,DC$1)</f>
        <v>908.5</v>
      </c>
      <c r="DD13" cm="1">
        <f t="array" ref="DD13">_xll.EQNXTDZ($A$1,$B13,DD$1)</f>
        <v>1040</v>
      </c>
      <c r="DE13" cm="1">
        <f t="array" ref="DE13">_xll.EQNXTDZ($A$1,$B13,DE$1)</f>
        <v>1018</v>
      </c>
      <c r="DF13" cm="1">
        <f t="array" ref="DF13">_xll.EQNXTDZ($A$1,$B13,DF$1)</f>
        <v>955</v>
      </c>
      <c r="DG13" cm="1">
        <f t="array" ref="DG13">_xll.EQNXTDZ($A$1,$B13,DG$1)</f>
        <v>1013.45</v>
      </c>
      <c r="DH13" cm="1">
        <f t="array" ref="DH13">_xll.EQNXTDZ($A$1,$B13,DH$1)</f>
        <v>1033</v>
      </c>
      <c r="DI13" cm="1">
        <f t="array" ref="DI13">_xll.EQNXTDZ($A$1,$B13,DI$1)</f>
        <v>1069.95</v>
      </c>
      <c r="DJ13" cm="1">
        <f t="array" ref="DJ13">_xll.EQNXTDZ($A$1,$B13,DJ$1)</f>
        <v>1007.4</v>
      </c>
      <c r="DK13" cm="1">
        <f t="array" ref="DK13">_xll.EQNXTDZ($A$1,$B13,DK$1)</f>
        <v>1209.25</v>
      </c>
      <c r="DL13" cm="1">
        <f t="array" ref="DL13">_xll.EQNXTDZ($A$1,$B13,DL$1)</f>
        <v>1192.5999999999999</v>
      </c>
      <c r="DM13" cm="1">
        <f t="array" ref="DM13">_xll.EQNXTDZ($A$1,$B13,DM$1)</f>
        <v>1210</v>
      </c>
      <c r="DN13" cm="1">
        <f t="array" ref="DN13">_xll.EQNXTDZ($A$1,$B13,DN$1)</f>
        <v>1226</v>
      </c>
      <c r="DO13" cm="1">
        <f t="array" ref="DO13">_xll.EQNXTDZ($A$1,$B13,DO$1)</f>
        <v>1190</v>
      </c>
      <c r="DP13" cm="1">
        <f t="array" ref="DP13">_xll.EQNXTDZ($A$1,$B13,DP$1)</f>
        <v>1269</v>
      </c>
      <c r="DQ13" cm="1">
        <f t="array" ref="DQ13">_xll.EQNXTDZ($A$1,$B13,DQ$1)</f>
        <v>1247</v>
      </c>
      <c r="DR13" cm="1">
        <f t="array" ref="DR13">_xll.EQNXTDZ($A$1,$B13,DR$1)</f>
        <v>1260</v>
      </c>
      <c r="DS13" cm="1">
        <f t="array" ref="DS13">_xll.EQNXTDZ($A$1,$B13,DS$1)</f>
        <v>1020</v>
      </c>
      <c r="DT13" cm="1">
        <f t="array" ref="DT13">_xll.EQNXTDZ($A$1,$B13,DT$1)</f>
        <v>951</v>
      </c>
      <c r="DU13" cm="1">
        <f t="array" ref="DU13">_xll.EQNXTDZ($A$1,$B13,DU$1)</f>
        <v>1010</v>
      </c>
      <c r="DV13" cm="1">
        <f t="array" ref="DV13">_xll.EQNXTDZ($A$1,$B13,DV$1)</f>
        <v>993</v>
      </c>
      <c r="DW13" cm="1">
        <f t="array" ref="DW13">_xll.EQNXTDZ($A$1,$B13,DW$1)</f>
        <v>902.05</v>
      </c>
      <c r="DX13" cm="1">
        <f t="array" ref="DX13">_xll.EQNXTDZ($A$1,$B13,DX$1)</f>
        <v>885</v>
      </c>
      <c r="DY13" cm="1">
        <f t="array" ref="DY13">_xll.EQNXTDZ($A$1,$B13,DY$1)</f>
        <v>821</v>
      </c>
      <c r="DZ13" cm="1">
        <f t="array" ref="DZ13">_xll.EQNXTDZ($A$1,$B13,DZ$1)</f>
        <v>803.45</v>
      </c>
      <c r="EA13" cm="1">
        <f t="array" ref="EA13">_xll.EQNXTDZ($A$1,$B13,EA$1)</f>
        <v>802.35</v>
      </c>
      <c r="EB13" cm="1">
        <f t="array" ref="EB13">_xll.EQNXTDZ($A$1,$B13,EB$1)</f>
        <v>898</v>
      </c>
      <c r="EC13" cm="1">
        <f t="array" ref="EC13">_xll.EQNXTDZ($A$1,$B13,EC$1)</f>
        <v>824</v>
      </c>
      <c r="ED13" cm="1">
        <f t="array" ref="ED13">_xll.EQNXTDZ($A$1,$B13,ED$1)</f>
        <v>796.95</v>
      </c>
      <c r="EE13" cm="1">
        <f t="array" ref="EE13">_xll.EQNXTDZ($A$1,$B13,EE$1)</f>
        <v>821.8</v>
      </c>
      <c r="EF13" cm="1">
        <f t="array" ref="EF13">_xll.EQNXTDZ($A$1,$B13,EF$1)</f>
        <v>765</v>
      </c>
      <c r="EG13" cm="1">
        <f t="array" ref="EG13">_xll.EQNXTDZ($A$1,$B13,EG$1)</f>
        <v>783.45</v>
      </c>
      <c r="EH13" cm="1">
        <f t="array" ref="EH13">_xll.EQNXTDZ($A$1,$B13,EH$1)</f>
        <v>873.55</v>
      </c>
      <c r="EI13" cm="1">
        <f t="array" ref="EI13">_xll.EQNXTDZ($A$1,$B13,EI$1)</f>
        <v>861</v>
      </c>
      <c r="EJ13" cm="1">
        <f t="array" ref="EJ13">_xll.EQNXTDZ($A$1,$B13,EJ$1)</f>
        <v>841.4</v>
      </c>
      <c r="EK13" cm="1">
        <f t="array" ref="EK13">_xll.EQNXTDZ($A$1,$B13,EK$1)</f>
        <v>829.95</v>
      </c>
      <c r="EL13" cm="1">
        <f t="array" ref="EL13">_xll.EQNXTDZ($A$1,$B13,EL$1)</f>
        <v>983.95</v>
      </c>
      <c r="EM13" cm="1">
        <f t="array" ref="EM13">_xll.EQNXTDZ($A$1,$B13,EM$1)</f>
        <v>1092.3499999999999</v>
      </c>
      <c r="EN13" cm="1">
        <f t="array" ref="EN13">_xll.EQNXTDZ($A$1,$B13,EN$1)</f>
        <v>1110.05</v>
      </c>
      <c r="EO13" cm="1">
        <f t="array" ref="EO13">_xll.EQNXTDZ($A$1,$B13,EO$1)</f>
        <v>1103.55</v>
      </c>
      <c r="EP13" cm="1">
        <f t="array" ref="EP13">_xll.EQNXTDZ($A$1,$B13,EP$1)</f>
        <v>1483.55</v>
      </c>
      <c r="EQ13" cm="1">
        <f t="array" ref="EQ13">_xll.EQNXTDZ($A$1,$B13,EQ$1)</f>
        <v>1400.05</v>
      </c>
      <c r="ER13" cm="1">
        <f t="array" ref="ER13">_xll.EQNXTDZ($A$1,$B13,ER$1)</f>
        <v>1475.6</v>
      </c>
      <c r="ES13" cm="1">
        <f t="array" ref="ES13">_xll.EQNXTDZ($A$1,$B13,ES$1)</f>
        <v>1537.3</v>
      </c>
      <c r="ET13" cm="1">
        <f t="array" ref="ET13">_xll.EQNXTDZ($A$1,$B13,ET$1)</f>
        <v>1755</v>
      </c>
      <c r="EU13" cm="1">
        <f t="array" ref="EU13">_xll.EQNXTDZ($A$1,$B13,EU$1)</f>
        <v>1845.75</v>
      </c>
      <c r="EV13" cm="1">
        <f t="array" ref="EV13">_xll.EQNXTDZ($A$1,$B13,EV$1)</f>
        <v>1669.85</v>
      </c>
      <c r="EW13" cm="1">
        <f t="array" ref="EW13">_xll.EQNXTDZ($A$1,$B13,EW$1)</f>
        <v>1671.95</v>
      </c>
      <c r="EX13" cm="1">
        <f t="array" ref="EX13">_xll.EQNXTDZ($A$1,$B13,EX$1)</f>
        <v>1798.95</v>
      </c>
      <c r="EY13" cm="1">
        <f t="array" ref="EY13">_xll.EQNXTDZ($A$1,$B13,EY$1)</f>
        <v>1270.05</v>
      </c>
      <c r="EZ13" cm="1">
        <f t="array" ref="EZ13">_xll.EQNXTDZ($A$1,$B13,EZ$1)</f>
        <v>1340</v>
      </c>
      <c r="FA13" cm="1">
        <f t="array" ref="FA13">_xll.EQNXTDZ($A$1,$B13,FA$1)</f>
        <v>1455</v>
      </c>
      <c r="FB13" cm="1">
        <f t="array" ref="FB13">_xll.EQNXTDZ($A$1,$B13,FB$1)</f>
        <v>1234.45</v>
      </c>
      <c r="FC13" cm="1">
        <f t="array" ref="FC13">_xll.EQNXTDZ($A$1,$B13,FC$1)</f>
        <v>1254.2</v>
      </c>
      <c r="FD13" cm="1">
        <f t="array" ref="FD13">_xll.EQNXTDZ($A$1,$B13,FD$1)</f>
        <v>1321</v>
      </c>
      <c r="FE13" cm="1">
        <f t="array" ref="FE13">_xll.EQNXTDZ($A$1,$B13,FE$1)</f>
        <v>1329</v>
      </c>
      <c r="FF13" cm="1">
        <f t="array" ref="FF13">_xll.EQNXTDZ($A$1,$B13,FF$1)</f>
        <v>1373.95</v>
      </c>
      <c r="FG13" cm="1">
        <f t="array" ref="FG13">_xll.EQNXTDZ($A$1,$B13,FG$1)</f>
        <v>1342.1</v>
      </c>
      <c r="FH13" cm="1">
        <f t="array" ref="FH13">_xll.EQNXTDZ($A$1,$B13,FH$1)</f>
        <v>1382.05</v>
      </c>
      <c r="FI13" cm="1">
        <f t="array" ref="FI13">_xll.EQNXTDZ($A$1,$B13,FI$1)</f>
        <v>1373.05</v>
      </c>
      <c r="FJ13" cm="1">
        <f t="array" ref="FJ13">_xll.EQNXTDZ($A$1,$B13,FJ$1)</f>
        <v>1360.7</v>
      </c>
      <c r="FK13" cm="1">
        <f t="array" ref="FK13">_xll.EQNXTDZ($A$1,$B13,FK$1)</f>
        <v>1328</v>
      </c>
      <c r="FL13" cm="1">
        <f t="array" ref="FL13">_xll.EQNXTDZ($A$1,$B13,FL$1)</f>
        <v>1501.9</v>
      </c>
      <c r="FM13" cm="1">
        <f t="array" ref="FM13">_xll.EQNXTDZ($A$1,$B13,FM$1)</f>
        <v>1297.9000000000001</v>
      </c>
      <c r="FN13" cm="1">
        <f t="array" ref="FN13">_xll.EQNXTDZ($A$1,$B13,FN$1)</f>
        <v>1437</v>
      </c>
      <c r="FO13" cm="1">
        <f t="array" ref="FO13">_xll.EQNXTDZ($A$1,$B13,FO$1)</f>
        <v>1257.95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111.4</v>
      </c>
      <c r="D14" s="116" cm="1">
        <f t="array" ref="D14">_xll.EQNXTDZ($A$1,$B14,D$1)</f>
        <v>117.7</v>
      </c>
      <c r="E14" s="116" cm="1">
        <f t="array" ref="E14">_xll.EQNXTDZ($A$1,$B14,E$1)</f>
        <v>117.75</v>
      </c>
      <c r="F14" s="116" cm="1">
        <f t="array" ref="F14">_xll.EQNXTDZ($A$1,$B14,F$1)</f>
        <v>138.5</v>
      </c>
      <c r="G14" s="116" cm="1">
        <f t="array" ref="G14">_xll.EQNXTDZ($A$1,$B14,G$1)</f>
        <v>127.25</v>
      </c>
      <c r="H14" s="116" cm="1">
        <f t="array" ref="H14">_xll.EQNXTDZ($A$1,$B14,H$1)</f>
        <v>119</v>
      </c>
      <c r="I14" s="116" cm="1">
        <f t="array" ref="I14">_xll.EQNXTDZ($A$1,$B14,I$1)</f>
        <v>116.75</v>
      </c>
      <c r="J14" s="116" cm="1">
        <f t="array" ref="J14">_xll.EQNXTDZ($A$1,$B14,J$1)</f>
        <v>110.65</v>
      </c>
      <c r="K14" s="116" cm="1">
        <f t="array" ref="K14">_xll.EQNXTDZ($A$1,$B14,K$1)</f>
        <v>99.2</v>
      </c>
      <c r="L14" s="116" cm="1">
        <f t="array" ref="L14">_xll.EQNXTDZ($A$1,$B14,L$1)</f>
        <v>85.9</v>
      </c>
      <c r="M14" s="116" cm="1">
        <f t="array" ref="M14">_xll.EQNXTDZ($A$1,$B14,M$1)</f>
        <v>87.05</v>
      </c>
      <c r="N14" s="116" cm="1">
        <f t="array" ref="N14">_xll.EQNXTDZ($A$1,$B14,N$1)</f>
        <v>96.75</v>
      </c>
      <c r="O14" s="116" cm="1">
        <f t="array" ref="O14">_xll.EQNXTDZ($A$1,$B14,O$1)</f>
        <v>86.5</v>
      </c>
      <c r="P14" s="116" cm="1">
        <f t="array" ref="P14">_xll.EQNXTDZ($A$1,$B14,P$1)</f>
        <v>86.7</v>
      </c>
      <c r="Q14" s="116" cm="1">
        <f t="array" ref="Q14">_xll.EQNXTDZ($A$1,$B14,Q$1)</f>
        <v>79.150000000000006</v>
      </c>
      <c r="R14" s="116" cm="1">
        <f t="array" ref="R14">_xll.EQNXTDZ($A$1,$B14,R$1)</f>
        <v>79</v>
      </c>
      <c r="S14" s="116" cm="1">
        <f t="array" ref="S14">_xll.EQNXTDZ($A$1,$B14,S$1)</f>
        <v>89.9</v>
      </c>
      <c r="T14" s="116" cm="1">
        <f t="array" ref="T14">_xll.EQNXTDZ($A$1,$B14,T$1)</f>
        <v>116.4</v>
      </c>
      <c r="U14" s="116" cm="1">
        <f t="array" ref="U14">_xll.EQNXTDZ($A$1,$B14,U$1)</f>
        <v>124.5</v>
      </c>
      <c r="V14" s="116" cm="1">
        <f t="array" ref="V14">_xll.EQNXTDZ($A$1,$B14,V$1)</f>
        <v>123.35</v>
      </c>
      <c r="W14" s="116" cm="1">
        <f t="array" ref="W14">_xll.EQNXTDZ($A$1,$B14,W$1)</f>
        <v>133.94999999999999</v>
      </c>
      <c r="X14" s="116" cm="1">
        <f t="array" ref="X14">_xll.EQNXTDZ($A$1,$B14,X$1)</f>
        <v>164.35</v>
      </c>
      <c r="Y14" s="116" cm="1">
        <f t="array" ref="Y14">_xll.EQNXTDZ($A$1,$B14,Y$1)</f>
        <v>176.25</v>
      </c>
      <c r="Z14" s="116" cm="1">
        <f t="array" ref="Z14">_xll.EQNXTDZ($A$1,$B14,Z$1)</f>
        <v>208.7</v>
      </c>
      <c r="AA14" s="116" cm="1">
        <f t="array" ref="AA14">_xll.EQNXTDZ($A$1,$B14,AA$1)</f>
        <v>233.05</v>
      </c>
      <c r="AB14" s="116" cm="1">
        <f t="array" ref="AB14">_xll.EQNXTDZ($A$1,$B14,AB$1)</f>
        <v>224.9</v>
      </c>
      <c r="AC14" s="116" cm="1">
        <f t="array" ref="AC14">_xll.EQNXTDZ($A$1,$B14,AC$1)</f>
        <v>245.45</v>
      </c>
      <c r="AD14" s="116" cm="1">
        <f t="array" ref="AD14">_xll.EQNXTDZ($A$1,$B14,AD$1)</f>
        <v>270.7</v>
      </c>
      <c r="AE14" s="116" cm="1">
        <f t="array" ref="AE14">_xll.EQNXTDZ($A$1,$B14,AE$1)</f>
        <v>254.25</v>
      </c>
      <c r="AF14" s="116" cm="1">
        <f t="array" ref="AF14">_xll.EQNXTDZ($A$1,$B14,AF$1)</f>
        <v>286.5</v>
      </c>
      <c r="AG14" s="116" cm="1">
        <f t="array" ref="AG14">_xll.EQNXTDZ($A$1,$B14,AG$1)</f>
        <v>285</v>
      </c>
      <c r="AH14" s="116" cm="1">
        <f t="array" ref="AH14">_xll.EQNXTDZ($A$1,$B14,AH$1)</f>
        <v>278.60000000000002</v>
      </c>
      <c r="AI14" s="116" cm="1">
        <f t="array" ref="AI14">_xll.EQNXTDZ($A$1,$B14,AI$1)</f>
        <v>282.85000000000002</v>
      </c>
      <c r="AJ14" s="116" cm="1">
        <f t="array" ref="AJ14">_xll.EQNXTDZ($A$1,$B14,AJ$1)</f>
        <v>301.45</v>
      </c>
      <c r="AK14" s="116" cm="1">
        <f t="array" ref="AK14">_xll.EQNXTDZ($A$1,$B14,AK$1)</f>
        <v>310.25</v>
      </c>
      <c r="AL14" s="116" cm="1">
        <f t="array" ref="AL14">_xll.EQNXTDZ($A$1,$B14,AL$1)</f>
        <v>352</v>
      </c>
      <c r="AM14" s="116" cm="1">
        <f t="array" ref="AM14">_xll.EQNXTDZ($A$1,$B14,AM$1)</f>
        <v>360</v>
      </c>
      <c r="AN14" s="116" cm="1">
        <f t="array" ref="AN14">_xll.EQNXTDZ($A$1,$B14,AN$1)</f>
        <v>329</v>
      </c>
      <c r="AO14" s="116" cm="1">
        <f t="array" ref="AO14">_xll.EQNXTDZ($A$1,$B14,AO$1)</f>
        <v>330.35</v>
      </c>
      <c r="AP14" s="116" cm="1">
        <f t="array" ref="AP14">_xll.EQNXTDZ($A$1,$B14,AP$1)</f>
        <v>275</v>
      </c>
      <c r="AQ14" s="116" cm="1">
        <f t="array" ref="AQ14">_xll.EQNXTDZ($A$1,$B14,AQ$1)</f>
        <v>299</v>
      </c>
      <c r="AR14" s="116" cm="1">
        <f t="array" ref="AR14">_xll.EQNXTDZ($A$1,$B14,AR$1)</f>
        <v>290</v>
      </c>
      <c r="AS14" s="116" cm="1">
        <f t="array" ref="AS14">_xll.EQNXTDZ($A$1,$B14,AS$1)</f>
        <v>325</v>
      </c>
      <c r="AT14" s="116" cm="1">
        <f t="array" ref="AT14">_xll.EQNXTDZ($A$1,$B14,AT$1)</f>
        <v>324.5</v>
      </c>
      <c r="AU14" s="116" cm="1">
        <f t="array" ref="AU14">_xll.EQNXTDZ($A$1,$B14,AU$1)</f>
        <v>293</v>
      </c>
      <c r="AV14" s="116" cm="1">
        <f t="array" ref="AV14">_xll.EQNXTDZ($A$1,$B14,AV$1)</f>
        <v>278</v>
      </c>
      <c r="AW14" s="116" cm="1">
        <f t="array" ref="AW14">_xll.EQNXTDZ($A$1,$B14,AW$1)</f>
        <v>305.89999999999998</v>
      </c>
      <c r="AX14" s="116" cm="1">
        <f t="array" ref="AX14">_xll.EQNXTDZ($A$1,$B14,AX$1)</f>
        <v>349.1</v>
      </c>
      <c r="AY14" s="116" cm="1">
        <f t="array" ref="AY14">_xll.EQNXTDZ($A$1,$B14,AY$1)</f>
        <v>345.4</v>
      </c>
      <c r="AZ14" s="116" cm="1">
        <f t="array" ref="AZ14">_xll.EQNXTDZ($A$1,$B14,AZ$1)</f>
        <v>354.5</v>
      </c>
      <c r="BA14" s="116" cm="1">
        <f t="array" ref="BA14">_xll.EQNXTDZ($A$1,$B14,BA$1)</f>
        <v>402</v>
      </c>
      <c r="BB14" s="116" cm="1">
        <f t="array" ref="BB14">_xll.EQNXTDZ($A$1,$B14,BB$1)</f>
        <v>395.8</v>
      </c>
      <c r="BC14" s="116" cm="1">
        <f t="array" ref="BC14">_xll.EQNXTDZ($A$1,$B14,BC$1)</f>
        <v>406</v>
      </c>
      <c r="BD14" s="116" cm="1">
        <f t="array" ref="BD14">_xll.EQNXTDZ($A$1,$B14,BD$1)</f>
        <v>387.75</v>
      </c>
      <c r="BE14" s="116" cm="1">
        <f t="array" ref="BE14">_xll.EQNXTDZ($A$1,$B14,BE$1)</f>
        <v>334</v>
      </c>
      <c r="BF14" s="116" cm="1">
        <f t="array" ref="BF14">_xll.EQNXTDZ($A$1,$B14,BF$1)</f>
        <v>355.85</v>
      </c>
      <c r="BG14" s="116" cm="1">
        <f t="array" ref="BG14">_xll.EQNXTDZ($A$1,$B14,BG$1)</f>
        <v>372.95</v>
      </c>
      <c r="BH14" s="116" cm="1">
        <f t="array" ref="BH14">_xll.EQNXTDZ($A$1,$B14,BH$1)</f>
        <v>424.9</v>
      </c>
      <c r="BI14" s="116" cm="1">
        <f t="array" ref="BI14">_xll.EQNXTDZ($A$1,$B14,BI$1)</f>
        <v>424</v>
      </c>
      <c r="BJ14" s="116" cm="1">
        <f t="array" ref="BJ14">_xll.EQNXTDZ($A$1,$B14,BJ$1)</f>
        <v>501.05</v>
      </c>
      <c r="BK14" s="116" cm="1">
        <f t="array" ref="BK14">_xll.EQNXTDZ($A$1,$B14,BK$1)</f>
        <v>514.65</v>
      </c>
      <c r="BL14" s="116" cm="1">
        <f t="array" ref="BL14">_xll.EQNXTDZ($A$1,$B14,BL$1)</f>
        <v>520</v>
      </c>
      <c r="BM14" s="116" cm="1">
        <f t="array" ref="BM14">_xll.EQNXTDZ($A$1,$B14,BM$1)</f>
        <v>555.70000000000005</v>
      </c>
      <c r="BN14" s="116" cm="1">
        <f t="array" ref="BN14">_xll.EQNXTDZ($A$1,$B14,BN$1)</f>
        <v>564.95000000000005</v>
      </c>
      <c r="BO14" s="116" cm="1">
        <f t="array" ref="BO14">_xll.EQNXTDZ($A$1,$B14,BO$1)</f>
        <v>571.75</v>
      </c>
      <c r="BP14" s="116" cm="1">
        <f t="array" ref="BP14">_xll.EQNXTDZ($A$1,$B14,BP$1)</f>
        <v>653.45000000000005</v>
      </c>
      <c r="BQ14" s="116" cm="1">
        <f t="array" ref="BQ14">_xll.EQNXTDZ($A$1,$B14,BQ$1)</f>
        <v>675</v>
      </c>
      <c r="BR14" s="116" cm="1">
        <f t="array" ref="BR14">_xll.EQNXTDZ($A$1,$B14,BR$1)</f>
        <v>664</v>
      </c>
      <c r="BS14" s="116" cm="1">
        <f t="array" ref="BS14">_xll.EQNXTDZ($A$1,$B14,BS$1)</f>
        <v>622.9</v>
      </c>
      <c r="BT14" s="116" cm="1">
        <f t="array" ref="BT14">_xll.EQNXTDZ($A$1,$B14,BT$1)</f>
        <v>649.9</v>
      </c>
      <c r="BU14" s="116" cm="1">
        <f t="array" ref="BU14">_xll.EQNXTDZ($A$1,$B14,BU$1)</f>
        <v>664.6</v>
      </c>
      <c r="BV14" s="116" cm="1">
        <f t="array" ref="BV14">_xll.EQNXTDZ($A$1,$B14,BV$1)</f>
        <v>643.6</v>
      </c>
      <c r="BW14" s="116" cm="1">
        <f t="array" ref="BW14">_xll.EQNXTDZ($A$1,$B14,BW$1)</f>
        <v>549.9</v>
      </c>
      <c r="BX14" s="116" cm="1">
        <f t="array" ref="BX14">_xll.EQNXTDZ($A$1,$B14,BX$1)</f>
        <v>587.95000000000005</v>
      </c>
      <c r="BY14" s="116" cm="1">
        <f t="array" ref="BY14">_xll.EQNXTDZ($A$1,$B14,BY$1)</f>
        <v>637.25</v>
      </c>
      <c r="BZ14" s="116" cm="1">
        <f t="array" ref="BZ14">_xll.EQNXTDZ($A$1,$B14,BZ$1)</f>
        <v>622.29999999999995</v>
      </c>
      <c r="CA14" s="116" cm="1">
        <f t="array" ref="CA14">_xll.EQNXTDZ($A$1,$B14,CA$1)</f>
        <v>545</v>
      </c>
      <c r="CB14" s="116" cm="1">
        <f t="array" ref="CB14">_xll.EQNXTDZ($A$1,$B14,CB$1)</f>
        <v>567</v>
      </c>
      <c r="CC14" s="116" cm="1">
        <f t="array" ref="CC14">_xll.EQNXTDZ($A$1,$B14,CC$1)</f>
        <v>589.95000000000005</v>
      </c>
      <c r="CD14" s="116" cm="1">
        <f t="array" ref="CD14">_xll.EQNXTDZ($A$1,$B14,CD$1)</f>
        <v>558</v>
      </c>
      <c r="CE14" s="116" cm="1">
        <f t="array" ref="CE14">_xll.EQNXTDZ($A$1,$B14,CE$1)</f>
        <v>570</v>
      </c>
      <c r="CF14" s="116" cm="1">
        <f t="array" ref="CF14">_xll.EQNXTDZ($A$1,$B14,CF$1)</f>
        <v>634.95000000000005</v>
      </c>
      <c r="CG14" s="116" cm="1">
        <f t="array" ref="CG14">_xll.EQNXTDZ($A$1,$B14,CG$1)</f>
        <v>641.54999999999995</v>
      </c>
      <c r="CH14" s="116" cm="1">
        <f t="array" ref="CH14">_xll.EQNXTDZ($A$1,$B14,CH$1)</f>
        <v>620.85</v>
      </c>
      <c r="CI14" s="116" cm="1">
        <f t="array" ref="CI14">_xll.EQNXTDZ($A$1,$B14,CI$1)</f>
        <v>658.6</v>
      </c>
      <c r="CJ14" s="116" cm="1">
        <f t="array" ref="CJ14">_xll.EQNXTDZ($A$1,$B14,CJ$1)</f>
        <v>662.15</v>
      </c>
      <c r="CK14" s="116" cm="1">
        <f t="array" ref="CK14">_xll.EQNXTDZ($A$1,$B14,CK$1)</f>
        <v>643.70000000000005</v>
      </c>
      <c r="CL14" s="116" cm="1">
        <f t="array" ref="CL14">_xll.EQNXTDZ($A$1,$B14,CL$1)</f>
        <v>704.25</v>
      </c>
      <c r="CM14" s="116" cm="1">
        <f t="array" ref="CM14">_xll.EQNXTDZ($A$1,$B14,CM$1)</f>
        <v>725.45</v>
      </c>
      <c r="CN14" s="116" cm="1">
        <f t="array" ref="CN14">_xll.EQNXTDZ($A$1,$B14,CN$1)</f>
        <v>719.4</v>
      </c>
      <c r="CO14" s="116" cm="1">
        <f t="array" ref="CO14">_xll.EQNXTDZ($A$1,$B14,CO$1)</f>
        <v>706.9</v>
      </c>
      <c r="CP14" s="116" cm="1">
        <f t="array" ref="CP14">_xll.EQNXTDZ($A$1,$B14,CP$1)</f>
        <v>731.05</v>
      </c>
      <c r="CQ14" s="116" cm="1">
        <f t="array" ref="CQ14">_xll.EQNXTDZ($A$1,$B14,CQ$1)</f>
        <v>740.5</v>
      </c>
      <c r="CR14" s="116" cm="1">
        <f t="array" ref="CR14">_xll.EQNXTDZ($A$1,$B14,CR$1)</f>
        <v>697.95</v>
      </c>
      <c r="CS14" s="116" cm="1">
        <f t="array" ref="CS14">_xll.EQNXTDZ($A$1,$B14,CS$1)</f>
        <v>545.45000000000005</v>
      </c>
      <c r="CT14" s="116" cm="1">
        <f t="array" ref="CT14">_xll.EQNXTDZ($A$1,$B14,CT$1)</f>
        <v>503</v>
      </c>
      <c r="CU14" s="116" cm="1">
        <f t="array" ref="CU14">_xll.EQNXTDZ($A$1,$B14,CU$1)</f>
        <v>587.15</v>
      </c>
      <c r="CV14" s="116" cm="1">
        <f t="array" ref="CV14">_xll.EQNXTDZ($A$1,$B14,CV$1)</f>
        <v>611.25</v>
      </c>
      <c r="CW14" s="116" cm="1">
        <f t="array" ref="CW14">_xll.EQNXTDZ($A$1,$B14,CW$1)</f>
        <v>681.85</v>
      </c>
      <c r="CX14" s="116" cm="1">
        <f t="array" ref="CX14">_xll.EQNXTDZ($A$1,$B14,CX$1)</f>
        <v>713.7</v>
      </c>
      <c r="CY14" s="116" cm="1">
        <f t="array" ref="CY14">_xll.EQNXTDZ($A$1,$B14,CY$1)</f>
        <v>721</v>
      </c>
      <c r="CZ14" s="116" cm="1">
        <f t="array" ref="CZ14">_xll.EQNXTDZ($A$1,$B14,CZ$1)</f>
        <v>820.95</v>
      </c>
      <c r="DA14" s="116" cm="1">
        <f t="array" ref="DA14">_xll.EQNXTDZ($A$1,$B14,DA$1)</f>
        <v>844.95</v>
      </c>
      <c r="DB14" s="116" cm="1">
        <f t="array" ref="DB14">_xll.EQNXTDZ($A$1,$B14,DB$1)</f>
        <v>995.2</v>
      </c>
      <c r="DC14" s="116" cm="1">
        <f t="array" ref="DC14">_xll.EQNXTDZ($A$1,$B14,DC$1)</f>
        <v>1131.2</v>
      </c>
      <c r="DD14" s="116" cm="1">
        <f t="array" ref="DD14">_xll.EQNXTDZ($A$1,$B14,DD$1)</f>
        <v>1091</v>
      </c>
      <c r="DE14" s="116" cm="1">
        <f t="array" ref="DE14">_xll.EQNXTDZ($A$1,$B14,DE$1)</f>
        <v>1027</v>
      </c>
      <c r="DF14" s="116" cm="1">
        <f t="array" ref="DF14">_xll.EQNXTDZ($A$1,$B14,DF$1)</f>
        <v>1040</v>
      </c>
      <c r="DG14" s="116" cm="1">
        <f t="array" ref="DG14">_xll.EQNXTDZ($A$1,$B14,DG$1)</f>
        <v>1124.9000000000001</v>
      </c>
      <c r="DH14" s="116" cm="1">
        <f t="array" ref="DH14">_xll.EQNXTDZ($A$1,$B14,DH$1)</f>
        <v>1064.6500000000001</v>
      </c>
      <c r="DI14" s="116" cm="1">
        <f t="array" ref="DI14">_xll.EQNXTDZ($A$1,$B14,DI$1)</f>
        <v>1079.5</v>
      </c>
      <c r="DJ14" s="116" cm="1">
        <f t="array" ref="DJ14">_xll.EQNXTDZ($A$1,$B14,DJ$1)</f>
        <v>1265</v>
      </c>
      <c r="DK14" s="116" cm="1">
        <f t="array" ref="DK14">_xll.EQNXTDZ($A$1,$B14,DK$1)</f>
        <v>1356.9</v>
      </c>
      <c r="DL14" s="116" cm="1">
        <f t="array" ref="DL14">_xll.EQNXTDZ($A$1,$B14,DL$1)</f>
        <v>1283.9000000000001</v>
      </c>
      <c r="DM14" s="116" cm="1">
        <f t="array" ref="DM14">_xll.EQNXTDZ($A$1,$B14,DM$1)</f>
        <v>1271.6500000000001</v>
      </c>
      <c r="DN14" s="116" cm="1">
        <f t="array" ref="DN14">_xll.EQNXTDZ($A$1,$B14,DN$1)</f>
        <v>1317.15</v>
      </c>
      <c r="DO14" s="116" cm="1">
        <f t="array" ref="DO14">_xll.EQNXTDZ($A$1,$B14,DO$1)</f>
        <v>1268.2</v>
      </c>
      <c r="DP14" s="116" cm="1">
        <f t="array" ref="DP14">_xll.EQNXTDZ($A$1,$B14,DP$1)</f>
        <v>1339.85</v>
      </c>
      <c r="DQ14" s="116" cm="1">
        <f t="array" ref="DQ14">_xll.EQNXTDZ($A$1,$B14,DQ$1)</f>
        <v>1347.75</v>
      </c>
      <c r="DR14" s="116" cm="1">
        <f t="array" ref="DR14">_xll.EQNXTDZ($A$1,$B14,DR$1)</f>
        <v>1266.5999999999999</v>
      </c>
      <c r="DS14" s="116" cm="1">
        <f t="array" ref="DS14">_xll.EQNXTDZ($A$1,$B14,DS$1)</f>
        <v>1073.55</v>
      </c>
      <c r="DT14" s="116" cm="1">
        <f t="array" ref="DT14">_xll.EQNXTDZ($A$1,$B14,DT$1)</f>
        <v>1063.45</v>
      </c>
      <c r="DU14" s="116" cm="1">
        <f t="array" ref="DU14">_xll.EQNXTDZ($A$1,$B14,DU$1)</f>
        <v>1050.55</v>
      </c>
      <c r="DV14" s="116" cm="1">
        <f t="array" ref="DV14">_xll.EQNXTDZ($A$1,$B14,DV$1)</f>
        <v>1000.2</v>
      </c>
      <c r="DW14" s="116" cm="1">
        <f t="array" ref="DW14">_xll.EQNXTDZ($A$1,$B14,DW$1)</f>
        <v>935.65</v>
      </c>
      <c r="DX14" s="116" cm="1">
        <f t="array" ref="DX14">_xll.EQNXTDZ($A$1,$B14,DX$1)</f>
        <v>927.5</v>
      </c>
      <c r="DY14" s="116" cm="1">
        <f t="array" ref="DY14">_xll.EQNXTDZ($A$1,$B14,DY$1)</f>
        <v>864.95</v>
      </c>
      <c r="DZ14" s="116" cm="1">
        <f t="array" ref="DZ14">_xll.EQNXTDZ($A$1,$B14,DZ$1)</f>
        <v>840.2</v>
      </c>
      <c r="EA14" s="116" cm="1">
        <f t="array" ref="EA14">_xll.EQNXTDZ($A$1,$B14,EA$1)</f>
        <v>927.75</v>
      </c>
      <c r="EB14" s="116" cm="1">
        <f t="array" ref="EB14">_xll.EQNXTDZ($A$1,$B14,EB$1)</f>
        <v>933.5</v>
      </c>
      <c r="EC14" s="116" cm="1">
        <f t="array" ref="EC14">_xll.EQNXTDZ($A$1,$B14,EC$1)</f>
        <v>870.8</v>
      </c>
      <c r="ED14" s="116" cm="1">
        <f t="array" ref="ED14">_xll.EQNXTDZ($A$1,$B14,ED$1)</f>
        <v>830.85</v>
      </c>
      <c r="EE14" s="116" cm="1">
        <f t="array" ref="EE14">_xll.EQNXTDZ($A$1,$B14,EE$1)</f>
        <v>831.95</v>
      </c>
      <c r="EF14" s="116" cm="1">
        <f t="array" ref="EF14">_xll.EQNXTDZ($A$1,$B14,EF$1)</f>
        <v>792.5</v>
      </c>
      <c r="EG14" s="116" cm="1">
        <f t="array" ref="EG14">_xll.EQNXTDZ($A$1,$B14,EG$1)</f>
        <v>871.8</v>
      </c>
      <c r="EH14" s="116" cm="1">
        <f t="array" ref="EH14">_xll.EQNXTDZ($A$1,$B14,EH$1)</f>
        <v>914.1</v>
      </c>
      <c r="EI14" s="116" cm="1">
        <f t="array" ref="EI14">_xll.EQNXTDZ($A$1,$B14,EI$1)</f>
        <v>887.8</v>
      </c>
      <c r="EJ14" s="116" cm="1">
        <f t="array" ref="EJ14">_xll.EQNXTDZ($A$1,$B14,EJ$1)</f>
        <v>853.1</v>
      </c>
      <c r="EK14" s="116" cm="1">
        <f t="array" ref="EK14">_xll.EQNXTDZ($A$1,$B14,EK$1)</f>
        <v>993</v>
      </c>
      <c r="EL14" s="116" cm="1">
        <f t="array" ref="EL14">_xll.EQNXTDZ($A$1,$B14,EL$1)</f>
        <v>1100.0999999999999</v>
      </c>
      <c r="EM14" s="116" cm="1">
        <f t="array" ref="EM14">_xll.EQNXTDZ($A$1,$B14,EM$1)</f>
        <v>1133.6500000000001</v>
      </c>
      <c r="EN14" s="116" cm="1">
        <f t="array" ref="EN14">_xll.EQNXTDZ($A$1,$B14,EN$1)</f>
        <v>1139</v>
      </c>
      <c r="EO14" s="116" cm="1">
        <f t="array" ref="EO14">_xll.EQNXTDZ($A$1,$B14,EO$1)</f>
        <v>1480.3</v>
      </c>
      <c r="EP14" s="116" cm="1">
        <f t="array" ref="EP14">_xll.EQNXTDZ($A$1,$B14,EP$1)</f>
        <v>1500</v>
      </c>
      <c r="EQ14" s="116" cm="1">
        <f t="array" ref="EQ14">_xll.EQNXTDZ($A$1,$B14,EQ$1)</f>
        <v>1550.5</v>
      </c>
      <c r="ER14" s="116" cm="1">
        <f t="array" ref="ER14">_xll.EQNXTDZ($A$1,$B14,ER$1)</f>
        <v>1560</v>
      </c>
      <c r="ES14" s="116" cm="1">
        <f t="array" ref="ES14">_xll.EQNXTDZ($A$1,$B14,ES$1)</f>
        <v>1815</v>
      </c>
      <c r="ET14" s="116" cm="1">
        <f t="array" ref="ET14">_xll.EQNXTDZ($A$1,$B14,ET$1)</f>
        <v>1946.2</v>
      </c>
      <c r="EU14" s="116" cm="1">
        <f t="array" ref="EU14">_xll.EQNXTDZ($A$1,$B14,EU$1)</f>
        <v>1901</v>
      </c>
      <c r="EV14" s="116" cm="1">
        <f t="array" ref="EV14">_xll.EQNXTDZ($A$1,$B14,EV$1)</f>
        <v>1793.7</v>
      </c>
      <c r="EW14" s="116" cm="1">
        <f t="array" ref="EW14">_xll.EQNXTDZ($A$1,$B14,EW$1)</f>
        <v>1833</v>
      </c>
      <c r="EX14" s="116" cm="1">
        <f t="array" ref="EX14">_xll.EQNXTDZ($A$1,$B14,EX$1)</f>
        <v>1859.65</v>
      </c>
      <c r="EY14" s="116" cm="1">
        <f t="array" ref="EY14">_xll.EQNXTDZ($A$1,$B14,EY$1)</f>
        <v>1446.1</v>
      </c>
      <c r="EZ14" s="116" cm="1">
        <f t="array" ref="EZ14">_xll.EQNXTDZ($A$1,$B14,EZ$1)</f>
        <v>1530</v>
      </c>
      <c r="FA14" s="116" cm="1">
        <f t="array" ref="FA14">_xll.EQNXTDZ($A$1,$B14,FA$1)</f>
        <v>1455</v>
      </c>
      <c r="FB14" s="116" cm="1">
        <f t="array" ref="FB14">_xll.EQNXTDZ($A$1,$B14,FB$1)</f>
        <v>1287.5999999999999</v>
      </c>
      <c r="FC14" s="116" cm="1">
        <f t="array" ref="FC14">_xll.EQNXTDZ($A$1,$B14,FC$1)</f>
        <v>1340.1</v>
      </c>
      <c r="FD14" s="116" cm="1">
        <f t="array" ref="FD14">_xll.EQNXTDZ($A$1,$B14,FD$1)</f>
        <v>1400</v>
      </c>
      <c r="FE14" s="116" cm="1">
        <f t="array" ref="FE14">_xll.EQNXTDZ($A$1,$B14,FE$1)</f>
        <v>1402.65</v>
      </c>
      <c r="FF14" s="116" cm="1">
        <f t="array" ref="FF14">_xll.EQNXTDZ($A$1,$B14,FF$1)</f>
        <v>1469.9</v>
      </c>
      <c r="FG14" s="116" cm="1">
        <f t="array" ref="FG14">_xll.EQNXTDZ($A$1,$B14,FG$1)</f>
        <v>1463.45</v>
      </c>
      <c r="FH14" s="116" cm="1">
        <f t="array" ref="FH14">_xll.EQNXTDZ($A$1,$B14,FH$1)</f>
        <v>1417.9</v>
      </c>
      <c r="FI14" s="116" cm="1">
        <f t="array" ref="FI14">_xll.EQNXTDZ($A$1,$B14,FI$1)</f>
        <v>1425.3</v>
      </c>
      <c r="FJ14" s="116" cm="1">
        <f t="array" ref="FJ14">_xll.EQNXTDZ($A$1,$B14,FJ$1)</f>
        <v>1517.2</v>
      </c>
      <c r="FK14" s="116" cm="1">
        <f t="array" ref="FK14">_xll.EQNXTDZ($A$1,$B14,FK$1)</f>
        <v>1582</v>
      </c>
      <c r="FL14" s="116" cm="1">
        <f t="array" ref="FL14">_xll.EQNXTDZ($A$1,$B14,FL$1)</f>
        <v>1534.25</v>
      </c>
      <c r="FM14" s="116" cm="1">
        <f t="array" ref="FM14">_xll.EQNXTDZ($A$1,$B14,FM$1)</f>
        <v>1537.6</v>
      </c>
      <c r="FN14" s="116" cm="1">
        <f t="array" ref="FN14">_xll.EQNXTDZ($A$1,$B14,FN$1)</f>
        <v>1462</v>
      </c>
      <c r="FO14" s="116" cm="1">
        <f t="array" ref="FO14">_xll.EQNXTDZ($A$1,$B14,FO$1)</f>
        <v>1345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138.5</v>
      </c>
      <c r="HQ14" s="116">
        <f>+MAX(G14:I14)</f>
        <v>127.25</v>
      </c>
      <c r="HR14" s="116">
        <f>+MAX(J14:L14)</f>
        <v>110.65</v>
      </c>
      <c r="HS14" s="116">
        <f>+MAX(M14:O14)</f>
        <v>96.75</v>
      </c>
      <c r="HT14" s="116">
        <f>+MAX(P14:R14)</f>
        <v>86.7</v>
      </c>
      <c r="HU14" s="116">
        <f>+MAX(S14:U14)</f>
        <v>124.5</v>
      </c>
      <c r="HV14" s="116">
        <f>+MAX(V14:X14)</f>
        <v>164.35</v>
      </c>
      <c r="HW14" s="116">
        <f>+MAX(Y14:AA14)</f>
        <v>233.05</v>
      </c>
      <c r="HX14" s="116">
        <f>+MAX(AB14:AD14)</f>
        <v>270.7</v>
      </c>
      <c r="HY14" s="116">
        <f>+MAX(AE14:AG14)</f>
        <v>286.5</v>
      </c>
      <c r="HZ14" s="116">
        <f>+MAX(AH14:AJ14)</f>
        <v>301.45</v>
      </c>
      <c r="IA14" s="116">
        <f>+MAX(AK14:AM14)</f>
        <v>360</v>
      </c>
      <c r="IB14" s="116">
        <f>+MAX(AN14:AP14)</f>
        <v>330.35</v>
      </c>
      <c r="IC14" s="116">
        <f>+MAX(AQ14:AS14)</f>
        <v>325</v>
      </c>
      <c r="ID14" s="116">
        <f>+MAX(AT14:AV14)</f>
        <v>324.5</v>
      </c>
      <c r="IE14" s="116">
        <f>+MAX(AW14:AY14)</f>
        <v>349.1</v>
      </c>
      <c r="IF14" s="116">
        <f>+MAX(AZ14:BB14)</f>
        <v>402</v>
      </c>
      <c r="IG14" s="116">
        <f>+MAX(BC14:BE14)</f>
        <v>406</v>
      </c>
      <c r="IH14" s="116">
        <f>+MAX(BF14:BH14)</f>
        <v>424.9</v>
      </c>
      <c r="II14" s="116">
        <f>+MAX(BI14:BK14)</f>
        <v>514.65</v>
      </c>
      <c r="IJ14" s="116">
        <f>+MAX(BL14:BN14)</f>
        <v>564.95000000000005</v>
      </c>
      <c r="IK14" s="116">
        <f>+MAX(BO14:BQ14)</f>
        <v>675</v>
      </c>
      <c r="IL14" s="116">
        <f>+MAX(BR14:BT14)</f>
        <v>664</v>
      </c>
      <c r="IM14" s="116">
        <f>+MAX(BU14:BW14)</f>
        <v>664.6</v>
      </c>
      <c r="IN14" s="116">
        <f>+MAX(BX14:BZ14)</f>
        <v>637.25</v>
      </c>
      <c r="IO14" s="116">
        <f>+MAX(CA14:CC14)</f>
        <v>589.95000000000005</v>
      </c>
      <c r="IP14" s="116">
        <f>+MAX(CD14:CF14)</f>
        <v>634.95000000000005</v>
      </c>
      <c r="IQ14" s="116">
        <f>+MAX(CG14:CI14)</f>
        <v>658.6</v>
      </c>
      <c r="IR14" s="116">
        <f>+MAX(CJ14:CL14)</f>
        <v>704.25</v>
      </c>
      <c r="IS14" s="116">
        <f>+MAX(CM14:CO14)</f>
        <v>725.45</v>
      </c>
      <c r="IT14" s="116">
        <f>+MAX(CP14:CR14)</f>
        <v>740.5</v>
      </c>
      <c r="IU14" s="116">
        <f>+MAX(CS14:CU14)</f>
        <v>587.15</v>
      </c>
      <c r="IV14" s="116">
        <f>+MAX(CV14:CX14)</f>
        <v>713.7</v>
      </c>
      <c r="IW14" s="116">
        <f>+MAX(CY14:DA14)</f>
        <v>844.95</v>
      </c>
      <c r="IX14" s="116">
        <f>+MAX(DB14:DD14)</f>
        <v>1131.2</v>
      </c>
      <c r="IY14" s="116">
        <f>+MAX(DE14:DG14)</f>
        <v>1124.9000000000001</v>
      </c>
      <c r="IZ14" s="116">
        <f>+MAX(DH14:DJ14)</f>
        <v>1265</v>
      </c>
      <c r="JA14" s="116">
        <f>+MAX(DK14:DM14)</f>
        <v>1356.9</v>
      </c>
      <c r="JB14" s="116">
        <f>+MAX(DN14:DP14)</f>
        <v>1339.85</v>
      </c>
      <c r="JC14" s="116">
        <f>+MAX(DQ14:DS14)</f>
        <v>1347.75</v>
      </c>
      <c r="JD14" s="116">
        <f>+MAX(DT14:DV14)</f>
        <v>1063.45</v>
      </c>
      <c r="JE14" s="116">
        <f>+MAX(DW14:DY14)</f>
        <v>935.65</v>
      </c>
      <c r="JF14" s="116">
        <f>+MAX(DZ14:EB14)</f>
        <v>933.5</v>
      </c>
      <c r="JG14" s="116">
        <f>+MAX(EC14:EE14)</f>
        <v>870.8</v>
      </c>
      <c r="JH14" s="116">
        <f>+MAX(EF14:EH14)</f>
        <v>914.1</v>
      </c>
      <c r="JI14" s="116">
        <f>+MAX(EI14:EK14)</f>
        <v>993</v>
      </c>
      <c r="JJ14" s="116">
        <f>+MAX(EL14:EN14)</f>
        <v>1139</v>
      </c>
      <c r="JK14" s="116">
        <f>MAX(EO14:EQ14)</f>
        <v>1550.5</v>
      </c>
      <c r="JL14" s="116">
        <f>MAX(ER14:ET14)</f>
        <v>1946.2</v>
      </c>
      <c r="JM14" s="116">
        <f>MAX(EU14:EW14)</f>
        <v>1901</v>
      </c>
      <c r="JN14" s="116">
        <f>MAX(EX14:EZ14)</f>
        <v>1859.65</v>
      </c>
      <c r="JO14" s="116">
        <f>MAX(FA14:FC14)</f>
        <v>1455</v>
      </c>
      <c r="JP14" s="116">
        <f>MAX(FD14:FF14)</f>
        <v>1469.9</v>
      </c>
      <c r="JQ14" s="116">
        <f>MAX(FG14:FI14)</f>
        <v>1463.45</v>
      </c>
      <c r="JR14" s="116">
        <f>MAX(FJ14:FL14)</f>
        <v>1582</v>
      </c>
      <c r="JS14" s="116">
        <f>MAX(FM14:FO14)</f>
        <v>1537.6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93.05</v>
      </c>
      <c r="D15" s="116" cm="1">
        <f t="array" ref="D15">_xll.EQNXTDZ($A$1,$B15,D$1)</f>
        <v>98.55</v>
      </c>
      <c r="E15" s="116" cm="1">
        <f t="array" ref="E15">_xll.EQNXTDZ($A$1,$B15,E$1)</f>
        <v>100.3</v>
      </c>
      <c r="F15" s="116" cm="1">
        <f t="array" ref="F15">_xll.EQNXTDZ($A$1,$B15,F$1)</f>
        <v>105.7</v>
      </c>
      <c r="G15" s="116" cm="1">
        <f t="array" ref="G15">_xll.EQNXTDZ($A$1,$B15,G$1)</f>
        <v>107.15</v>
      </c>
      <c r="H15" s="116" cm="1">
        <f t="array" ref="H15">_xll.EQNXTDZ($A$1,$B15,H$1)</f>
        <v>100.9</v>
      </c>
      <c r="I15" s="116" cm="1">
        <f t="array" ref="I15">_xll.EQNXTDZ($A$1,$B15,I$1)</f>
        <v>102.6</v>
      </c>
      <c r="J15" s="116" cm="1">
        <f t="array" ref="J15">_xll.EQNXTDZ($A$1,$B15,J$1)</f>
        <v>94.6</v>
      </c>
      <c r="K15" s="116" cm="1">
        <f t="array" ref="K15">_xll.EQNXTDZ($A$1,$B15,K$1)</f>
        <v>77.5</v>
      </c>
      <c r="L15" s="116" cm="1">
        <f t="array" ref="L15">_xll.EQNXTDZ($A$1,$B15,L$1)</f>
        <v>73.25</v>
      </c>
      <c r="M15" s="116" cm="1">
        <f t="array" ref="M15">_xll.EQNXTDZ($A$1,$B15,M$1)</f>
        <v>75.099999999999994</v>
      </c>
      <c r="N15" s="116" cm="1">
        <f t="array" ref="N15">_xll.EQNXTDZ($A$1,$B15,N$1)</f>
        <v>80.8</v>
      </c>
      <c r="O15" s="116" cm="1">
        <f t="array" ref="O15">_xll.EQNXTDZ($A$1,$B15,O$1)</f>
        <v>77.3</v>
      </c>
      <c r="P15" s="116" cm="1">
        <f t="array" ref="P15">_xll.EQNXTDZ($A$1,$B15,P$1)</f>
        <v>74.599999999999994</v>
      </c>
      <c r="Q15" s="116" cm="1">
        <f t="array" ref="Q15">_xll.EQNXTDZ($A$1,$B15,Q$1)</f>
        <v>64.900000000000006</v>
      </c>
      <c r="R15" s="116" cm="1">
        <f t="array" ref="R15">_xll.EQNXTDZ($A$1,$B15,R$1)</f>
        <v>62.7</v>
      </c>
      <c r="S15" s="116" cm="1">
        <f t="array" ref="S15">_xll.EQNXTDZ($A$1,$B15,S$1)</f>
        <v>74</v>
      </c>
      <c r="T15" s="116" cm="1">
        <f t="array" ref="T15">_xll.EQNXTDZ($A$1,$B15,T$1)</f>
        <v>84.1</v>
      </c>
      <c r="U15" s="116" cm="1">
        <f t="array" ref="U15">_xll.EQNXTDZ($A$1,$B15,U$1)</f>
        <v>110.15</v>
      </c>
      <c r="V15" s="116" cm="1">
        <f t="array" ref="V15">_xll.EQNXTDZ($A$1,$B15,V$1)</f>
        <v>97.05</v>
      </c>
      <c r="W15" s="116" cm="1">
        <f t="array" ref="W15">_xll.EQNXTDZ($A$1,$B15,W$1)</f>
        <v>104.1</v>
      </c>
      <c r="X15" s="116" cm="1">
        <f t="array" ref="X15">_xll.EQNXTDZ($A$1,$B15,X$1)</f>
        <v>132.85</v>
      </c>
      <c r="Y15" s="116" cm="1">
        <f t="array" ref="Y15">_xll.EQNXTDZ($A$1,$B15,Y$1)</f>
        <v>148.5</v>
      </c>
      <c r="Z15" s="116" cm="1">
        <f t="array" ref="Z15">_xll.EQNXTDZ($A$1,$B15,Z$1)</f>
        <v>151.69999999999999</v>
      </c>
      <c r="AA15" s="116" cm="1">
        <f t="array" ref="AA15">_xll.EQNXTDZ($A$1,$B15,AA$1)</f>
        <v>185.15</v>
      </c>
      <c r="AB15" s="116" cm="1">
        <f t="array" ref="AB15">_xll.EQNXTDZ($A$1,$B15,AB$1)</f>
        <v>182.25</v>
      </c>
      <c r="AC15" s="116" cm="1">
        <f t="array" ref="AC15">_xll.EQNXTDZ($A$1,$B15,AC$1)</f>
        <v>187.85</v>
      </c>
      <c r="AD15" s="116" cm="1">
        <f t="array" ref="AD15">_xll.EQNXTDZ($A$1,$B15,AD$1)</f>
        <v>218.4</v>
      </c>
      <c r="AE15" s="116" cm="1">
        <f t="array" ref="AE15">_xll.EQNXTDZ($A$1,$B15,AE$1)</f>
        <v>219.1</v>
      </c>
      <c r="AF15" s="116" cm="1">
        <f t="array" ref="AF15">_xll.EQNXTDZ($A$1,$B15,AF$1)</f>
        <v>244.95</v>
      </c>
      <c r="AG15" s="116" cm="1">
        <f t="array" ref="AG15">_xll.EQNXTDZ($A$1,$B15,AG$1)</f>
        <v>231.6</v>
      </c>
      <c r="AH15" s="116" cm="1">
        <f t="array" ref="AH15">_xll.EQNXTDZ($A$1,$B15,AH$1)</f>
        <v>227</v>
      </c>
      <c r="AI15" s="116" cm="1">
        <f t="array" ref="AI15">_xll.EQNXTDZ($A$1,$B15,AI$1)</f>
        <v>245</v>
      </c>
      <c r="AJ15" s="116" cm="1">
        <f t="array" ref="AJ15">_xll.EQNXTDZ($A$1,$B15,AJ$1)</f>
        <v>253.2</v>
      </c>
      <c r="AK15" s="116" cm="1">
        <f t="array" ref="AK15">_xll.EQNXTDZ($A$1,$B15,AK$1)</f>
        <v>258.8</v>
      </c>
      <c r="AL15" s="116" cm="1">
        <f t="array" ref="AL15">_xll.EQNXTDZ($A$1,$B15,AL$1)</f>
        <v>261.3</v>
      </c>
      <c r="AM15" s="116" cm="1">
        <f t="array" ref="AM15">_xll.EQNXTDZ($A$1,$B15,AM$1)</f>
        <v>312.8</v>
      </c>
      <c r="AN15" s="116" cm="1">
        <f t="array" ref="AN15">_xll.EQNXTDZ($A$1,$B15,AN$1)</f>
        <v>301.2</v>
      </c>
      <c r="AO15" s="116" cm="1">
        <f t="array" ref="AO15">_xll.EQNXTDZ($A$1,$B15,AO$1)</f>
        <v>246</v>
      </c>
      <c r="AP15" s="116" cm="1">
        <f t="array" ref="AP15">_xll.EQNXTDZ($A$1,$B15,AP$1)</f>
        <v>243.2</v>
      </c>
      <c r="AQ15" s="116" cm="1">
        <f t="array" ref="AQ15">_xll.EQNXTDZ($A$1,$B15,AQ$1)</f>
        <v>265</v>
      </c>
      <c r="AR15" s="116" cm="1">
        <f t="array" ref="AR15">_xll.EQNXTDZ($A$1,$B15,AR$1)</f>
        <v>252.25</v>
      </c>
      <c r="AS15" s="116" cm="1">
        <f t="array" ref="AS15">_xll.EQNXTDZ($A$1,$B15,AS$1)</f>
        <v>278.3</v>
      </c>
      <c r="AT15" s="116" cm="1">
        <f t="array" ref="AT15">_xll.EQNXTDZ($A$1,$B15,AT$1)</f>
        <v>258.35000000000002</v>
      </c>
      <c r="AU15" s="116" cm="1">
        <f t="array" ref="AU15">_xll.EQNXTDZ($A$1,$B15,AU$1)</f>
        <v>211.2</v>
      </c>
      <c r="AV15" s="116" cm="1">
        <f t="array" ref="AV15">_xll.EQNXTDZ($A$1,$B15,AV$1)</f>
        <v>223.7</v>
      </c>
      <c r="AW15" s="116" cm="1">
        <f t="array" ref="AW15">_xll.EQNXTDZ($A$1,$B15,AW$1)</f>
        <v>266.8</v>
      </c>
      <c r="AX15" s="116" cm="1">
        <f t="array" ref="AX15">_xll.EQNXTDZ($A$1,$B15,AX$1)</f>
        <v>286.25</v>
      </c>
      <c r="AY15" s="116" cm="1">
        <f t="array" ref="AY15">_xll.EQNXTDZ($A$1,$B15,AY$1)</f>
        <v>297.85000000000002</v>
      </c>
      <c r="AZ15" s="116" cm="1">
        <f t="array" ref="AZ15">_xll.EQNXTDZ($A$1,$B15,AZ$1)</f>
        <v>312</v>
      </c>
      <c r="BA15" s="116" cm="1">
        <f t="array" ref="BA15">_xll.EQNXTDZ($A$1,$B15,BA$1)</f>
        <v>342.55</v>
      </c>
      <c r="BB15" s="116" cm="1">
        <f t="array" ref="BB15">_xll.EQNXTDZ($A$1,$B15,BB$1)</f>
        <v>359.7</v>
      </c>
      <c r="BC15" s="116" cm="1">
        <f t="array" ref="BC15">_xll.EQNXTDZ($A$1,$B15,BC$1)</f>
        <v>377</v>
      </c>
      <c r="BD15" s="116" cm="1">
        <f t="array" ref="BD15">_xll.EQNXTDZ($A$1,$B15,BD$1)</f>
        <v>287</v>
      </c>
      <c r="BE15" s="116" cm="1">
        <f t="array" ref="BE15">_xll.EQNXTDZ($A$1,$B15,BE$1)</f>
        <v>300.39999999999998</v>
      </c>
      <c r="BF15" s="116" cm="1">
        <f t="array" ref="BF15">_xll.EQNXTDZ($A$1,$B15,BF$1)</f>
        <v>321.3</v>
      </c>
      <c r="BG15" s="116" cm="1">
        <f t="array" ref="BG15">_xll.EQNXTDZ($A$1,$B15,BG$1)</f>
        <v>321.10000000000002</v>
      </c>
      <c r="BH15" s="116" cm="1">
        <f t="array" ref="BH15">_xll.EQNXTDZ($A$1,$B15,BH$1)</f>
        <v>366.6</v>
      </c>
      <c r="BI15" s="116" cm="1">
        <f t="array" ref="BI15">_xll.EQNXTDZ($A$1,$B15,BI$1)</f>
        <v>401.25</v>
      </c>
      <c r="BJ15" s="116" cm="1">
        <f t="array" ref="BJ15">_xll.EQNXTDZ($A$1,$B15,BJ$1)</f>
        <v>403.5</v>
      </c>
      <c r="BK15" s="116" cm="1">
        <f t="array" ref="BK15">_xll.EQNXTDZ($A$1,$B15,BK$1)</f>
        <v>440.8</v>
      </c>
      <c r="BL15" s="116" cm="1">
        <f t="array" ref="BL15">_xll.EQNXTDZ($A$1,$B15,BL$1)</f>
        <v>445.15</v>
      </c>
      <c r="BM15" s="116" cm="1">
        <f t="array" ref="BM15">_xll.EQNXTDZ($A$1,$B15,BM$1)</f>
        <v>504</v>
      </c>
      <c r="BN15" s="116" cm="1">
        <f t="array" ref="BN15">_xll.EQNXTDZ($A$1,$B15,BN$1)</f>
        <v>494.15</v>
      </c>
      <c r="BO15" s="116" cm="1">
        <f t="array" ref="BO15">_xll.EQNXTDZ($A$1,$B15,BO$1)</f>
        <v>508</v>
      </c>
      <c r="BP15" s="116" cm="1">
        <f t="array" ref="BP15">_xll.EQNXTDZ($A$1,$B15,BP$1)</f>
        <v>542</v>
      </c>
      <c r="BQ15" s="116" cm="1">
        <f t="array" ref="BQ15">_xll.EQNXTDZ($A$1,$B15,BQ$1)</f>
        <v>587.04999999999995</v>
      </c>
      <c r="BR15" s="116" cm="1">
        <f t="array" ref="BR15">_xll.EQNXTDZ($A$1,$B15,BR$1)</f>
        <v>594.65</v>
      </c>
      <c r="BS15" s="116" cm="1">
        <f t="array" ref="BS15">_xll.EQNXTDZ($A$1,$B15,BS$1)</f>
        <v>551.85</v>
      </c>
      <c r="BT15" s="116" cm="1">
        <f t="array" ref="BT15">_xll.EQNXTDZ($A$1,$B15,BT$1)</f>
        <v>591.04999999999995</v>
      </c>
      <c r="BU15" s="116" cm="1">
        <f t="array" ref="BU15">_xll.EQNXTDZ($A$1,$B15,BU$1)</f>
        <v>614.5</v>
      </c>
      <c r="BV15" s="116" cm="1">
        <f t="array" ref="BV15">_xll.EQNXTDZ($A$1,$B15,BV$1)</f>
        <v>524.75</v>
      </c>
      <c r="BW15" s="116" cm="1">
        <f t="array" ref="BW15">_xll.EQNXTDZ($A$1,$B15,BW$1)</f>
        <v>493.45</v>
      </c>
      <c r="BX15" s="116" cm="1">
        <f t="array" ref="BX15">_xll.EQNXTDZ($A$1,$B15,BX$1)</f>
        <v>510.8</v>
      </c>
      <c r="BY15" s="116" cm="1">
        <f t="array" ref="BY15">_xll.EQNXTDZ($A$1,$B15,BY$1)</f>
        <v>561.20000000000005</v>
      </c>
      <c r="BZ15" s="116" cm="1">
        <f t="array" ref="BZ15">_xll.EQNXTDZ($A$1,$B15,BZ$1)</f>
        <v>525</v>
      </c>
      <c r="CA15" s="116" cm="1">
        <f t="array" ref="CA15">_xll.EQNXTDZ($A$1,$B15,CA$1)</f>
        <v>471</v>
      </c>
      <c r="CB15" s="116" cm="1">
        <f t="array" ref="CB15">_xll.EQNXTDZ($A$1,$B15,CB$1)</f>
        <v>505</v>
      </c>
      <c r="CC15" s="116" cm="1">
        <f t="array" ref="CC15">_xll.EQNXTDZ($A$1,$B15,CC$1)</f>
        <v>527.35</v>
      </c>
      <c r="CD15" s="116" cm="1">
        <f t="array" ref="CD15">_xll.EQNXTDZ($A$1,$B15,CD$1)</f>
        <v>521</v>
      </c>
      <c r="CE15" s="116" cm="1">
        <f t="array" ref="CE15">_xll.EQNXTDZ($A$1,$B15,CE$1)</f>
        <v>501.65</v>
      </c>
      <c r="CF15" s="116" cm="1">
        <f t="array" ref="CF15">_xll.EQNXTDZ($A$1,$B15,CF$1)</f>
        <v>563.70000000000005</v>
      </c>
      <c r="CG15" s="116" cm="1">
        <f t="array" ref="CG15">_xll.EQNXTDZ($A$1,$B15,CG$1)</f>
        <v>599</v>
      </c>
      <c r="CH15" s="116" cm="1">
        <f t="array" ref="CH15">_xll.EQNXTDZ($A$1,$B15,CH$1)</f>
        <v>537</v>
      </c>
      <c r="CI15" s="116" cm="1">
        <f t="array" ref="CI15">_xll.EQNXTDZ($A$1,$B15,CI$1)</f>
        <v>574.95000000000005</v>
      </c>
      <c r="CJ15" s="116" cm="1">
        <f t="array" ref="CJ15">_xll.EQNXTDZ($A$1,$B15,CJ$1)</f>
        <v>557.20000000000005</v>
      </c>
      <c r="CK15" s="116" cm="1">
        <f t="array" ref="CK15">_xll.EQNXTDZ($A$1,$B15,CK$1)</f>
        <v>579.1</v>
      </c>
      <c r="CL15" s="116" cm="1">
        <f t="array" ref="CL15">_xll.EQNXTDZ($A$1,$B15,CL$1)</f>
        <v>606.79999999999995</v>
      </c>
      <c r="CM15" s="116" cm="1">
        <f t="array" ref="CM15">_xll.EQNXTDZ($A$1,$B15,CM$1)</f>
        <v>650</v>
      </c>
      <c r="CN15" s="116" cm="1">
        <f t="array" ref="CN15">_xll.EQNXTDZ($A$1,$B15,CN$1)</f>
        <v>658.35</v>
      </c>
      <c r="CO15" s="116" cm="1">
        <f t="array" ref="CO15">_xll.EQNXTDZ($A$1,$B15,CO$1)</f>
        <v>638.95000000000005</v>
      </c>
      <c r="CP15" s="116" cm="1">
        <f t="array" ref="CP15">_xll.EQNXTDZ($A$1,$B15,CP$1)</f>
        <v>646.85</v>
      </c>
      <c r="CQ15" s="116" cm="1">
        <f t="array" ref="CQ15">_xll.EQNXTDZ($A$1,$B15,CQ$1)</f>
        <v>656.6</v>
      </c>
      <c r="CR15" s="116" cm="1">
        <f t="array" ref="CR15">_xll.EQNXTDZ($A$1,$B15,CR$1)</f>
        <v>449.2</v>
      </c>
      <c r="CS15" s="116" cm="1">
        <f t="array" ref="CS15">_xll.EQNXTDZ($A$1,$B15,CS$1)</f>
        <v>461.25</v>
      </c>
      <c r="CT15" s="116" cm="1">
        <f t="array" ref="CT15">_xll.EQNXTDZ($A$1,$B15,CT$1)</f>
        <v>428</v>
      </c>
      <c r="CU15" s="116" cm="1">
        <f t="array" ref="CU15">_xll.EQNXTDZ($A$1,$B15,CU$1)</f>
        <v>505</v>
      </c>
      <c r="CV15" s="116" cm="1">
        <f t="array" ref="CV15">_xll.EQNXTDZ($A$1,$B15,CV$1)</f>
        <v>529.4</v>
      </c>
      <c r="CW15" s="116" cm="1">
        <f t="array" ref="CW15">_xll.EQNXTDZ($A$1,$B15,CW$1)</f>
        <v>585.75</v>
      </c>
      <c r="CX15" s="116" cm="1">
        <f t="array" ref="CX15">_xll.EQNXTDZ($A$1,$B15,CX$1)</f>
        <v>627</v>
      </c>
      <c r="CY15" s="116" cm="1">
        <f t="array" ref="CY15">_xll.EQNXTDZ($A$1,$B15,CY$1)</f>
        <v>656.55</v>
      </c>
      <c r="CZ15" s="116" cm="1">
        <f t="array" ref="CZ15">_xll.EQNXTDZ($A$1,$B15,CZ$1)</f>
        <v>696.2</v>
      </c>
      <c r="DA15" s="116" cm="1">
        <f t="array" ref="DA15">_xll.EQNXTDZ($A$1,$B15,DA$1)</f>
        <v>768.5</v>
      </c>
      <c r="DB15" s="116" cm="1">
        <f t="array" ref="DB15">_xll.EQNXTDZ($A$1,$B15,DB$1)</f>
        <v>822.3</v>
      </c>
      <c r="DC15" s="116" cm="1">
        <f t="array" ref="DC15">_xll.EQNXTDZ($A$1,$B15,DC$1)</f>
        <v>903.5</v>
      </c>
      <c r="DD15" s="116" cm="1">
        <f t="array" ref="DD15">_xll.EQNXTDZ($A$1,$B15,DD$1)</f>
        <v>954</v>
      </c>
      <c r="DE15" s="116" cm="1">
        <f t="array" ref="DE15">_xll.EQNXTDZ($A$1,$B15,DE$1)</f>
        <v>918</v>
      </c>
      <c r="DF15" s="116" cm="1">
        <f t="array" ref="DF15">_xll.EQNXTDZ($A$1,$B15,DF$1)</f>
        <v>938</v>
      </c>
      <c r="DG15" s="116" cm="1">
        <f t="array" ref="DG15">_xll.EQNXTDZ($A$1,$B15,DG$1)</f>
        <v>1002.45</v>
      </c>
      <c r="DH15" s="116" cm="1">
        <f t="array" ref="DH15">_xll.EQNXTDZ($A$1,$B15,DH$1)</f>
        <v>997.75</v>
      </c>
      <c r="DI15" s="116" cm="1">
        <f t="array" ref="DI15">_xll.EQNXTDZ($A$1,$B15,DI$1)</f>
        <v>955.2</v>
      </c>
      <c r="DJ15" s="116" cm="1">
        <f t="array" ref="DJ15">_xll.EQNXTDZ($A$1,$B15,DJ$1)</f>
        <v>1004.9</v>
      </c>
      <c r="DK15" s="116" cm="1">
        <f t="array" ref="DK15">_xll.EQNXTDZ($A$1,$B15,DK$1)</f>
        <v>1143.5999999999999</v>
      </c>
      <c r="DL15" s="116" cm="1">
        <f t="array" ref="DL15">_xll.EQNXTDZ($A$1,$B15,DL$1)</f>
        <v>1131.55</v>
      </c>
      <c r="DM15" s="116" cm="1">
        <f t="array" ref="DM15">_xll.EQNXTDZ($A$1,$B15,DM$1)</f>
        <v>1146.05</v>
      </c>
      <c r="DN15" s="116" cm="1">
        <f t="array" ref="DN15">_xll.EQNXTDZ($A$1,$B15,DN$1)</f>
        <v>1150</v>
      </c>
      <c r="DO15" s="116" cm="1">
        <f t="array" ref="DO15">_xll.EQNXTDZ($A$1,$B15,DO$1)</f>
        <v>1138.8</v>
      </c>
      <c r="DP15" s="116" cm="1">
        <f t="array" ref="DP15">_xll.EQNXTDZ($A$1,$B15,DP$1)</f>
        <v>1100.3</v>
      </c>
      <c r="DQ15" s="116" cm="1">
        <f t="array" ref="DQ15">_xll.EQNXTDZ($A$1,$B15,DQ$1)</f>
        <v>1225</v>
      </c>
      <c r="DR15" s="116" cm="1">
        <f t="array" ref="DR15">_xll.EQNXTDZ($A$1,$B15,DR$1)</f>
        <v>923.5</v>
      </c>
      <c r="DS15" s="116" cm="1">
        <f t="array" ref="DS15">_xll.EQNXTDZ($A$1,$B15,DS$1)</f>
        <v>934.4</v>
      </c>
      <c r="DT15" s="116" cm="1">
        <f t="array" ref="DT15">_xll.EQNXTDZ($A$1,$B15,DT$1)</f>
        <v>932.6</v>
      </c>
      <c r="DU15" s="116" cm="1">
        <f t="array" ref="DU15">_xll.EQNXTDZ($A$1,$B15,DU$1)</f>
        <v>958</v>
      </c>
      <c r="DV15" s="116" cm="1">
        <f t="array" ref="DV15">_xll.EQNXTDZ($A$1,$B15,DV$1)</f>
        <v>868.7</v>
      </c>
      <c r="DW15" s="116" cm="1">
        <f t="array" ref="DW15">_xll.EQNXTDZ($A$1,$B15,DW$1)</f>
        <v>857.9</v>
      </c>
      <c r="DX15" s="116" cm="1">
        <f t="array" ref="DX15">_xll.EQNXTDZ($A$1,$B15,DX$1)</f>
        <v>804</v>
      </c>
      <c r="DY15" s="116" cm="1">
        <f t="array" ref="DY15">_xll.EQNXTDZ($A$1,$B15,DY$1)</f>
        <v>770.55</v>
      </c>
      <c r="DZ15" s="116" cm="1">
        <f t="array" ref="DZ15">_xll.EQNXTDZ($A$1,$B15,DZ$1)</f>
        <v>737.6</v>
      </c>
      <c r="EA15" s="116" cm="1">
        <f t="array" ref="EA15">_xll.EQNXTDZ($A$1,$B15,EA$1)</f>
        <v>784.6</v>
      </c>
      <c r="EB15" s="116" cm="1">
        <f t="array" ref="EB15">_xll.EQNXTDZ($A$1,$B15,EB$1)</f>
        <v>805.55</v>
      </c>
      <c r="EC15" s="116" cm="1">
        <f t="array" ref="EC15">_xll.EQNXTDZ($A$1,$B15,EC$1)</f>
        <v>762.8</v>
      </c>
      <c r="ED15" s="116" cm="1">
        <f t="array" ref="ED15">_xll.EQNXTDZ($A$1,$B15,ED$1)</f>
        <v>785.9</v>
      </c>
      <c r="EE15" s="116" cm="1">
        <f t="array" ref="EE15">_xll.EQNXTDZ($A$1,$B15,EE$1)</f>
        <v>747.9</v>
      </c>
      <c r="EF15" s="116" cm="1">
        <f t="array" ref="EF15">_xll.EQNXTDZ($A$1,$B15,EF$1)</f>
        <v>745</v>
      </c>
      <c r="EG15" s="116" cm="1">
        <f t="array" ref="EG15">_xll.EQNXTDZ($A$1,$B15,EG$1)</f>
        <v>781</v>
      </c>
      <c r="EH15" s="116" cm="1">
        <f t="array" ref="EH15">_xll.EQNXTDZ($A$1,$B15,EH$1)</f>
        <v>851.85</v>
      </c>
      <c r="EI15" s="116" cm="1">
        <f t="array" ref="EI15">_xll.EQNXTDZ($A$1,$B15,EI$1)</f>
        <v>806.9</v>
      </c>
      <c r="EJ15" s="116" cm="1">
        <f t="array" ref="EJ15">_xll.EQNXTDZ($A$1,$B15,EJ$1)</f>
        <v>811.5</v>
      </c>
      <c r="EK15" s="116" cm="1">
        <f t="array" ref="EK15">_xll.EQNXTDZ($A$1,$B15,EK$1)</f>
        <v>825.65</v>
      </c>
      <c r="EL15" s="116" cm="1">
        <f t="array" ref="EL15">_xll.EQNXTDZ($A$1,$B15,EL$1)</f>
        <v>968.05</v>
      </c>
      <c r="EM15" s="116" cm="1">
        <f t="array" ref="EM15">_xll.EQNXTDZ($A$1,$B15,EM$1)</f>
        <v>1015.25</v>
      </c>
      <c r="EN15" s="116" cm="1">
        <f t="array" ref="EN15">_xll.EQNXTDZ($A$1,$B15,EN$1)</f>
        <v>1024.5</v>
      </c>
      <c r="EO15" s="116" cm="1">
        <f t="array" ref="EO15">_xll.EQNXTDZ($A$1,$B15,EO$1)</f>
        <v>1103</v>
      </c>
      <c r="EP15" s="116" cm="1">
        <f t="array" ref="EP15">_xll.EQNXTDZ($A$1,$B15,EP$1)</f>
        <v>1257.05</v>
      </c>
      <c r="EQ15" s="116" cm="1">
        <f t="array" ref="EQ15">_xll.EQNXTDZ($A$1,$B15,EQ$1)</f>
        <v>1265.8</v>
      </c>
      <c r="ER15" s="116" cm="1">
        <f t="array" ref="ER15">_xll.EQNXTDZ($A$1,$B15,ER$1)</f>
        <v>1403.45</v>
      </c>
      <c r="ES15" s="116" cm="1">
        <f t="array" ref="ES15">_xll.EQNXTDZ($A$1,$B15,ES$1)</f>
        <v>1418</v>
      </c>
      <c r="ET15" s="116" cm="1">
        <f t="array" ref="ET15">_xll.EQNXTDZ($A$1,$B15,ET$1)</f>
        <v>1749.2</v>
      </c>
      <c r="EU15" s="116" cm="1">
        <f t="array" ref="EU15">_xll.EQNXTDZ($A$1,$B15,EU$1)</f>
        <v>1617.5</v>
      </c>
      <c r="EV15" s="116" cm="1">
        <f t="array" ref="EV15">_xll.EQNXTDZ($A$1,$B15,EV$1)</f>
        <v>1618.45</v>
      </c>
      <c r="EW15" s="116" cm="1">
        <f t="array" ref="EW15">_xll.EQNXTDZ($A$1,$B15,EW$1)</f>
        <v>1655.85</v>
      </c>
      <c r="EX15" s="116" cm="1">
        <f t="array" ref="EX15">_xll.EQNXTDZ($A$1,$B15,EX$1)</f>
        <v>1240.05</v>
      </c>
      <c r="EY15" s="116" cm="1">
        <f t="array" ref="EY15">_xll.EQNXTDZ($A$1,$B15,EY$1)</f>
        <v>1135.55</v>
      </c>
      <c r="EZ15" s="116" cm="1">
        <f t="array" ref="EZ15">_xll.EQNXTDZ($A$1,$B15,EZ$1)</f>
        <v>1321.3</v>
      </c>
      <c r="FA15" s="116" cm="1">
        <f t="array" ref="FA15">_xll.EQNXTDZ($A$1,$B15,FA$1)</f>
        <v>1172.2</v>
      </c>
      <c r="FB15" s="116" cm="1">
        <f t="array" ref="FB15">_xll.EQNXTDZ($A$1,$B15,FB$1)</f>
        <v>1185.8</v>
      </c>
      <c r="FC15" s="116" cm="1">
        <f t="array" ref="FC15">_xll.EQNXTDZ($A$1,$B15,FC$1)</f>
        <v>1225.45</v>
      </c>
      <c r="FD15" s="116" cm="1">
        <f t="array" ref="FD15">_xll.EQNXTDZ($A$1,$B15,FD$1)</f>
        <v>1294.6500000000001</v>
      </c>
      <c r="FE15" s="116" cm="1">
        <f t="array" ref="FE15">_xll.EQNXTDZ($A$1,$B15,FE$1)</f>
        <v>1202.2</v>
      </c>
      <c r="FF15" s="116" cm="1">
        <f t="array" ref="FF15">_xll.EQNXTDZ($A$1,$B15,FF$1)</f>
        <v>1326.15</v>
      </c>
      <c r="FG15" s="116" cm="1">
        <f t="array" ref="FG15">_xll.EQNXTDZ($A$1,$B15,FG$1)</f>
        <v>1333.3</v>
      </c>
      <c r="FH15" s="116" cm="1">
        <f t="array" ref="FH15">_xll.EQNXTDZ($A$1,$B15,FH$1)</f>
        <v>1288</v>
      </c>
      <c r="FI15" s="116" cm="1">
        <f t="array" ref="FI15">_xll.EQNXTDZ($A$1,$B15,FI$1)</f>
        <v>1306.75</v>
      </c>
      <c r="FJ15" s="116" cm="1">
        <f t="array" ref="FJ15">_xll.EQNXTDZ($A$1,$B15,FJ$1)</f>
        <v>1274.3</v>
      </c>
      <c r="FK15" s="116" cm="1">
        <f t="array" ref="FK15">_xll.EQNXTDZ($A$1,$B15,FK$1)</f>
        <v>1270.8</v>
      </c>
      <c r="FL15" s="116" cm="1">
        <f t="array" ref="FL15">_xll.EQNXTDZ($A$1,$B15,FL$1)</f>
        <v>1222.5</v>
      </c>
      <c r="FM15" s="116" cm="1">
        <f t="array" ref="FM15">_xll.EQNXTDZ($A$1,$B15,FM$1)</f>
        <v>1187.5</v>
      </c>
      <c r="FN15" s="116" cm="1">
        <f t="array" ref="FN15">_xll.EQNXTDZ($A$1,$B15,FN$1)</f>
        <v>1199.95</v>
      </c>
      <c r="FO15" s="116" cm="1">
        <f t="array" ref="FO15">_xll.EQNXTDZ($A$1,$B15,FO$1)</f>
        <v>1203.95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98.55</v>
      </c>
      <c r="HQ15" s="116">
        <f>+MIN(G15:I15)</f>
        <v>100.9</v>
      </c>
      <c r="HR15" s="116">
        <f>+MIN(J15:L15)</f>
        <v>73.25</v>
      </c>
      <c r="HS15" s="116">
        <f>+MIN(M15:O15)</f>
        <v>75.099999999999994</v>
      </c>
      <c r="HT15" s="116">
        <f>+MIN(P15:R15)</f>
        <v>62.7</v>
      </c>
      <c r="HU15" s="116">
        <f>+MIN(S15:U15)</f>
        <v>74</v>
      </c>
      <c r="HV15" s="116">
        <f>+MIN(V15:X15)</f>
        <v>97.05</v>
      </c>
      <c r="HW15" s="116">
        <f>+MIN(Y15:AA15)</f>
        <v>148.5</v>
      </c>
      <c r="HX15" s="116">
        <f>+MIN(AB15:AD15)</f>
        <v>182.25</v>
      </c>
      <c r="HY15" s="116">
        <f>+MIN(AE15:AG15)</f>
        <v>219.1</v>
      </c>
      <c r="HZ15" s="116">
        <f>+MIN(AH15:AJ15)</f>
        <v>227</v>
      </c>
      <c r="IA15" s="116">
        <f>+MIN(AK15:AM15)</f>
        <v>258.8</v>
      </c>
      <c r="IB15" s="116">
        <f>+MIN(AN15:AP15)</f>
        <v>243.2</v>
      </c>
      <c r="IC15" s="116">
        <f>+MIN(AQ15:AS15)</f>
        <v>252.25</v>
      </c>
      <c r="ID15" s="116">
        <f>+MIN(AT15:AV15)</f>
        <v>211.2</v>
      </c>
      <c r="IE15" s="116">
        <f>+MIN(AW15:AY15)</f>
        <v>266.8</v>
      </c>
      <c r="IF15" s="116">
        <f>+MIN(AZ15:BB15)</f>
        <v>312</v>
      </c>
      <c r="IG15" s="116">
        <f>+MIN(BC15:BE15)</f>
        <v>287</v>
      </c>
      <c r="IH15" s="116">
        <f>+MIN(BF15:BH15)</f>
        <v>321.10000000000002</v>
      </c>
      <c r="II15" s="116">
        <f>+MIN(BI15:BK15)</f>
        <v>401.25</v>
      </c>
      <c r="IJ15" s="116">
        <f>+MIN(BL15:BN15)</f>
        <v>445.15</v>
      </c>
      <c r="IK15" s="116">
        <f>+MIN(BO15:BQ15)</f>
        <v>508</v>
      </c>
      <c r="IL15" s="116">
        <f>+MIN(BR15:BT15)</f>
        <v>551.85</v>
      </c>
      <c r="IM15" s="116">
        <f>+MIN(BU15:BW15)</f>
        <v>493.45</v>
      </c>
      <c r="IN15" s="116">
        <f>+MIN(BX15:BZ15)</f>
        <v>510.8</v>
      </c>
      <c r="IO15" s="116">
        <f>+MIN(CA15:CC15)</f>
        <v>471</v>
      </c>
      <c r="IP15" s="116">
        <f>+MIN(CD15:CF15)</f>
        <v>501.65</v>
      </c>
      <c r="IQ15" s="116">
        <f>+MIN(CG15:CI15)</f>
        <v>537</v>
      </c>
      <c r="IR15" s="116">
        <f>+MIN(CJ15:CL15)</f>
        <v>557.20000000000005</v>
      </c>
      <c r="IS15" s="116">
        <f>+MIN(CM15:CO15)</f>
        <v>638.95000000000005</v>
      </c>
      <c r="IT15" s="116">
        <f>+MIN(CP15:CR15)</f>
        <v>449.2</v>
      </c>
      <c r="IU15" s="116">
        <f>+MIN(CS15:CU15)</f>
        <v>428</v>
      </c>
      <c r="IV15" s="116">
        <f>+MIN(CV15:CX15)</f>
        <v>529.4</v>
      </c>
      <c r="IW15" s="116">
        <f>+MIN(CY15:DA15)</f>
        <v>656.55</v>
      </c>
      <c r="IX15" s="116">
        <f>+MIN(DB15:DD15)</f>
        <v>822.3</v>
      </c>
      <c r="IY15" s="116">
        <f>+MIN(DE15:DG15)</f>
        <v>918</v>
      </c>
      <c r="IZ15" s="116">
        <f>+MIN(DH15:DJ15)</f>
        <v>955.2</v>
      </c>
      <c r="JA15" s="116">
        <f>+MIN(DK15:DM15)</f>
        <v>1131.55</v>
      </c>
      <c r="JB15" s="116">
        <f>+MIN(DN15:DP15)</f>
        <v>1100.3</v>
      </c>
      <c r="JC15" s="116">
        <f>+MIN(DQ15:DS15)</f>
        <v>923.5</v>
      </c>
      <c r="JD15" s="116">
        <f>+MIN(DT15:DV15)</f>
        <v>868.7</v>
      </c>
      <c r="JE15" s="116">
        <f>+MIN(DW15:DY15)</f>
        <v>770.55</v>
      </c>
      <c r="JF15" s="116">
        <f>+MIN(DZ15:EB15)</f>
        <v>737.6</v>
      </c>
      <c r="JG15" s="116">
        <f>+MIN(EC15:EE15)</f>
        <v>747.9</v>
      </c>
      <c r="JH15" s="116">
        <f>+MIN(EF15:EH15)</f>
        <v>745</v>
      </c>
      <c r="JI15" s="116">
        <f>+MIN(EI15:EK15)</f>
        <v>806.9</v>
      </c>
      <c r="JJ15" s="116">
        <f>+MIN(EL15:EN15)</f>
        <v>968.05</v>
      </c>
      <c r="JK15" s="116">
        <f>MIN(EO15:EQ15)</f>
        <v>1103</v>
      </c>
      <c r="JL15" s="116">
        <f>MIN(ER15:ET15)</f>
        <v>1403.45</v>
      </c>
      <c r="JM15" s="116">
        <f>MIN(EU15:EW15)</f>
        <v>1617.5</v>
      </c>
      <c r="JN15" s="116">
        <f>MIN(EX15:EZ15)</f>
        <v>1135.55</v>
      </c>
      <c r="JO15" s="116">
        <f>MIN(FA15:FC15)</f>
        <v>1172.2</v>
      </c>
      <c r="JP15" s="116">
        <f>MIN(FD15:FF15)</f>
        <v>1202.2</v>
      </c>
      <c r="JQ15" s="116">
        <f>MIN(FG15:FI15)</f>
        <v>1288</v>
      </c>
      <c r="JR15" s="116">
        <f>MIN(FJ15:FL15)</f>
        <v>1222.5</v>
      </c>
      <c r="JS15" s="116">
        <f>MIN(FM15:FO15)</f>
        <v>1187.5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104.65</v>
      </c>
      <c r="D16" s="116" cm="1">
        <f t="array" ref="D16">_xll.EQNXTDZ($A$1,$B16,D$1)</f>
        <v>106.05</v>
      </c>
      <c r="E16" s="116" cm="1">
        <f t="array" ref="E16">_xll.EQNXTDZ($A$1,$B16,E$1)</f>
        <v>110.5</v>
      </c>
      <c r="F16" s="116" cm="1">
        <f t="array" ref="F16">_xll.EQNXTDZ($A$1,$B16,F$1)</f>
        <v>124.6</v>
      </c>
      <c r="G16" s="116" cm="1">
        <f t="array" ref="G16">_xll.EQNXTDZ($A$1,$B16,G$1)</f>
        <v>110.75</v>
      </c>
      <c r="H16" s="116" cm="1">
        <f t="array" ref="H16">_xll.EQNXTDZ($A$1,$B16,H$1)</f>
        <v>108.2</v>
      </c>
      <c r="I16" s="116" cm="1">
        <f t="array" ref="I16">_xll.EQNXTDZ($A$1,$B16,I$1)</f>
        <v>105.85</v>
      </c>
      <c r="J16" s="116" cm="1">
        <f t="array" ref="J16">_xll.EQNXTDZ($A$1,$B16,J$1)</f>
        <v>97.8</v>
      </c>
      <c r="K16" s="116" cm="1">
        <f t="array" ref="K16">_xll.EQNXTDZ($A$1,$B16,K$1)</f>
        <v>79.349999999999994</v>
      </c>
      <c r="L16" s="116" cm="1">
        <f t="array" ref="L16">_xll.EQNXTDZ($A$1,$B16,L$1)</f>
        <v>75.45</v>
      </c>
      <c r="M16" s="116" cm="1">
        <f t="array" ref="M16">_xll.EQNXTDZ($A$1,$B16,M$1)</f>
        <v>85.3</v>
      </c>
      <c r="N16" s="116" cm="1">
        <f t="array" ref="N16">_xll.EQNXTDZ($A$1,$B16,N$1)</f>
        <v>83.7</v>
      </c>
      <c r="O16" s="116" cm="1">
        <f t="array" ref="O16">_xll.EQNXTDZ($A$1,$B16,O$1)</f>
        <v>80.95</v>
      </c>
      <c r="P16" s="116" cm="1">
        <f t="array" ref="P16">_xll.EQNXTDZ($A$1,$B16,P$1)</f>
        <v>77.7</v>
      </c>
      <c r="Q16" s="116" cm="1">
        <f t="array" ref="Q16">_xll.EQNXTDZ($A$1,$B16,Q$1)</f>
        <v>67.05</v>
      </c>
      <c r="R16" s="116" cm="1">
        <f t="array" ref="R16">_xll.EQNXTDZ($A$1,$B16,R$1)</f>
        <v>73.95</v>
      </c>
      <c r="S16" s="116" cm="1">
        <f t="array" ref="S16">_xll.EQNXTDZ($A$1,$B16,S$1)</f>
        <v>89</v>
      </c>
      <c r="T16" s="116" cm="1">
        <f t="array" ref="T16">_xll.EQNXTDZ($A$1,$B16,T$1)</f>
        <v>110.75</v>
      </c>
      <c r="U16" s="116" cm="1">
        <f t="array" ref="U16">_xll.EQNXTDZ($A$1,$B16,U$1)</f>
        <v>115.8</v>
      </c>
      <c r="V16" s="116" cm="1">
        <f t="array" ref="V16">_xll.EQNXTDZ($A$1,$B16,V$1)</f>
        <v>106.1</v>
      </c>
      <c r="W16" s="116" cm="1">
        <f t="array" ref="W16">_xll.EQNXTDZ($A$1,$B16,W$1)</f>
        <v>133.5</v>
      </c>
      <c r="X16" s="116" cm="1">
        <f t="array" ref="X16">_xll.EQNXTDZ($A$1,$B16,X$1)</f>
        <v>160.94999999999999</v>
      </c>
      <c r="Y16" s="116" cm="1">
        <f t="array" ref="Y16">_xll.EQNXTDZ($A$1,$B16,Y$1)</f>
        <v>154.75</v>
      </c>
      <c r="Z16" s="116" cm="1">
        <f t="array" ref="Z16">_xll.EQNXTDZ($A$1,$B16,Z$1)</f>
        <v>186.7</v>
      </c>
      <c r="AA16" s="116" cm="1">
        <f t="array" ref="AA16">_xll.EQNXTDZ($A$1,$B16,AA$1)</f>
        <v>218.2</v>
      </c>
      <c r="AB16" s="116" cm="1">
        <f t="array" ref="AB16">_xll.EQNXTDZ($A$1,$B16,AB$1)</f>
        <v>192.3</v>
      </c>
      <c r="AC16" s="116" cm="1">
        <f t="array" ref="AC16">_xll.EQNXTDZ($A$1,$B16,AC$1)</f>
        <v>244.3</v>
      </c>
      <c r="AD16" s="116" cm="1">
        <f t="array" ref="AD16">_xll.EQNXTDZ($A$1,$B16,AD$1)</f>
        <v>241.8</v>
      </c>
      <c r="AE16" s="116" cm="1">
        <f t="array" ref="AE16">_xll.EQNXTDZ($A$1,$B16,AE$1)</f>
        <v>251.4</v>
      </c>
      <c r="AF16" s="116" cm="1">
        <f t="array" ref="AF16">_xll.EQNXTDZ($A$1,$B16,AF$1)</f>
        <v>270.55</v>
      </c>
      <c r="AG16" s="116" cm="1">
        <f t="array" ref="AG16">_xll.EQNXTDZ($A$1,$B16,AG$1)</f>
        <v>242.1</v>
      </c>
      <c r="AH16" s="116" cm="1">
        <f t="array" ref="AH16">_xll.EQNXTDZ($A$1,$B16,AH$1)</f>
        <v>268.89999999999998</v>
      </c>
      <c r="AI16" s="116" cm="1">
        <f t="array" ref="AI16">_xll.EQNXTDZ($A$1,$B16,AI$1)</f>
        <v>253.1</v>
      </c>
      <c r="AJ16" s="116" cm="1">
        <f t="array" ref="AJ16">_xll.EQNXTDZ($A$1,$B16,AJ$1)</f>
        <v>279.35000000000002</v>
      </c>
      <c r="AK16" s="116" cm="1">
        <f t="array" ref="AK16">_xll.EQNXTDZ($A$1,$B16,AK$1)</f>
        <v>280.55</v>
      </c>
      <c r="AL16" s="116" cm="1">
        <f t="array" ref="AL16">_xll.EQNXTDZ($A$1,$B16,AL$1)</f>
        <v>332.95</v>
      </c>
      <c r="AM16" s="116" cm="1">
        <f t="array" ref="AM16">_xll.EQNXTDZ($A$1,$B16,AM$1)</f>
        <v>314.60000000000002</v>
      </c>
      <c r="AN16" s="116" cm="1">
        <f t="array" ref="AN16">_xll.EQNXTDZ($A$1,$B16,AN$1)</f>
        <v>317.60000000000002</v>
      </c>
      <c r="AO16" s="116" cm="1">
        <f t="array" ref="AO16">_xll.EQNXTDZ($A$1,$B16,AO$1)</f>
        <v>273.35000000000002</v>
      </c>
      <c r="AP16" s="116" cm="1">
        <f t="array" ref="AP16">_xll.EQNXTDZ($A$1,$B16,AP$1)</f>
        <v>268.3</v>
      </c>
      <c r="AQ16" s="116" cm="1">
        <f t="array" ref="AQ16">_xll.EQNXTDZ($A$1,$B16,AQ$1)</f>
        <v>283.10000000000002</v>
      </c>
      <c r="AR16" s="116" cm="1">
        <f t="array" ref="AR16">_xll.EQNXTDZ($A$1,$B16,AR$1)</f>
        <v>288.5</v>
      </c>
      <c r="AS16" s="116" cm="1">
        <f t="array" ref="AS16">_xll.EQNXTDZ($A$1,$B16,AS$1)</f>
        <v>323.7</v>
      </c>
      <c r="AT16" s="116" cm="1">
        <f t="array" ref="AT16">_xll.EQNXTDZ($A$1,$B16,AT$1)</f>
        <v>286.25</v>
      </c>
      <c r="AU16" s="116" cm="1">
        <f t="array" ref="AU16">_xll.EQNXTDZ($A$1,$B16,AU$1)</f>
        <v>222.55</v>
      </c>
      <c r="AV16" s="116" cm="1">
        <f t="array" ref="AV16">_xll.EQNXTDZ($A$1,$B16,AV$1)</f>
        <v>276.95</v>
      </c>
      <c r="AW16" s="116" cm="1">
        <f t="array" ref="AW16">_xll.EQNXTDZ($A$1,$B16,AW$1)</f>
        <v>293.2</v>
      </c>
      <c r="AX16" s="116" cm="1">
        <f t="array" ref="AX16">_xll.EQNXTDZ($A$1,$B16,AX$1)</f>
        <v>335.9</v>
      </c>
      <c r="AY16" s="116" cm="1">
        <f t="array" ref="AY16">_xll.EQNXTDZ($A$1,$B16,AY$1)</f>
        <v>321.3</v>
      </c>
      <c r="AZ16" s="116" cm="1">
        <f t="array" ref="AZ16">_xll.EQNXTDZ($A$1,$B16,AZ$1)</f>
        <v>349.75</v>
      </c>
      <c r="BA16" s="116" cm="1">
        <f t="array" ref="BA16">_xll.EQNXTDZ($A$1,$B16,BA$1)</f>
        <v>390.6</v>
      </c>
      <c r="BB16" s="116" cm="1">
        <f t="array" ref="BB16">_xll.EQNXTDZ($A$1,$B16,BB$1)</f>
        <v>379.5</v>
      </c>
      <c r="BC16" s="116" cm="1">
        <f t="array" ref="BC16">_xll.EQNXTDZ($A$1,$B16,BC$1)</f>
        <v>387.15</v>
      </c>
      <c r="BD16" s="116" cm="1">
        <f t="array" ref="BD16">_xll.EQNXTDZ($A$1,$B16,BD$1)</f>
        <v>314.5</v>
      </c>
      <c r="BE16" s="116" cm="1">
        <f t="array" ref="BE16">_xll.EQNXTDZ($A$1,$B16,BE$1)</f>
        <v>328.25</v>
      </c>
      <c r="BF16" s="116" cm="1">
        <f t="array" ref="BF16">_xll.EQNXTDZ($A$1,$B16,BF$1)</f>
        <v>327.5</v>
      </c>
      <c r="BG16" s="116" cm="1">
        <f t="array" ref="BG16">_xll.EQNXTDZ($A$1,$B16,BG$1)</f>
        <v>372</v>
      </c>
      <c r="BH16" s="116" cm="1">
        <f t="array" ref="BH16">_xll.EQNXTDZ($A$1,$B16,BH$1)</f>
        <v>412.15</v>
      </c>
      <c r="BI16" s="116" cm="1">
        <f t="array" ref="BI16">_xll.EQNXTDZ($A$1,$B16,BI$1)</f>
        <v>410.45</v>
      </c>
      <c r="BJ16" s="116" cm="1">
        <f t="array" ref="BJ16">_xll.EQNXTDZ($A$1,$B16,BJ$1)</f>
        <v>486.4</v>
      </c>
      <c r="BK16" s="116" cm="1">
        <f t="array" ref="BK16">_xll.EQNXTDZ($A$1,$B16,BK$1)</f>
        <v>457.85</v>
      </c>
      <c r="BL16" s="116" cm="1">
        <f t="array" ref="BL16">_xll.EQNXTDZ($A$1,$B16,BL$1)</f>
        <v>503.75</v>
      </c>
      <c r="BM16" s="116" cm="1">
        <f t="array" ref="BM16">_xll.EQNXTDZ($A$1,$B16,BM$1)</f>
        <v>524.35</v>
      </c>
      <c r="BN16" s="116" cm="1">
        <f t="array" ref="BN16">_xll.EQNXTDZ($A$1,$B16,BN$1)</f>
        <v>504.7</v>
      </c>
      <c r="BO16" s="116" cm="1">
        <f t="array" ref="BO16">_xll.EQNXTDZ($A$1,$B16,BO$1)</f>
        <v>568.35</v>
      </c>
      <c r="BP16" s="116" cm="1">
        <f t="array" ref="BP16">_xll.EQNXTDZ($A$1,$B16,BP$1)</f>
        <v>636.70000000000005</v>
      </c>
      <c r="BQ16" s="116" cm="1">
        <f t="array" ref="BQ16">_xll.EQNXTDZ($A$1,$B16,BQ$1)</f>
        <v>655.7</v>
      </c>
      <c r="BR16" s="116" cm="1">
        <f t="array" ref="BR16">_xll.EQNXTDZ($A$1,$B16,BR$1)</f>
        <v>604.4</v>
      </c>
      <c r="BS16" s="116" cm="1">
        <f t="array" ref="BS16">_xll.EQNXTDZ($A$1,$B16,BS$1)</f>
        <v>608.75</v>
      </c>
      <c r="BT16" s="116" cm="1">
        <f t="array" ref="BT16">_xll.EQNXTDZ($A$1,$B16,BT$1)</f>
        <v>620.6</v>
      </c>
      <c r="BU16" s="116" cm="1">
        <f t="array" ref="BU16">_xll.EQNXTDZ($A$1,$B16,BU$1)</f>
        <v>643.6</v>
      </c>
      <c r="BV16" s="116" cm="1">
        <f t="array" ref="BV16">_xll.EQNXTDZ($A$1,$B16,BV$1)</f>
        <v>540.20000000000005</v>
      </c>
      <c r="BW16" s="116" cm="1">
        <f t="array" ref="BW16">_xll.EQNXTDZ($A$1,$B16,BW$1)</f>
        <v>521.65</v>
      </c>
      <c r="BX16" s="116" cm="1">
        <f t="array" ref="BX16">_xll.EQNXTDZ($A$1,$B16,BX$1)</f>
        <v>568.20000000000005</v>
      </c>
      <c r="BY16" s="116" cm="1">
        <f t="array" ref="BY16">_xll.EQNXTDZ($A$1,$B16,BY$1)</f>
        <v>616.6</v>
      </c>
      <c r="BZ16" s="116" cm="1">
        <f t="array" ref="BZ16">_xll.EQNXTDZ($A$1,$B16,BZ$1)</f>
        <v>529.15</v>
      </c>
      <c r="CA16" s="116" cm="1">
        <f t="array" ref="CA16">_xll.EQNXTDZ($A$1,$B16,CA$1)</f>
        <v>538.04999999999995</v>
      </c>
      <c r="CB16" s="116" cm="1">
        <f t="array" ref="CB16">_xll.EQNXTDZ($A$1,$B16,CB$1)</f>
        <v>553.79999999999995</v>
      </c>
      <c r="CC16" s="116" cm="1">
        <f t="array" ref="CC16">_xll.EQNXTDZ($A$1,$B16,CC$1)</f>
        <v>552.45000000000005</v>
      </c>
      <c r="CD16" s="116" cm="1">
        <f t="array" ref="CD16">_xll.EQNXTDZ($A$1,$B16,CD$1)</f>
        <v>540.5</v>
      </c>
      <c r="CE16" s="116" cm="1">
        <f t="array" ref="CE16">_xll.EQNXTDZ($A$1,$B16,CE$1)</f>
        <v>566.1</v>
      </c>
      <c r="CF16" s="116" cm="1">
        <f t="array" ref="CF16">_xll.EQNXTDZ($A$1,$B16,CF$1)</f>
        <v>630.45000000000005</v>
      </c>
      <c r="CG16" s="116" cm="1">
        <f t="array" ref="CG16">_xll.EQNXTDZ($A$1,$B16,CG$1)</f>
        <v>602.85</v>
      </c>
      <c r="CH16" s="116" cm="1">
        <f t="array" ref="CH16">_xll.EQNXTDZ($A$1,$B16,CH$1)</f>
        <v>578.9</v>
      </c>
      <c r="CI16" s="116" cm="1">
        <f t="array" ref="CI16">_xll.EQNXTDZ($A$1,$B16,CI$1)</f>
        <v>643.54999999999995</v>
      </c>
      <c r="CJ16" s="116" cm="1">
        <f t="array" ref="CJ16">_xll.EQNXTDZ($A$1,$B16,CJ$1)</f>
        <v>582.15</v>
      </c>
      <c r="CK16" s="116" cm="1">
        <f t="array" ref="CK16">_xll.EQNXTDZ($A$1,$B16,CK$1)</f>
        <v>640.85</v>
      </c>
      <c r="CL16" s="116" cm="1">
        <f t="array" ref="CL16">_xll.EQNXTDZ($A$1,$B16,CL$1)</f>
        <v>679.85</v>
      </c>
      <c r="CM16" s="116" cm="1">
        <f t="array" ref="CM16">_xll.EQNXTDZ($A$1,$B16,CM$1)</f>
        <v>708.3</v>
      </c>
      <c r="CN16" s="116" cm="1">
        <f t="array" ref="CN16">_xll.EQNXTDZ($A$1,$B16,CN$1)</f>
        <v>700.5</v>
      </c>
      <c r="CO16" s="116" cm="1">
        <f t="array" ref="CO16">_xll.EQNXTDZ($A$1,$B16,CO$1)</f>
        <v>659.3</v>
      </c>
      <c r="CP16" s="116" cm="1">
        <f t="array" ref="CP16">_xll.EQNXTDZ($A$1,$B16,CP$1)</f>
        <v>695.05</v>
      </c>
      <c r="CQ16" s="116" cm="1">
        <f t="array" ref="CQ16">_xll.EQNXTDZ($A$1,$B16,CQ$1)</f>
        <v>678.95</v>
      </c>
      <c r="CR16" s="116" cm="1">
        <f t="array" ref="CR16">_xll.EQNXTDZ($A$1,$B16,CR$1)</f>
        <v>478.85</v>
      </c>
      <c r="CS16" s="116" cm="1">
        <f t="array" ref="CS16">_xll.EQNXTDZ($A$1,$B16,CS$1)</f>
        <v>505.8</v>
      </c>
      <c r="CT16" s="116" cm="1">
        <f t="array" ref="CT16">_xll.EQNXTDZ($A$1,$B16,CT$1)</f>
        <v>480</v>
      </c>
      <c r="CU16" s="116" cm="1">
        <f t="array" ref="CU16">_xll.EQNXTDZ($A$1,$B16,CU$1)</f>
        <v>546.15</v>
      </c>
      <c r="CV16" s="116" cm="1">
        <f t="array" ref="CV16">_xll.EQNXTDZ($A$1,$B16,CV$1)</f>
        <v>597.35</v>
      </c>
      <c r="CW16" s="116" cm="1">
        <f t="array" ref="CW16">_xll.EQNXTDZ($A$1,$B16,CW$1)</f>
        <v>635.35</v>
      </c>
      <c r="CX16" s="116" cm="1">
        <f t="array" ref="CX16">_xll.EQNXTDZ($A$1,$B16,CX$1)</f>
        <v>680.8</v>
      </c>
      <c r="CY16" s="116" cm="1">
        <f t="array" ref="CY16">_xll.EQNXTDZ($A$1,$B16,CY$1)</f>
        <v>706.4</v>
      </c>
      <c r="CZ16" s="116" cm="1">
        <f t="array" ref="CZ16">_xll.EQNXTDZ($A$1,$B16,CZ$1)</f>
        <v>806.2</v>
      </c>
      <c r="DA16" s="116" cm="1">
        <f t="array" ref="DA16">_xll.EQNXTDZ($A$1,$B16,DA$1)</f>
        <v>826</v>
      </c>
      <c r="DB16" s="116" cm="1">
        <f t="array" ref="DB16">_xll.EQNXTDZ($A$1,$B16,DB$1)</f>
        <v>908.5</v>
      </c>
      <c r="DC16" s="116" cm="1">
        <f t="array" ref="DC16">_xll.EQNXTDZ($A$1,$B16,DC$1)</f>
        <v>1017.3</v>
      </c>
      <c r="DD16" s="116" cm="1">
        <f t="array" ref="DD16">_xll.EQNXTDZ($A$1,$B16,DD$1)</f>
        <v>1001.85</v>
      </c>
      <c r="DE16" s="116" cm="1">
        <f t="array" ref="DE16">_xll.EQNXTDZ($A$1,$B16,DE$1)</f>
        <v>957.1</v>
      </c>
      <c r="DF16" s="116" cm="1">
        <f t="array" ref="DF16">_xll.EQNXTDZ($A$1,$B16,DF$1)</f>
        <v>1006.6</v>
      </c>
      <c r="DG16" s="116" cm="1">
        <f t="array" ref="DG16">_xll.EQNXTDZ($A$1,$B16,DG$1)</f>
        <v>1022.35</v>
      </c>
      <c r="DH16" s="116" cm="1">
        <f t="array" ref="DH16">_xll.EQNXTDZ($A$1,$B16,DH$1)</f>
        <v>1059.3499999999999</v>
      </c>
      <c r="DI16" s="116" cm="1">
        <f t="array" ref="DI16">_xll.EQNXTDZ($A$1,$B16,DI$1)</f>
        <v>995.3</v>
      </c>
      <c r="DJ16" s="116" cm="1">
        <f t="array" ref="DJ16">_xll.EQNXTDZ($A$1,$B16,DJ$1)</f>
        <v>1219.0999999999999</v>
      </c>
      <c r="DK16" s="116" cm="1">
        <f t="array" ref="DK16">_xll.EQNXTDZ($A$1,$B16,DK$1)</f>
        <v>1204.5</v>
      </c>
      <c r="DL16" s="116" cm="1">
        <f t="array" ref="DL16">_xll.EQNXTDZ($A$1,$B16,DL$1)</f>
        <v>1201.3499999999999</v>
      </c>
      <c r="DM16" s="116" cm="1">
        <f t="array" ref="DM16">_xll.EQNXTDZ($A$1,$B16,DM$1)</f>
        <v>1219.3499999999999</v>
      </c>
      <c r="DN16" s="116" cm="1">
        <f t="array" ref="DN16">_xll.EQNXTDZ($A$1,$B16,DN$1)</f>
        <v>1183.4000000000001</v>
      </c>
      <c r="DO16" s="116" cm="1">
        <f t="array" ref="DO16">_xll.EQNXTDZ($A$1,$B16,DO$1)</f>
        <v>1262.3</v>
      </c>
      <c r="DP16" s="116" cm="1">
        <f t="array" ref="DP16">_xll.EQNXTDZ($A$1,$B16,DP$1)</f>
        <v>1244.5</v>
      </c>
      <c r="DQ16" s="116" cm="1">
        <f t="array" ref="DQ16">_xll.EQNXTDZ($A$1,$B16,DQ$1)</f>
        <v>1260.75</v>
      </c>
      <c r="DR16" s="116" cm="1">
        <f t="array" ref="DR16">_xll.EQNXTDZ($A$1,$B16,DR$1)</f>
        <v>1019.4</v>
      </c>
      <c r="DS16" s="116" cm="1">
        <f t="array" ref="DS16">_xll.EQNXTDZ($A$1,$B16,DS$1)</f>
        <v>972.85</v>
      </c>
      <c r="DT16" s="116" cm="1">
        <f t="array" ref="DT16">_xll.EQNXTDZ($A$1,$B16,DT$1)</f>
        <v>1004.6</v>
      </c>
      <c r="DU16" s="116" cm="1">
        <f t="array" ref="DU16">_xll.EQNXTDZ($A$1,$B16,DU$1)</f>
        <v>1000.8</v>
      </c>
      <c r="DV16" s="116" cm="1">
        <f t="array" ref="DV16">_xll.EQNXTDZ($A$1,$B16,DV$1)</f>
        <v>906.4</v>
      </c>
      <c r="DW16" s="116" cm="1">
        <f t="array" ref="DW16">_xll.EQNXTDZ($A$1,$B16,DW$1)</f>
        <v>876.1</v>
      </c>
      <c r="DX16" s="116" cm="1">
        <f t="array" ref="DX16">_xll.EQNXTDZ($A$1,$B16,DX$1)</f>
        <v>819.05</v>
      </c>
      <c r="DY16" s="116" cm="1">
        <f t="array" ref="DY16">_xll.EQNXTDZ($A$1,$B16,DY$1)</f>
        <v>803.4</v>
      </c>
      <c r="DZ16" s="116" cm="1">
        <f t="array" ref="DZ16">_xll.EQNXTDZ($A$1,$B16,DZ$1)</f>
        <v>802.35</v>
      </c>
      <c r="EA16" s="116" cm="1">
        <f t="array" ref="EA16">_xll.EQNXTDZ($A$1,$B16,EA$1)</f>
        <v>891.95</v>
      </c>
      <c r="EB16" s="116" cm="1">
        <f t="array" ref="EB16">_xll.EQNXTDZ($A$1,$B16,EB$1)</f>
        <v>818.25</v>
      </c>
      <c r="EC16" s="116" cm="1">
        <f t="array" ref="EC16">_xll.EQNXTDZ($A$1,$B16,EC$1)</f>
        <v>798.9</v>
      </c>
      <c r="ED16" s="116" cm="1">
        <f t="array" ref="ED16">_xll.EQNXTDZ($A$1,$B16,ED$1)</f>
        <v>821.85</v>
      </c>
      <c r="EE16" s="116" cm="1">
        <f t="array" ref="EE16">_xll.EQNXTDZ($A$1,$B16,EE$1)</f>
        <v>759.8</v>
      </c>
      <c r="EF16" s="116" cm="1">
        <f t="array" ref="EF16">_xll.EQNXTDZ($A$1,$B16,EF$1)</f>
        <v>779.8</v>
      </c>
      <c r="EG16" s="116" cm="1">
        <f t="array" ref="EG16">_xll.EQNXTDZ($A$1,$B16,EG$1)</f>
        <v>869.9</v>
      </c>
      <c r="EH16" s="116" cm="1">
        <f t="array" ref="EH16">_xll.EQNXTDZ($A$1,$B16,EH$1)</f>
        <v>863</v>
      </c>
      <c r="EI16" s="116" cm="1">
        <f t="array" ref="EI16">_xll.EQNXTDZ($A$1,$B16,EI$1)</f>
        <v>837.25</v>
      </c>
      <c r="EJ16" s="116" cm="1">
        <f t="array" ref="EJ16">_xll.EQNXTDZ($A$1,$B16,EJ$1)</f>
        <v>826.95</v>
      </c>
      <c r="EK16" s="116" cm="1">
        <f t="array" ref="EK16">_xll.EQNXTDZ($A$1,$B16,EK$1)</f>
        <v>978.45</v>
      </c>
      <c r="EL16" s="116" cm="1">
        <f t="array" ref="EL16">_xll.EQNXTDZ($A$1,$B16,EL$1)</f>
        <v>1094.05</v>
      </c>
      <c r="EM16" s="116" cm="1">
        <f t="array" ref="EM16">_xll.EQNXTDZ($A$1,$B16,EM$1)</f>
        <v>1108.7</v>
      </c>
      <c r="EN16" s="116" cm="1">
        <f t="array" ref="EN16">_xll.EQNXTDZ($A$1,$B16,EN$1)</f>
        <v>1103.55</v>
      </c>
      <c r="EO16" s="116" cm="1">
        <f t="array" ref="EO16">_xll.EQNXTDZ($A$1,$B16,EO$1)</f>
        <v>1475</v>
      </c>
      <c r="EP16" s="116" cm="1">
        <f t="array" ref="EP16">_xll.EQNXTDZ($A$1,$B16,EP$1)</f>
        <v>1359.6</v>
      </c>
      <c r="EQ16" s="116" cm="1">
        <f t="array" ref="EQ16">_xll.EQNXTDZ($A$1,$B16,EQ$1)</f>
        <v>1471.9</v>
      </c>
      <c r="ER16" s="116" cm="1">
        <f t="array" ref="ER16">_xll.EQNXTDZ($A$1,$B16,ER$1)</f>
        <v>1536.9</v>
      </c>
      <c r="ES16" s="116" cm="1">
        <f t="array" ref="ES16">_xll.EQNXTDZ($A$1,$B16,ES$1)</f>
        <v>1744.9</v>
      </c>
      <c r="ET16" s="116" cm="1">
        <f t="array" ref="ET16">_xll.EQNXTDZ($A$1,$B16,ET$1)</f>
        <v>1845.75</v>
      </c>
      <c r="EU16" s="116" cm="1">
        <f t="array" ref="EU16">_xll.EQNXTDZ($A$1,$B16,EU$1)</f>
        <v>1650</v>
      </c>
      <c r="EV16" s="116" cm="1">
        <f t="array" ref="EV16">_xll.EQNXTDZ($A$1,$B16,EV$1)</f>
        <v>1657.45</v>
      </c>
      <c r="EW16" s="116" cm="1">
        <f t="array" ref="EW16">_xll.EQNXTDZ($A$1,$B16,EW$1)</f>
        <v>1792.1</v>
      </c>
      <c r="EX16" s="116" cm="1">
        <f t="array" ref="EX16">_xll.EQNXTDZ($A$1,$B16,EX$1)</f>
        <v>1260.95</v>
      </c>
      <c r="EY16" s="116" cm="1">
        <f t="array" ref="EY16">_xll.EQNXTDZ($A$1,$B16,EY$1)</f>
        <v>1317.1</v>
      </c>
      <c r="EZ16" s="116" cm="1">
        <f t="array" ref="EZ16">_xll.EQNXTDZ($A$1,$B16,EZ$1)</f>
        <v>1458.5</v>
      </c>
      <c r="FA16" s="116" cm="1">
        <f t="array" ref="FA16">_xll.EQNXTDZ($A$1,$B16,FA$1)</f>
        <v>1234.5</v>
      </c>
      <c r="FB16" s="116" cm="1">
        <f t="array" ref="FB16">_xll.EQNXTDZ($A$1,$B16,FB$1)</f>
        <v>1263.8499999999999</v>
      </c>
      <c r="FC16" s="116" cm="1">
        <f t="array" ref="FC16">_xll.EQNXTDZ($A$1,$B16,FC$1)</f>
        <v>1314.3</v>
      </c>
      <c r="FD16" s="116" cm="1">
        <f t="array" ref="FD16">_xll.EQNXTDZ($A$1,$B16,FD$1)</f>
        <v>1329.75</v>
      </c>
      <c r="FE16" s="116" cm="1">
        <f t="array" ref="FE16">_xll.EQNXTDZ($A$1,$B16,FE$1)</f>
        <v>1372.6</v>
      </c>
      <c r="FF16" s="116" cm="1">
        <f t="array" ref="FF16">_xll.EQNXTDZ($A$1,$B16,FF$1)</f>
        <v>1351.95</v>
      </c>
      <c r="FG16" s="116" cm="1">
        <f t="array" ref="FG16">_xll.EQNXTDZ($A$1,$B16,FG$1)</f>
        <v>1384.2</v>
      </c>
      <c r="FH16" s="116" cm="1">
        <f t="array" ref="FH16">_xll.EQNXTDZ($A$1,$B16,FH$1)</f>
        <v>1376.3</v>
      </c>
      <c r="FI16" s="116" cm="1">
        <f t="array" ref="FI16">_xll.EQNXTDZ($A$1,$B16,FI$1)</f>
        <v>1360.6</v>
      </c>
      <c r="FJ16" s="116" cm="1">
        <f t="array" ref="FJ16">_xll.EQNXTDZ($A$1,$B16,FJ$1)</f>
        <v>1328.45</v>
      </c>
      <c r="FK16" s="116" cm="1">
        <f t="array" ref="FK16">_xll.EQNXTDZ($A$1,$B16,FK$1)</f>
        <v>1563.85</v>
      </c>
      <c r="FL16" s="116" cm="1">
        <f t="array" ref="FL16">_xll.EQNXTDZ($A$1,$B16,FL$1)</f>
        <v>1270.25</v>
      </c>
      <c r="FM16" s="116" cm="1">
        <f t="array" ref="FM16">_xll.EQNXTDZ($A$1,$B16,FM$1)</f>
        <v>1430.3</v>
      </c>
      <c r="FN16" s="116" cm="1">
        <f t="array" ref="FN16">_xll.EQNXTDZ($A$1,$B16,FN$1)</f>
        <v>1249.3499999999999</v>
      </c>
      <c r="FO16" s="116" cm="1">
        <f t="array" ref="FO16">_xll.EQNXTDZ($A$1,$B16,FO$1)</f>
        <v>1327.35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124.6</v>
      </c>
      <c r="HQ16" s="116">
        <f>+I16</f>
        <v>105.85</v>
      </c>
      <c r="HR16" s="116">
        <f>+L16</f>
        <v>75.45</v>
      </c>
      <c r="HS16" s="116">
        <f>+O16</f>
        <v>80.95</v>
      </c>
      <c r="HT16" s="116">
        <f>+R16</f>
        <v>73.95</v>
      </c>
      <c r="HU16" s="116">
        <f>+U16</f>
        <v>115.8</v>
      </c>
      <c r="HV16" s="116">
        <f>+X16</f>
        <v>160.94999999999999</v>
      </c>
      <c r="HW16" s="116">
        <f>+AA16</f>
        <v>218.2</v>
      </c>
      <c r="HX16" s="116">
        <f>+AD16</f>
        <v>241.8</v>
      </c>
      <c r="HY16" s="116">
        <f>+AG16</f>
        <v>242.1</v>
      </c>
      <c r="HZ16" s="116">
        <f>+AJ16</f>
        <v>279.35000000000002</v>
      </c>
      <c r="IA16" s="116">
        <f>+AM16</f>
        <v>314.60000000000002</v>
      </c>
      <c r="IB16" s="116">
        <f>+AP16</f>
        <v>268.3</v>
      </c>
      <c r="IC16" s="116">
        <f>+AS16</f>
        <v>323.7</v>
      </c>
      <c r="ID16" s="116">
        <f>+AV16</f>
        <v>276.95</v>
      </c>
      <c r="IE16" s="116">
        <f>+AY16</f>
        <v>321.3</v>
      </c>
      <c r="IF16" s="116">
        <f>+BB16</f>
        <v>379.5</v>
      </c>
      <c r="IG16" s="116">
        <f>+BE16</f>
        <v>328.25</v>
      </c>
      <c r="IH16" s="116">
        <f>+BH16</f>
        <v>412.15</v>
      </c>
      <c r="II16" s="116">
        <f>+BK16</f>
        <v>457.85</v>
      </c>
      <c r="IJ16" s="116">
        <f>+BN16</f>
        <v>504.7</v>
      </c>
      <c r="IK16" s="116">
        <f>+BQ16</f>
        <v>655.7</v>
      </c>
      <c r="IL16" s="116">
        <f>+BT16</f>
        <v>620.6</v>
      </c>
      <c r="IM16" s="116">
        <f>+BW16</f>
        <v>521.65</v>
      </c>
      <c r="IN16" s="116">
        <f>+BZ16</f>
        <v>529.15</v>
      </c>
      <c r="IO16" s="116">
        <f>+CC16</f>
        <v>552.45000000000005</v>
      </c>
      <c r="IP16" s="116">
        <f>+CF16</f>
        <v>630.45000000000005</v>
      </c>
      <c r="IQ16" s="116">
        <f>+CI16</f>
        <v>643.54999999999995</v>
      </c>
      <c r="IR16" s="116">
        <f>+CL16</f>
        <v>679.85</v>
      </c>
      <c r="IS16" s="116">
        <f>+CO16</f>
        <v>659.3</v>
      </c>
      <c r="IT16" s="116">
        <f>+CR16</f>
        <v>478.85</v>
      </c>
      <c r="IU16" s="116">
        <f>+CU16</f>
        <v>546.15</v>
      </c>
      <c r="IV16" s="116">
        <f>+CX16</f>
        <v>680.8</v>
      </c>
      <c r="IW16" s="116">
        <f>+DA16</f>
        <v>826</v>
      </c>
      <c r="IX16" s="116">
        <f>+DD16</f>
        <v>1001.85</v>
      </c>
      <c r="IY16" s="116">
        <f>+DG16</f>
        <v>1022.35</v>
      </c>
      <c r="IZ16" s="116">
        <f>+DJ16</f>
        <v>1219.0999999999999</v>
      </c>
      <c r="JA16" s="116">
        <f>+DM16</f>
        <v>1219.3499999999999</v>
      </c>
      <c r="JB16" s="116">
        <f>+DP16</f>
        <v>1244.5</v>
      </c>
      <c r="JC16" s="116">
        <f>+DS16</f>
        <v>972.85</v>
      </c>
      <c r="JD16" s="116">
        <f>+DV16</f>
        <v>906.4</v>
      </c>
      <c r="JE16" s="116">
        <f>+DY16</f>
        <v>803.4</v>
      </c>
      <c r="JF16" s="116">
        <f>+EB16</f>
        <v>818.25</v>
      </c>
      <c r="JG16" s="116">
        <f>+EE16</f>
        <v>759.8</v>
      </c>
      <c r="JH16" s="116">
        <f>+EH16</f>
        <v>863</v>
      </c>
      <c r="JI16" s="116">
        <f>+EK16</f>
        <v>978.45</v>
      </c>
      <c r="JJ16" s="116">
        <f>+EN16</f>
        <v>1103.55</v>
      </c>
      <c r="JK16" s="116">
        <f>EQ16</f>
        <v>1471.9</v>
      </c>
      <c r="JL16" s="116">
        <f>ET16</f>
        <v>1845.75</v>
      </c>
      <c r="JM16" s="116">
        <f>EW16</f>
        <v>1792.1</v>
      </c>
      <c r="JN16" s="116">
        <f>EZ16</f>
        <v>1458.5</v>
      </c>
      <c r="JO16" s="116">
        <f>FC16</f>
        <v>1314.3</v>
      </c>
      <c r="JP16" s="116">
        <f>FF16</f>
        <v>1351.95</v>
      </c>
      <c r="JQ16" s="116">
        <f>FI16</f>
        <v>1360.6</v>
      </c>
      <c r="JR16" s="116">
        <f>FL16</f>
        <v>1270.25</v>
      </c>
      <c r="JS16" s="116">
        <f>FO16</f>
        <v>1327.35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138.5</v>
      </c>
      <c r="HQ19" s="116">
        <f t="shared" ref="HQ19:JI21" si="1">+IF(HQ14=0,HQ7,HQ14)</f>
        <v>127.25</v>
      </c>
      <c r="HR19" s="116">
        <f t="shared" si="1"/>
        <v>110.65</v>
      </c>
      <c r="HS19" s="116">
        <f t="shared" si="1"/>
        <v>96.75</v>
      </c>
      <c r="HT19" s="116">
        <f t="shared" si="1"/>
        <v>86.7</v>
      </c>
      <c r="HU19" s="116">
        <f t="shared" si="1"/>
        <v>124.5</v>
      </c>
      <c r="HV19" s="116">
        <f t="shared" si="1"/>
        <v>164.35</v>
      </c>
      <c r="HW19" s="116">
        <f t="shared" si="1"/>
        <v>233.05</v>
      </c>
      <c r="HX19" s="116">
        <f t="shared" si="1"/>
        <v>270.7</v>
      </c>
      <c r="HY19" s="116">
        <f t="shared" si="1"/>
        <v>286.5</v>
      </c>
      <c r="HZ19" s="116">
        <f t="shared" si="1"/>
        <v>301.45</v>
      </c>
      <c r="IA19" s="116">
        <f t="shared" si="1"/>
        <v>360</v>
      </c>
      <c r="IB19" s="116">
        <f t="shared" si="1"/>
        <v>330.35</v>
      </c>
      <c r="IC19" s="116">
        <f t="shared" si="1"/>
        <v>325</v>
      </c>
      <c r="ID19" s="116">
        <f t="shared" si="1"/>
        <v>324.5</v>
      </c>
      <c r="IE19" s="116">
        <f t="shared" si="1"/>
        <v>349.1</v>
      </c>
      <c r="IF19" s="116">
        <f t="shared" si="1"/>
        <v>402</v>
      </c>
      <c r="IG19" s="116">
        <f t="shared" si="1"/>
        <v>406</v>
      </c>
      <c r="IH19" s="116">
        <f t="shared" si="1"/>
        <v>424.9</v>
      </c>
      <c r="II19" s="116">
        <f t="shared" si="1"/>
        <v>514.65</v>
      </c>
      <c r="IJ19" s="116">
        <f t="shared" si="1"/>
        <v>564.95000000000005</v>
      </c>
      <c r="IK19" s="116">
        <f t="shared" si="1"/>
        <v>675</v>
      </c>
      <c r="IL19" s="116">
        <f t="shared" si="1"/>
        <v>664</v>
      </c>
      <c r="IM19" s="116">
        <f t="shared" si="1"/>
        <v>664.6</v>
      </c>
      <c r="IN19" s="116">
        <f t="shared" si="1"/>
        <v>637.25</v>
      </c>
      <c r="IO19" s="116">
        <f t="shared" si="1"/>
        <v>589.95000000000005</v>
      </c>
      <c r="IP19" s="116">
        <f t="shared" si="1"/>
        <v>634.95000000000005</v>
      </c>
      <c r="IQ19" s="116">
        <f t="shared" si="1"/>
        <v>658.6</v>
      </c>
      <c r="IR19" s="116">
        <f t="shared" si="1"/>
        <v>704.25</v>
      </c>
      <c r="IS19" s="116">
        <f t="shared" si="1"/>
        <v>725.45</v>
      </c>
      <c r="IT19" s="116">
        <f t="shared" si="1"/>
        <v>740.5</v>
      </c>
      <c r="IU19" s="116">
        <f t="shared" si="1"/>
        <v>587.15</v>
      </c>
      <c r="IV19" s="116">
        <f t="shared" si="1"/>
        <v>713.7</v>
      </c>
      <c r="IW19" s="116">
        <f t="shared" si="1"/>
        <v>844.95</v>
      </c>
      <c r="IX19" s="116">
        <f t="shared" si="1"/>
        <v>1131.2</v>
      </c>
      <c r="IY19" s="116">
        <f t="shared" si="1"/>
        <v>1124.9000000000001</v>
      </c>
      <c r="IZ19" s="116">
        <f t="shared" si="1"/>
        <v>1265</v>
      </c>
      <c r="JA19" s="116">
        <f t="shared" si="1"/>
        <v>1356.9</v>
      </c>
      <c r="JB19" s="116">
        <f t="shared" si="1"/>
        <v>1339.85</v>
      </c>
      <c r="JC19" s="116">
        <f t="shared" si="1"/>
        <v>1347.75</v>
      </c>
      <c r="JD19" s="116">
        <f t="shared" si="1"/>
        <v>1063.45</v>
      </c>
      <c r="JE19" s="116">
        <f t="shared" si="1"/>
        <v>935.65</v>
      </c>
      <c r="JF19" s="116">
        <f t="shared" si="1"/>
        <v>933.5</v>
      </c>
      <c r="JG19" s="116">
        <f t="shared" si="1"/>
        <v>870.8</v>
      </c>
      <c r="JH19" s="116">
        <f t="shared" si="1"/>
        <v>914.1</v>
      </c>
      <c r="JI19" s="116">
        <f t="shared" si="1"/>
        <v>993</v>
      </c>
      <c r="JJ19" s="116">
        <f t="shared" ref="JJ19:JJ21" si="2">+IF(JJ14=0,JJ7,JJ14)</f>
        <v>1139</v>
      </c>
      <c r="JK19" s="116">
        <f t="shared" ref="JK19" si="3">+IF(JK14=0,JK7,JK14)</f>
        <v>1550.5</v>
      </c>
      <c r="JL19" s="116">
        <f t="shared" ref="JL19:JM19" si="4">+IF(JL14=0,JL7,JL14)</f>
        <v>1946.2</v>
      </c>
      <c r="JM19" s="116">
        <f t="shared" si="4"/>
        <v>1901</v>
      </c>
      <c r="JN19" s="116">
        <f t="shared" ref="JN19:JO19" si="5">+IF(JN14=0,JN7,JN14)</f>
        <v>1859.65</v>
      </c>
      <c r="JO19" s="116">
        <f t="shared" si="5"/>
        <v>1455</v>
      </c>
      <c r="JP19" s="116">
        <f t="shared" ref="JP19" si="6">+IF(JP14=0,JP7,JP14)</f>
        <v>1469.9</v>
      </c>
      <c r="JQ19" s="116">
        <f t="shared" ref="JQ19:KH19" si="7">+IF(JQ14=0,JQ7,JQ14)</f>
        <v>1463.45</v>
      </c>
      <c r="JR19" s="116">
        <f t="shared" si="7"/>
        <v>1582</v>
      </c>
      <c r="JS19" s="116">
        <f t="shared" si="7"/>
        <v>1537.6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98.55</v>
      </c>
      <c r="HQ20" s="116">
        <f t="shared" si="8"/>
        <v>100.9</v>
      </c>
      <c r="HR20" s="116">
        <f t="shared" si="8"/>
        <v>73.25</v>
      </c>
      <c r="HS20" s="116">
        <f t="shared" si="8"/>
        <v>75.099999999999994</v>
      </c>
      <c r="HT20" s="116">
        <f t="shared" si="8"/>
        <v>62.7</v>
      </c>
      <c r="HU20" s="116">
        <f t="shared" si="8"/>
        <v>74</v>
      </c>
      <c r="HV20" s="116">
        <f t="shared" si="8"/>
        <v>97.05</v>
      </c>
      <c r="HW20" s="116">
        <f t="shared" si="8"/>
        <v>148.5</v>
      </c>
      <c r="HX20" s="116">
        <f t="shared" si="8"/>
        <v>182.25</v>
      </c>
      <c r="HY20" s="116">
        <f t="shared" si="8"/>
        <v>219.1</v>
      </c>
      <c r="HZ20" s="116">
        <f t="shared" si="8"/>
        <v>227</v>
      </c>
      <c r="IA20" s="116">
        <f t="shared" si="8"/>
        <v>258.8</v>
      </c>
      <c r="IB20" s="116">
        <f t="shared" si="8"/>
        <v>243.2</v>
      </c>
      <c r="IC20" s="116">
        <f t="shared" si="8"/>
        <v>252.25</v>
      </c>
      <c r="ID20" s="116">
        <f t="shared" si="8"/>
        <v>211.2</v>
      </c>
      <c r="IE20" s="116">
        <f t="shared" si="8"/>
        <v>266.8</v>
      </c>
      <c r="IF20" s="116">
        <f t="shared" si="1"/>
        <v>312</v>
      </c>
      <c r="IG20" s="116">
        <f t="shared" si="1"/>
        <v>287</v>
      </c>
      <c r="IH20" s="116">
        <f t="shared" si="1"/>
        <v>321.10000000000002</v>
      </c>
      <c r="II20" s="116">
        <f t="shared" si="1"/>
        <v>401.25</v>
      </c>
      <c r="IJ20" s="116">
        <f t="shared" si="1"/>
        <v>445.15</v>
      </c>
      <c r="IK20" s="116">
        <f t="shared" si="1"/>
        <v>508</v>
      </c>
      <c r="IL20" s="116">
        <f t="shared" si="1"/>
        <v>551.85</v>
      </c>
      <c r="IM20" s="116">
        <f t="shared" si="1"/>
        <v>493.45</v>
      </c>
      <c r="IN20" s="116">
        <f t="shared" si="1"/>
        <v>510.8</v>
      </c>
      <c r="IO20" s="116">
        <f t="shared" si="1"/>
        <v>471</v>
      </c>
      <c r="IP20" s="116">
        <f t="shared" si="1"/>
        <v>501.65</v>
      </c>
      <c r="IQ20" s="116">
        <f t="shared" si="1"/>
        <v>537</v>
      </c>
      <c r="IR20" s="116">
        <f t="shared" si="1"/>
        <v>557.20000000000005</v>
      </c>
      <c r="IS20" s="116">
        <f t="shared" si="1"/>
        <v>638.95000000000005</v>
      </c>
      <c r="IT20" s="116">
        <f t="shared" si="1"/>
        <v>449.2</v>
      </c>
      <c r="IU20" s="116">
        <f t="shared" si="1"/>
        <v>428</v>
      </c>
      <c r="IV20" s="116">
        <f t="shared" si="1"/>
        <v>529.4</v>
      </c>
      <c r="IW20" s="116">
        <f t="shared" si="1"/>
        <v>656.55</v>
      </c>
      <c r="IX20" s="116">
        <f t="shared" si="1"/>
        <v>822.3</v>
      </c>
      <c r="IY20" s="116">
        <f t="shared" si="1"/>
        <v>918</v>
      </c>
      <c r="IZ20" s="116">
        <f t="shared" si="1"/>
        <v>955.2</v>
      </c>
      <c r="JA20" s="116">
        <f t="shared" si="1"/>
        <v>1131.55</v>
      </c>
      <c r="JB20" s="116">
        <f t="shared" si="1"/>
        <v>1100.3</v>
      </c>
      <c r="JC20" s="116">
        <f t="shared" si="1"/>
        <v>923.5</v>
      </c>
      <c r="JD20" s="116">
        <f t="shared" si="1"/>
        <v>868.7</v>
      </c>
      <c r="JE20" s="116">
        <f t="shared" si="1"/>
        <v>770.55</v>
      </c>
      <c r="JF20" s="116">
        <f t="shared" si="1"/>
        <v>737.6</v>
      </c>
      <c r="JG20" s="116">
        <f t="shared" si="1"/>
        <v>747.9</v>
      </c>
      <c r="JH20" s="116">
        <f t="shared" si="1"/>
        <v>745</v>
      </c>
      <c r="JI20" s="116">
        <f t="shared" si="1"/>
        <v>806.9</v>
      </c>
      <c r="JJ20" s="116">
        <f t="shared" si="2"/>
        <v>968.05</v>
      </c>
      <c r="JK20" s="116">
        <f t="shared" ref="JK20" si="9">+IF(JK15=0,JK8,JK15)</f>
        <v>1103</v>
      </c>
      <c r="JL20" s="116">
        <f t="shared" ref="JL20:JM20" si="10">+IF(JL15=0,JL8,JL15)</f>
        <v>1403.45</v>
      </c>
      <c r="JM20" s="116">
        <f t="shared" si="10"/>
        <v>1617.5</v>
      </c>
      <c r="JN20" s="116">
        <f t="shared" ref="JN20:JO20" si="11">+IF(JN15=0,JN8,JN15)</f>
        <v>1135.55</v>
      </c>
      <c r="JO20" s="116">
        <f t="shared" si="11"/>
        <v>1172.2</v>
      </c>
      <c r="JP20" s="116">
        <f t="shared" ref="JP20" si="12">+IF(JP15=0,JP8,JP15)</f>
        <v>1202.2</v>
      </c>
      <c r="JQ20" s="116">
        <f t="shared" ref="JQ20:KH20" si="13">+IF(JQ15=0,JQ8,JQ15)</f>
        <v>1288</v>
      </c>
      <c r="JR20" s="116">
        <f t="shared" si="13"/>
        <v>1222.5</v>
      </c>
      <c r="JS20" s="116">
        <f t="shared" si="13"/>
        <v>1187.5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124.6</v>
      </c>
      <c r="HQ21" s="116">
        <f t="shared" si="1"/>
        <v>105.85</v>
      </c>
      <c r="HR21" s="116">
        <f t="shared" si="1"/>
        <v>75.45</v>
      </c>
      <c r="HS21" s="116">
        <f t="shared" si="1"/>
        <v>80.95</v>
      </c>
      <c r="HT21" s="116">
        <f t="shared" si="1"/>
        <v>73.95</v>
      </c>
      <c r="HU21" s="116">
        <f t="shared" si="1"/>
        <v>115.8</v>
      </c>
      <c r="HV21" s="116">
        <f t="shared" si="1"/>
        <v>160.94999999999999</v>
      </c>
      <c r="HW21" s="116">
        <f t="shared" si="1"/>
        <v>218.2</v>
      </c>
      <c r="HX21" s="116">
        <f t="shared" si="1"/>
        <v>241.8</v>
      </c>
      <c r="HY21" s="116">
        <f t="shared" si="1"/>
        <v>242.1</v>
      </c>
      <c r="HZ21" s="116">
        <f t="shared" si="1"/>
        <v>279.35000000000002</v>
      </c>
      <c r="IA21" s="116">
        <f t="shared" si="1"/>
        <v>314.60000000000002</v>
      </c>
      <c r="IB21" s="116">
        <f t="shared" si="1"/>
        <v>268.3</v>
      </c>
      <c r="IC21" s="116">
        <f t="shared" si="1"/>
        <v>323.7</v>
      </c>
      <c r="ID21" s="116">
        <f t="shared" si="1"/>
        <v>276.95</v>
      </c>
      <c r="IE21" s="116">
        <f t="shared" si="1"/>
        <v>321.3</v>
      </c>
      <c r="IF21" s="116">
        <f t="shared" si="1"/>
        <v>379.5</v>
      </c>
      <c r="IG21" s="116">
        <f t="shared" si="1"/>
        <v>328.25</v>
      </c>
      <c r="IH21" s="116">
        <f t="shared" si="1"/>
        <v>412.15</v>
      </c>
      <c r="II21" s="116">
        <f t="shared" si="1"/>
        <v>457.85</v>
      </c>
      <c r="IJ21" s="116">
        <f t="shared" si="1"/>
        <v>504.7</v>
      </c>
      <c r="IK21" s="116">
        <f t="shared" si="1"/>
        <v>655.7</v>
      </c>
      <c r="IL21" s="116">
        <f t="shared" si="1"/>
        <v>620.6</v>
      </c>
      <c r="IM21" s="116">
        <f t="shared" si="1"/>
        <v>521.65</v>
      </c>
      <c r="IN21" s="116">
        <f t="shared" si="1"/>
        <v>529.15</v>
      </c>
      <c r="IO21" s="116">
        <f t="shared" si="1"/>
        <v>552.45000000000005</v>
      </c>
      <c r="IP21" s="116">
        <f t="shared" si="1"/>
        <v>630.45000000000005</v>
      </c>
      <c r="IQ21" s="116">
        <f t="shared" si="1"/>
        <v>643.54999999999995</v>
      </c>
      <c r="IR21" s="116">
        <f t="shared" si="1"/>
        <v>679.85</v>
      </c>
      <c r="IS21" s="116">
        <f t="shared" si="1"/>
        <v>659.3</v>
      </c>
      <c r="IT21" s="116">
        <f t="shared" si="1"/>
        <v>478.85</v>
      </c>
      <c r="IU21" s="116">
        <f t="shared" si="1"/>
        <v>546.15</v>
      </c>
      <c r="IV21" s="116">
        <f t="shared" si="1"/>
        <v>680.8</v>
      </c>
      <c r="IW21" s="116">
        <f t="shared" si="1"/>
        <v>826</v>
      </c>
      <c r="IX21" s="116">
        <f t="shared" si="1"/>
        <v>1001.85</v>
      </c>
      <c r="IY21" s="116">
        <f t="shared" si="1"/>
        <v>1022.35</v>
      </c>
      <c r="IZ21" s="116">
        <f t="shared" si="1"/>
        <v>1219.0999999999999</v>
      </c>
      <c r="JA21" s="116">
        <f t="shared" si="1"/>
        <v>1219.3499999999999</v>
      </c>
      <c r="JB21" s="116">
        <f t="shared" si="1"/>
        <v>1244.5</v>
      </c>
      <c r="JC21" s="116">
        <f t="shared" si="1"/>
        <v>972.85</v>
      </c>
      <c r="JD21" s="116">
        <f t="shared" si="1"/>
        <v>906.4</v>
      </c>
      <c r="JE21" s="116">
        <f t="shared" si="1"/>
        <v>803.4</v>
      </c>
      <c r="JF21" s="116">
        <f t="shared" si="1"/>
        <v>818.25</v>
      </c>
      <c r="JG21" s="116">
        <f t="shared" si="1"/>
        <v>759.8</v>
      </c>
      <c r="JH21" s="116">
        <f t="shared" si="1"/>
        <v>863</v>
      </c>
      <c r="JI21" s="116">
        <f t="shared" si="1"/>
        <v>978.45</v>
      </c>
      <c r="JJ21" s="116">
        <f t="shared" si="2"/>
        <v>1103.55</v>
      </c>
      <c r="JK21" s="116">
        <f t="shared" ref="JK21" si="14">+IF(JK16=0,JK9,JK16)</f>
        <v>1471.9</v>
      </c>
      <c r="JL21" s="116">
        <f t="shared" ref="JL21:JM21" si="15">+IF(JL16=0,JL9,JL16)</f>
        <v>1845.75</v>
      </c>
      <c r="JM21" s="116">
        <f t="shared" si="15"/>
        <v>1792.1</v>
      </c>
      <c r="JN21" s="116">
        <f t="shared" ref="JN21:JO21" si="16">+IF(JN16=0,JN9,JN16)</f>
        <v>1458.5</v>
      </c>
      <c r="JO21" s="116">
        <f t="shared" si="16"/>
        <v>1314.3</v>
      </c>
      <c r="JP21" s="116">
        <f t="shared" ref="JP21" si="17">+IF(JP16=0,JP9,JP16)</f>
        <v>1351.95</v>
      </c>
      <c r="JQ21" s="116">
        <f t="shared" ref="JQ21:KH21" si="18">+IF(JQ16=0,JQ9,JQ16)</f>
        <v>1360.6</v>
      </c>
      <c r="JR21" s="116">
        <f t="shared" si="18"/>
        <v>1270.25</v>
      </c>
      <c r="JS21" s="116">
        <f t="shared" si="18"/>
        <v>1327.35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100575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330884740</v>
      </c>
      <c r="D6" cm="1">
        <f t="array" ref="D6">_xll.EQNXTDZ($A$1,$B6,D$1)</f>
        <v>330884740</v>
      </c>
      <c r="E6" cm="1">
        <f t="array" ref="E6">_xll.EQNXTDZ($A$1,$B6,E$1)</f>
        <v>330884740</v>
      </c>
      <c r="F6" cm="1">
        <f t="array" ref="F6">_xll.EQNXTDZ($A$1,$B6,F$1)</f>
        <v>330884740</v>
      </c>
      <c r="G6" cm="1">
        <f t="array" ref="G6">_xll.EQNXTDZ($A$1,$B6,G$1)</f>
        <v>330884740</v>
      </c>
      <c r="H6" cm="1">
        <f t="array" ref="H6">_xll.EQNXTDZ($A$1,$B6,H$1)</f>
        <v>330884740</v>
      </c>
      <c r="I6" cm="1">
        <f t="array" ref="I6">_xll.EQNXTDZ($A$1,$B6,I$1)</f>
        <v>330884740</v>
      </c>
      <c r="J6" cm="1">
        <f t="array" ref="J6">_xll.EQNXTDZ($A$1,$B6,J$1)</f>
        <v>330884740</v>
      </c>
      <c r="K6" cm="1">
        <f t="array" ref="K6">_xll.EQNXTDZ($A$1,$B6,K$1)</f>
        <v>330884740</v>
      </c>
      <c r="L6" cm="1">
        <f t="array" ref="L6">_xll.EQNXTDZ($A$1,$B6,L$1)</f>
        <v>330884740</v>
      </c>
      <c r="M6" cm="1">
        <f t="array" ref="M6">_xll.EQNXTDZ($A$1,$B6,M$1)</f>
        <v>330884740</v>
      </c>
      <c r="N6" cm="1">
        <f t="array" ref="N6">_xll.EQNXTDZ($A$1,$B6,N$1)</f>
        <v>330884740</v>
      </c>
      <c r="O6" cm="1">
        <f t="array" ref="O6">_xll.EQNXTDZ($A$1,$B6,O$1)</f>
        <v>330884740</v>
      </c>
      <c r="P6" cm="1">
        <f t="array" ref="P6">_xll.EQNXTDZ($A$1,$B6,P$1)</f>
        <v>330884740</v>
      </c>
      <c r="Q6" cm="1">
        <f t="array" ref="Q6">_xll.EQNXTDZ($A$1,$B6,Q$1)</f>
        <v>330884740</v>
      </c>
      <c r="R6" cm="1">
        <f t="array" ref="R6">_xll.EQNXTDZ($A$1,$B6,R$1)</f>
        <v>330884740</v>
      </c>
      <c r="S6" cm="1">
        <f t="array" ref="S6">_xll.EQNXTDZ($A$1,$B6,S$1)</f>
        <v>330884740</v>
      </c>
      <c r="T6" cm="1">
        <f t="array" ref="T6">_xll.EQNXTDZ($A$1,$B6,T$1)</f>
        <v>330884740</v>
      </c>
      <c r="U6" cm="1">
        <f t="array" ref="U6">_xll.EQNXTDZ($A$1,$B6,U$1)</f>
        <v>330884740</v>
      </c>
      <c r="V6" cm="1">
        <f t="array" ref="V6">_xll.EQNXTDZ($A$1,$B6,V$1)</f>
        <v>330884740</v>
      </c>
      <c r="W6" cm="1">
        <f t="array" ref="W6">_xll.EQNXTDZ($A$1,$B6,W$1)</f>
        <v>330753600</v>
      </c>
      <c r="X6" cm="1">
        <f t="array" ref="X6">_xll.EQNXTDZ($A$1,$B6,X$1)</f>
        <v>330884740</v>
      </c>
      <c r="Y6" cm="1">
        <f t="array" ref="Y6">_xll.EQNXTDZ($A$1,$B6,Y$1)</f>
        <v>330884740</v>
      </c>
      <c r="Z6" cm="1">
        <f t="array" ref="Z6">_xll.EQNXTDZ($A$1,$B6,Z$1)</f>
        <v>330884740</v>
      </c>
      <c r="AA6" cm="1">
        <f t="array" ref="AA6">_xll.EQNXTDZ($A$1,$B6,AA$1)</f>
        <v>330884740</v>
      </c>
      <c r="AB6" cm="1">
        <f t="array" ref="AB6">_xll.EQNXTDZ($A$1,$B6,AB$1)</f>
        <v>330884740</v>
      </c>
      <c r="AC6" cm="1">
        <f t="array" ref="AC6">_xll.EQNXTDZ($A$1,$B6,AC$1)</f>
        <v>330884740</v>
      </c>
      <c r="AD6" cm="1">
        <f t="array" ref="AD6">_xll.EQNXTDZ($A$1,$B6,AD$1)</f>
        <v>330884740</v>
      </c>
      <c r="AE6" cm="1">
        <f t="array" ref="AE6">_xll.EQNXTDZ($A$1,$B6,AE$1)</f>
        <v>330884740</v>
      </c>
      <c r="AF6" cm="1">
        <f t="array" ref="AF6">_xll.EQNXTDZ($A$1,$B6,AF$1)</f>
        <v>330884740</v>
      </c>
      <c r="AG6" cm="1">
        <f t="array" ref="AG6">_xll.EQNXTDZ($A$1,$B6,AG$1)</f>
        <v>330884740</v>
      </c>
      <c r="AH6" cm="1">
        <f t="array" ref="AH6">_xll.EQNXTDZ($A$1,$B6,AH$1)</f>
        <v>330884740</v>
      </c>
      <c r="AI6" cm="1">
        <f t="array" ref="AI6">_xll.EQNXTDZ($A$1,$B6,AI$1)</f>
        <v>330884740</v>
      </c>
      <c r="AJ6" cm="1">
        <f t="array" ref="AJ6">_xll.EQNXTDZ($A$1,$B6,AJ$1)</f>
        <v>330884740</v>
      </c>
      <c r="AK6" cm="1">
        <f t="array" ref="AK6">_xll.EQNXTDZ($A$1,$B6,AK$1)</f>
        <v>330884740</v>
      </c>
      <c r="AL6" cm="1">
        <f t="array" ref="AL6">_xll.EQNXTDZ($A$1,$B6,AL$1)</f>
        <v>330884740</v>
      </c>
      <c r="AM6" cm="1">
        <f t="array" ref="AM6">_xll.EQNXTDZ($A$1,$B6,AM$1)</f>
        <v>330884740</v>
      </c>
      <c r="AN6" cm="1">
        <f t="array" ref="AN6">_xll.EQNXTDZ($A$1,$B6,AN$1)</f>
        <v>330884740</v>
      </c>
      <c r="AO6" cm="1">
        <f t="array" ref="AO6">_xll.EQNXTDZ($A$1,$B6,AO$1)</f>
        <v>330884740</v>
      </c>
      <c r="AP6" cm="1">
        <f t="array" ref="AP6">_xll.EQNXTDZ($A$1,$B6,AP$1)</f>
        <v>330884740</v>
      </c>
      <c r="AQ6" cm="1">
        <f t="array" ref="AQ6">_xll.EQNXTDZ($A$1,$B6,AQ$1)</f>
        <v>330884740</v>
      </c>
      <c r="AR6" cm="1">
        <f t="array" ref="AR6">_xll.EQNXTDZ($A$1,$B6,AR$1)</f>
        <v>330884740</v>
      </c>
      <c r="AS6" cm="1">
        <f t="array" ref="AS6">_xll.EQNXTDZ($A$1,$B6,AS$1)</f>
        <v>330884740</v>
      </c>
      <c r="AT6" cm="1">
        <f t="array" ref="AT6">_xll.EQNXTDZ($A$1,$B6,AT$1)</f>
        <v>330884740</v>
      </c>
      <c r="AU6" cm="1">
        <f t="array" ref="AU6">_xll.EQNXTDZ($A$1,$B6,AU$1)</f>
        <v>330884740</v>
      </c>
      <c r="AV6" cm="1">
        <f t="array" ref="AV6">_xll.EQNXTDZ($A$1,$B6,AV$1)</f>
        <v>330884740</v>
      </c>
      <c r="AW6" cm="1">
        <f t="array" ref="AW6">_xll.EQNXTDZ($A$1,$B6,AW$1)</f>
        <v>330884740</v>
      </c>
      <c r="AX6" cm="1">
        <f t="array" ref="AX6">_xll.EQNXTDZ($A$1,$B6,AX$1)</f>
        <v>330884740</v>
      </c>
      <c r="AY6" cm="1">
        <f t="array" ref="AY6">_xll.EQNXTDZ($A$1,$B6,AY$1)</f>
        <v>330884740</v>
      </c>
    </row>
    <row r="7" spans="1:51" x14ac:dyDescent="0.25">
      <c r="B7" t="s">
        <v>429</v>
      </c>
      <c r="C7" s="100">
        <f>+C6/10^7</f>
        <v>33.088473999999998</v>
      </c>
      <c r="D7" s="100">
        <f t="shared" ref="D7:X7" si="0">+D6/10^7</f>
        <v>33.088473999999998</v>
      </c>
      <c r="E7" s="100">
        <f t="shared" si="0"/>
        <v>33.088473999999998</v>
      </c>
      <c r="F7" s="100">
        <f t="shared" si="0"/>
        <v>33.088473999999998</v>
      </c>
      <c r="G7" s="100">
        <f t="shared" si="0"/>
        <v>33.088473999999998</v>
      </c>
      <c r="H7" s="100">
        <f t="shared" si="0"/>
        <v>33.088473999999998</v>
      </c>
      <c r="I7" s="100">
        <f t="shared" si="0"/>
        <v>33.088473999999998</v>
      </c>
      <c r="J7" s="100">
        <f t="shared" si="0"/>
        <v>33.088473999999998</v>
      </c>
      <c r="K7" s="100">
        <f t="shared" si="0"/>
        <v>33.088473999999998</v>
      </c>
      <c r="L7" s="100">
        <f t="shared" si="0"/>
        <v>33.088473999999998</v>
      </c>
      <c r="M7" s="100">
        <f t="shared" si="0"/>
        <v>33.088473999999998</v>
      </c>
      <c r="N7" s="100">
        <f t="shared" si="0"/>
        <v>33.088473999999998</v>
      </c>
      <c r="O7" s="100">
        <f t="shared" si="0"/>
        <v>33.088473999999998</v>
      </c>
      <c r="P7" s="100">
        <f t="shared" si="0"/>
        <v>33.088473999999998</v>
      </c>
      <c r="Q7" s="100">
        <f t="shared" si="0"/>
        <v>33.088473999999998</v>
      </c>
      <c r="R7" s="100">
        <f t="shared" si="0"/>
        <v>33.088473999999998</v>
      </c>
      <c r="S7" s="100">
        <f t="shared" si="0"/>
        <v>33.088473999999998</v>
      </c>
      <c r="T7" s="100">
        <f t="shared" si="0"/>
        <v>33.088473999999998</v>
      </c>
      <c r="U7" s="100">
        <f t="shared" si="0"/>
        <v>33.088473999999998</v>
      </c>
      <c r="V7" s="100">
        <f t="shared" si="0"/>
        <v>33.088473999999998</v>
      </c>
      <c r="W7" s="100">
        <f t="shared" si="0"/>
        <v>33.075360000000003</v>
      </c>
      <c r="X7" s="100">
        <f t="shared" si="0"/>
        <v>33.088473999999998</v>
      </c>
      <c r="Y7" s="100">
        <f t="shared" ref="Y7:AS7" si="1">+Y6/10^7</f>
        <v>33.088473999999998</v>
      </c>
      <c r="Z7" s="100">
        <f t="shared" si="1"/>
        <v>33.088473999999998</v>
      </c>
      <c r="AA7" s="100">
        <f t="shared" si="1"/>
        <v>33.088473999999998</v>
      </c>
      <c r="AB7" s="100">
        <f t="shared" si="1"/>
        <v>33.088473999999998</v>
      </c>
      <c r="AC7" s="100">
        <f t="shared" si="1"/>
        <v>33.088473999999998</v>
      </c>
      <c r="AD7" s="100">
        <f t="shared" si="1"/>
        <v>33.088473999999998</v>
      </c>
      <c r="AE7" s="100">
        <f t="shared" si="1"/>
        <v>33.088473999999998</v>
      </c>
      <c r="AF7" s="100">
        <f t="shared" si="1"/>
        <v>33.088473999999998</v>
      </c>
      <c r="AG7" s="100">
        <f t="shared" si="1"/>
        <v>33.088473999999998</v>
      </c>
      <c r="AH7" s="100">
        <f t="shared" si="1"/>
        <v>33.088473999999998</v>
      </c>
      <c r="AI7" s="100">
        <f t="shared" si="1"/>
        <v>33.088473999999998</v>
      </c>
      <c r="AJ7" s="100">
        <f t="shared" si="1"/>
        <v>33.088473999999998</v>
      </c>
      <c r="AK7" s="100">
        <f t="shared" si="1"/>
        <v>33.088473999999998</v>
      </c>
      <c r="AL7" s="100">
        <f t="shared" si="1"/>
        <v>33.088473999999998</v>
      </c>
      <c r="AM7" s="100">
        <f t="shared" si="1"/>
        <v>33.088473999999998</v>
      </c>
      <c r="AN7" s="100">
        <f t="shared" si="1"/>
        <v>33.088473999999998</v>
      </c>
      <c r="AO7" s="100">
        <f t="shared" si="1"/>
        <v>33.088473999999998</v>
      </c>
      <c r="AP7" s="100">
        <f t="shared" si="1"/>
        <v>33.088473999999998</v>
      </c>
      <c r="AQ7" s="100">
        <f t="shared" si="1"/>
        <v>33.088473999999998</v>
      </c>
      <c r="AR7" s="100">
        <f t="shared" si="1"/>
        <v>33.088473999999998</v>
      </c>
      <c r="AS7" s="100">
        <f t="shared" si="1"/>
        <v>33.088473999999998</v>
      </c>
      <c r="AT7" s="100">
        <f t="shared" ref="AT7:AX7" si="2">+AT6/10^7</f>
        <v>33.088473999999998</v>
      </c>
      <c r="AU7" s="100">
        <f t="shared" si="2"/>
        <v>33.088473999999998</v>
      </c>
      <c r="AV7" s="100">
        <f t="shared" si="2"/>
        <v>33.088473999999998</v>
      </c>
      <c r="AW7" s="100">
        <f t="shared" si="2"/>
        <v>33.088473999999998</v>
      </c>
      <c r="AX7" s="100">
        <f t="shared" si="2"/>
        <v>33.088473999999998</v>
      </c>
      <c r="AY7" s="100">
        <f t="shared" ref="AY7" si="3">+AY6/10^7</f>
        <v>33.088473999999998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100575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243.5</v>
      </c>
      <c r="C4" s="116">
        <v>240.9</v>
      </c>
      <c r="D4" s="116">
        <v>240</v>
      </c>
      <c r="E4" s="116">
        <v>242.95</v>
      </c>
      <c r="F4" s="116">
        <v>240.9</v>
      </c>
      <c r="G4">
        <v>131445</v>
      </c>
      <c r="H4" s="116"/>
      <c r="I4" s="116"/>
      <c r="L4" s="170">
        <v>42005</v>
      </c>
      <c r="M4" s="116">
        <v>240.8</v>
      </c>
      <c r="N4" s="116">
        <v>243.35</v>
      </c>
      <c r="O4" s="116">
        <v>239.65</v>
      </c>
      <c r="P4" s="116">
        <v>242.5</v>
      </c>
      <c r="Q4" s="116">
        <v>240.8</v>
      </c>
      <c r="R4">
        <v>856386</v>
      </c>
    </row>
    <row r="5" spans="1:18" x14ac:dyDescent="0.25">
      <c r="A5" s="170">
        <v>42006</v>
      </c>
      <c r="B5" s="116">
        <v>248</v>
      </c>
      <c r="C5" s="116">
        <v>245.55</v>
      </c>
      <c r="D5" s="116">
        <v>240.9</v>
      </c>
      <c r="E5" s="116">
        <v>241.5</v>
      </c>
      <c r="F5" s="116">
        <v>245.55</v>
      </c>
      <c r="G5">
        <v>253180</v>
      </c>
      <c r="H5" s="116"/>
      <c r="I5" s="116"/>
      <c r="L5" s="170">
        <v>42006</v>
      </c>
      <c r="M5" s="116">
        <v>245.65</v>
      </c>
      <c r="N5" s="116">
        <v>248.4</v>
      </c>
      <c r="O5" s="116">
        <v>239.2</v>
      </c>
      <c r="P5" s="116">
        <v>239.2</v>
      </c>
      <c r="Q5" s="116">
        <v>245.65</v>
      </c>
      <c r="R5">
        <v>2630409</v>
      </c>
    </row>
    <row r="6" spans="1:18" x14ac:dyDescent="0.25">
      <c r="A6" s="170">
        <v>42009</v>
      </c>
      <c r="B6" s="116">
        <v>251.1</v>
      </c>
      <c r="C6" s="116">
        <v>245.8</v>
      </c>
      <c r="D6" s="116">
        <v>244.05</v>
      </c>
      <c r="E6" s="116">
        <v>246</v>
      </c>
      <c r="F6" s="116">
        <v>245.8</v>
      </c>
      <c r="G6">
        <v>153355</v>
      </c>
      <c r="H6" s="116"/>
      <c r="I6" s="116"/>
      <c r="L6" s="170">
        <v>42009</v>
      </c>
      <c r="M6" s="116">
        <v>245.85</v>
      </c>
      <c r="N6" s="116">
        <v>251.2</v>
      </c>
      <c r="O6" s="116">
        <v>244.1</v>
      </c>
      <c r="P6" s="116">
        <v>246</v>
      </c>
      <c r="Q6" s="116">
        <v>245.85</v>
      </c>
      <c r="R6">
        <v>1975993</v>
      </c>
    </row>
    <row r="7" spans="1:18" x14ac:dyDescent="0.25">
      <c r="A7" s="170">
        <v>42010</v>
      </c>
      <c r="B7" s="116">
        <v>245</v>
      </c>
      <c r="C7" s="116">
        <v>236.85</v>
      </c>
      <c r="D7" s="116">
        <v>235.05</v>
      </c>
      <c r="E7" s="116">
        <v>245</v>
      </c>
      <c r="F7" s="116">
        <v>236.85</v>
      </c>
      <c r="G7">
        <v>200913</v>
      </c>
      <c r="H7" s="116"/>
      <c r="I7" s="116"/>
      <c r="L7" s="170">
        <v>42010</v>
      </c>
      <c r="M7" s="116">
        <v>237.35</v>
      </c>
      <c r="N7" s="116">
        <v>244.4</v>
      </c>
      <c r="O7" s="116">
        <v>235.2</v>
      </c>
      <c r="P7" s="116">
        <v>244.4</v>
      </c>
      <c r="Q7" s="116">
        <v>237.35</v>
      </c>
      <c r="R7">
        <v>1951719</v>
      </c>
    </row>
    <row r="8" spans="1:18" x14ac:dyDescent="0.25">
      <c r="A8" s="170">
        <v>42011</v>
      </c>
      <c r="B8" s="116">
        <v>238.85</v>
      </c>
      <c r="C8" s="116">
        <v>229.95</v>
      </c>
      <c r="D8" s="116">
        <v>227</v>
      </c>
      <c r="E8" s="116">
        <v>236.75</v>
      </c>
      <c r="F8" s="116">
        <v>229.95</v>
      </c>
      <c r="G8">
        <v>255234</v>
      </c>
      <c r="H8" s="116"/>
      <c r="I8" s="116"/>
      <c r="L8" s="170">
        <v>42011</v>
      </c>
      <c r="M8" s="116">
        <v>229.45</v>
      </c>
      <c r="N8" s="116">
        <v>238.85</v>
      </c>
      <c r="O8" s="116">
        <v>227</v>
      </c>
      <c r="P8" s="116">
        <v>236.3</v>
      </c>
      <c r="Q8" s="116">
        <v>229.45</v>
      </c>
      <c r="R8">
        <v>2337628</v>
      </c>
    </row>
    <row r="9" spans="1:18" x14ac:dyDescent="0.25">
      <c r="A9" s="170">
        <v>42012</v>
      </c>
      <c r="B9" s="116">
        <v>245</v>
      </c>
      <c r="C9" s="116">
        <v>243</v>
      </c>
      <c r="D9" s="116">
        <v>233</v>
      </c>
      <c r="E9" s="116">
        <v>233</v>
      </c>
      <c r="F9" s="116">
        <v>243</v>
      </c>
      <c r="G9">
        <v>191668</v>
      </c>
      <c r="H9" s="116"/>
      <c r="I9" s="116"/>
      <c r="L9" s="170">
        <v>42012</v>
      </c>
      <c r="M9" s="116">
        <v>243.35</v>
      </c>
      <c r="N9" s="116">
        <v>244.7</v>
      </c>
      <c r="O9" s="116">
        <v>233.65</v>
      </c>
      <c r="P9" s="116">
        <v>233.8</v>
      </c>
      <c r="Q9" s="116">
        <v>243.35</v>
      </c>
      <c r="R9">
        <v>2362344</v>
      </c>
    </row>
    <row r="10" spans="1:18" x14ac:dyDescent="0.25">
      <c r="A10" s="170">
        <v>42013</v>
      </c>
      <c r="B10" s="116">
        <v>247</v>
      </c>
      <c r="C10" s="116">
        <v>246.05</v>
      </c>
      <c r="D10" s="116">
        <v>242.2</v>
      </c>
      <c r="E10" s="116">
        <v>245.5</v>
      </c>
      <c r="F10" s="116">
        <v>246.05</v>
      </c>
      <c r="G10">
        <v>180297</v>
      </c>
      <c r="H10" s="116"/>
      <c r="I10" s="116"/>
      <c r="L10" s="170">
        <v>42013</v>
      </c>
      <c r="M10" s="116">
        <v>246</v>
      </c>
      <c r="N10" s="116">
        <v>246.9</v>
      </c>
      <c r="O10" s="116">
        <v>242.1</v>
      </c>
      <c r="P10" s="116">
        <v>246.8</v>
      </c>
      <c r="Q10" s="116">
        <v>246</v>
      </c>
      <c r="R10">
        <v>1946824</v>
      </c>
    </row>
    <row r="11" spans="1:18" x14ac:dyDescent="0.25">
      <c r="A11" s="170">
        <v>42016</v>
      </c>
      <c r="B11" s="116">
        <v>248.2</v>
      </c>
      <c r="C11" s="116">
        <v>245.85</v>
      </c>
      <c r="D11" s="116">
        <v>243.25</v>
      </c>
      <c r="E11" s="116">
        <v>247</v>
      </c>
      <c r="F11" s="116">
        <v>245.85</v>
      </c>
      <c r="G11">
        <v>176083</v>
      </c>
      <c r="H11" s="116"/>
      <c r="I11" s="116"/>
      <c r="L11" s="170">
        <v>42016</v>
      </c>
      <c r="M11" s="116">
        <v>245.9</v>
      </c>
      <c r="N11" s="116">
        <v>248.25</v>
      </c>
      <c r="O11" s="116">
        <v>243.1</v>
      </c>
      <c r="P11" s="116">
        <v>246</v>
      </c>
      <c r="Q11" s="116">
        <v>245.9</v>
      </c>
      <c r="R11">
        <v>1292914</v>
      </c>
    </row>
    <row r="12" spans="1:18" x14ac:dyDescent="0.25">
      <c r="A12" s="170">
        <v>42017</v>
      </c>
      <c r="B12" s="116">
        <v>247.35</v>
      </c>
      <c r="C12" s="116">
        <v>242.25</v>
      </c>
      <c r="D12" s="116">
        <v>240</v>
      </c>
      <c r="E12" s="116">
        <v>247.35</v>
      </c>
      <c r="F12" s="116">
        <v>242.25</v>
      </c>
      <c r="G12">
        <v>142675</v>
      </c>
      <c r="H12" s="116"/>
      <c r="I12" s="116"/>
      <c r="L12" s="170">
        <v>42017</v>
      </c>
      <c r="M12" s="116">
        <v>242.05</v>
      </c>
      <c r="N12" s="116">
        <v>247.3</v>
      </c>
      <c r="O12" s="116">
        <v>239.75</v>
      </c>
      <c r="P12" s="116">
        <v>245</v>
      </c>
      <c r="Q12" s="116">
        <v>242.05</v>
      </c>
      <c r="R12">
        <v>2700501</v>
      </c>
    </row>
    <row r="13" spans="1:18" x14ac:dyDescent="0.25">
      <c r="A13" s="170">
        <v>42018</v>
      </c>
      <c r="B13" s="116">
        <v>248.3</v>
      </c>
      <c r="C13" s="116">
        <v>247.65</v>
      </c>
      <c r="D13" s="116">
        <v>241.85</v>
      </c>
      <c r="E13" s="116">
        <v>242.55</v>
      </c>
      <c r="F13" s="116">
        <v>247.65</v>
      </c>
      <c r="G13">
        <v>172931</v>
      </c>
      <c r="H13" s="116"/>
      <c r="I13" s="116"/>
      <c r="L13" s="170">
        <v>42018</v>
      </c>
      <c r="M13" s="116">
        <v>247.75</v>
      </c>
      <c r="N13" s="116">
        <v>248.5</v>
      </c>
      <c r="O13" s="116">
        <v>241.6</v>
      </c>
      <c r="P13" s="116">
        <v>242</v>
      </c>
      <c r="Q13" s="116">
        <v>247.75</v>
      </c>
      <c r="R13">
        <v>4226479</v>
      </c>
    </row>
    <row r="14" spans="1:18" x14ac:dyDescent="0.25">
      <c r="A14" s="170">
        <v>42019</v>
      </c>
      <c r="B14" s="116">
        <v>254.85</v>
      </c>
      <c r="C14" s="116">
        <v>253.15</v>
      </c>
      <c r="D14" s="116">
        <v>245.65</v>
      </c>
      <c r="E14" s="116">
        <v>250</v>
      </c>
      <c r="F14" s="116">
        <v>253.15</v>
      </c>
      <c r="G14">
        <v>321277</v>
      </c>
      <c r="H14" s="116"/>
      <c r="I14" s="116"/>
      <c r="L14" s="170">
        <v>42019</v>
      </c>
      <c r="M14" s="116">
        <v>253.45</v>
      </c>
      <c r="N14" s="116">
        <v>254.9</v>
      </c>
      <c r="O14" s="116">
        <v>245.35</v>
      </c>
      <c r="P14" s="116">
        <v>249.1</v>
      </c>
      <c r="Q14" s="116">
        <v>253.45</v>
      </c>
      <c r="R14">
        <v>4586490</v>
      </c>
    </row>
    <row r="15" spans="1:18" x14ac:dyDescent="0.25">
      <c r="A15" s="170">
        <v>42020</v>
      </c>
      <c r="B15" s="116">
        <v>257.55</v>
      </c>
      <c r="C15" s="116">
        <v>254.75</v>
      </c>
      <c r="D15" s="116">
        <v>249.5</v>
      </c>
      <c r="E15" s="116">
        <v>254</v>
      </c>
      <c r="F15" s="116">
        <v>254.75</v>
      </c>
      <c r="G15">
        <v>201568</v>
      </c>
      <c r="H15" s="116"/>
      <c r="I15" s="116"/>
      <c r="L15" s="170">
        <v>42020</v>
      </c>
      <c r="M15" s="116">
        <v>255.5</v>
      </c>
      <c r="N15" s="116">
        <v>257.8</v>
      </c>
      <c r="O15" s="116">
        <v>249</v>
      </c>
      <c r="P15" s="116">
        <v>252.2</v>
      </c>
      <c r="Q15" s="116">
        <v>255.5</v>
      </c>
      <c r="R15">
        <v>4723648</v>
      </c>
    </row>
    <row r="16" spans="1:18" x14ac:dyDescent="0.25">
      <c r="A16" s="170">
        <v>42023</v>
      </c>
      <c r="B16" s="116">
        <v>259.7</v>
      </c>
      <c r="C16" s="116">
        <v>252.4</v>
      </c>
      <c r="D16" s="116">
        <v>251.2</v>
      </c>
      <c r="E16" s="116">
        <v>256</v>
      </c>
      <c r="F16" s="116">
        <v>252.4</v>
      </c>
      <c r="G16">
        <v>173808</v>
      </c>
      <c r="H16" s="116"/>
      <c r="I16" s="116"/>
      <c r="L16" s="170">
        <v>42023</v>
      </c>
      <c r="M16" s="116">
        <v>252.8</v>
      </c>
      <c r="N16" s="116">
        <v>259.8</v>
      </c>
      <c r="O16" s="116">
        <v>251</v>
      </c>
      <c r="P16" s="116">
        <v>255.5</v>
      </c>
      <c r="Q16" s="116">
        <v>252.8</v>
      </c>
      <c r="R16">
        <v>1730618</v>
      </c>
    </row>
    <row r="17" spans="1:18" x14ac:dyDescent="0.25">
      <c r="A17" s="170">
        <v>42024</v>
      </c>
      <c r="B17" s="116">
        <v>256.75</v>
      </c>
      <c r="C17" s="116">
        <v>253.65</v>
      </c>
      <c r="D17" s="116">
        <v>252.65</v>
      </c>
      <c r="E17" s="116">
        <v>253.3</v>
      </c>
      <c r="F17" s="116">
        <v>253.65</v>
      </c>
      <c r="G17">
        <v>175184</v>
      </c>
      <c r="H17" s="116"/>
      <c r="I17" s="116"/>
      <c r="L17" s="170">
        <v>42024</v>
      </c>
      <c r="M17" s="116">
        <v>253.8</v>
      </c>
      <c r="N17" s="116">
        <v>257.39999999999998</v>
      </c>
      <c r="O17" s="116">
        <v>252.7</v>
      </c>
      <c r="P17" s="116">
        <v>253</v>
      </c>
      <c r="Q17" s="116">
        <v>253.8</v>
      </c>
      <c r="R17">
        <v>2274423</v>
      </c>
    </row>
    <row r="18" spans="1:18" x14ac:dyDescent="0.25">
      <c r="A18" s="170">
        <v>42025</v>
      </c>
      <c r="B18" s="116">
        <v>257.5</v>
      </c>
      <c r="C18" s="116">
        <v>255.8</v>
      </c>
      <c r="D18" s="116">
        <v>251.55</v>
      </c>
      <c r="E18" s="116">
        <v>253.5</v>
      </c>
      <c r="F18" s="116">
        <v>255.8</v>
      </c>
      <c r="G18">
        <v>143808</v>
      </c>
      <c r="H18" s="116"/>
      <c r="I18" s="116"/>
      <c r="L18" s="170">
        <v>42025</v>
      </c>
      <c r="M18" s="116">
        <v>256.25</v>
      </c>
      <c r="N18" s="116">
        <v>257.7</v>
      </c>
      <c r="O18" s="116">
        <v>251.3</v>
      </c>
      <c r="P18" s="116">
        <v>253</v>
      </c>
      <c r="Q18" s="116">
        <v>256.25</v>
      </c>
      <c r="R18">
        <v>1557715</v>
      </c>
    </row>
    <row r="19" spans="1:18" x14ac:dyDescent="0.25">
      <c r="A19" s="170">
        <v>42026</v>
      </c>
      <c r="B19" s="116">
        <v>263.75</v>
      </c>
      <c r="C19" s="116">
        <v>253.45</v>
      </c>
      <c r="D19" s="116">
        <v>250.65</v>
      </c>
      <c r="E19" s="116">
        <v>255.95</v>
      </c>
      <c r="F19" s="116">
        <v>253.45</v>
      </c>
      <c r="G19">
        <v>230321</v>
      </c>
      <c r="H19" s="116"/>
      <c r="I19" s="116"/>
      <c r="L19" s="170">
        <v>42026</v>
      </c>
      <c r="M19" s="116">
        <v>253.05</v>
      </c>
      <c r="N19" s="116">
        <v>263.95</v>
      </c>
      <c r="O19" s="116">
        <v>250.2</v>
      </c>
      <c r="P19" s="116">
        <v>255</v>
      </c>
      <c r="Q19" s="116">
        <v>253.05</v>
      </c>
      <c r="R19">
        <v>2169145</v>
      </c>
    </row>
    <row r="20" spans="1:18" x14ac:dyDescent="0.25">
      <c r="A20" s="170">
        <v>42027</v>
      </c>
      <c r="B20" s="116">
        <v>258</v>
      </c>
      <c r="C20" s="116">
        <v>256.2</v>
      </c>
      <c r="D20" s="116">
        <v>252.2</v>
      </c>
      <c r="E20" s="116">
        <v>256.8</v>
      </c>
      <c r="F20" s="116">
        <v>256.2</v>
      </c>
      <c r="G20">
        <v>164419</v>
      </c>
      <c r="H20" s="116"/>
      <c r="I20" s="116"/>
      <c r="L20" s="170">
        <v>42027</v>
      </c>
      <c r="M20" s="116">
        <v>256.75</v>
      </c>
      <c r="N20" s="116">
        <v>259</v>
      </c>
      <c r="O20" s="116">
        <v>252.15</v>
      </c>
      <c r="P20" s="116">
        <v>254.8</v>
      </c>
      <c r="Q20" s="116">
        <v>256.75</v>
      </c>
      <c r="R20">
        <v>1957883</v>
      </c>
    </row>
    <row r="21" spans="1:18" x14ac:dyDescent="0.25">
      <c r="A21" s="170">
        <v>42031</v>
      </c>
      <c r="B21" s="116">
        <v>263.39999999999998</v>
      </c>
      <c r="C21" s="116">
        <v>260.55</v>
      </c>
      <c r="D21" s="116">
        <v>255.7</v>
      </c>
      <c r="E21" s="116">
        <v>258</v>
      </c>
      <c r="F21" s="116">
        <v>260.55</v>
      </c>
      <c r="G21">
        <v>170647</v>
      </c>
      <c r="H21" s="116"/>
      <c r="I21" s="116"/>
      <c r="L21" s="170">
        <v>42031</v>
      </c>
      <c r="M21" s="116">
        <v>261.2</v>
      </c>
      <c r="N21" s="116">
        <v>263.8</v>
      </c>
      <c r="O21" s="116">
        <v>255.3</v>
      </c>
      <c r="P21" s="116">
        <v>258.05</v>
      </c>
      <c r="Q21" s="116">
        <v>261.2</v>
      </c>
      <c r="R21">
        <v>2484973</v>
      </c>
    </row>
    <row r="22" spans="1:18" x14ac:dyDescent="0.25">
      <c r="A22" s="170">
        <v>42032</v>
      </c>
      <c r="B22" s="116">
        <v>274.7</v>
      </c>
      <c r="C22" s="116">
        <v>273.85000000000002</v>
      </c>
      <c r="D22" s="116">
        <v>261</v>
      </c>
      <c r="E22" s="116">
        <v>261.8</v>
      </c>
      <c r="F22" s="116">
        <v>273.85000000000002</v>
      </c>
      <c r="G22">
        <v>464912</v>
      </c>
      <c r="H22" s="116"/>
      <c r="I22" s="116"/>
      <c r="L22" s="170">
        <v>42032</v>
      </c>
      <c r="M22" s="116">
        <v>273.95</v>
      </c>
      <c r="N22" s="116">
        <v>274.89999999999998</v>
      </c>
      <c r="O22" s="116">
        <v>261</v>
      </c>
      <c r="P22" s="116">
        <v>261</v>
      </c>
      <c r="Q22" s="116">
        <v>273.95</v>
      </c>
      <c r="R22">
        <v>4859650</v>
      </c>
    </row>
    <row r="23" spans="1:18" x14ac:dyDescent="0.25">
      <c r="A23" s="170">
        <v>42033</v>
      </c>
      <c r="B23" s="116">
        <v>277.2</v>
      </c>
      <c r="C23" s="116">
        <v>276.05</v>
      </c>
      <c r="D23" s="116">
        <v>271.05</v>
      </c>
      <c r="E23" s="116">
        <v>274</v>
      </c>
      <c r="F23" s="116">
        <v>276.05</v>
      </c>
      <c r="G23">
        <v>152898</v>
      </c>
      <c r="H23" s="116"/>
      <c r="I23" s="116"/>
      <c r="L23" s="170">
        <v>42033</v>
      </c>
      <c r="M23" s="116">
        <v>276</v>
      </c>
      <c r="N23" s="116">
        <v>277.5</v>
      </c>
      <c r="O23" s="116">
        <v>270.85000000000002</v>
      </c>
      <c r="P23" s="116">
        <v>274.89999999999998</v>
      </c>
      <c r="Q23" s="116">
        <v>276</v>
      </c>
      <c r="R23">
        <v>1572737</v>
      </c>
    </row>
    <row r="24" spans="1:18" x14ac:dyDescent="0.25">
      <c r="A24" s="170">
        <v>42034</v>
      </c>
      <c r="B24" s="116">
        <v>278.60000000000002</v>
      </c>
      <c r="C24" s="116">
        <v>268.89999999999998</v>
      </c>
      <c r="D24" s="116">
        <v>265.5</v>
      </c>
      <c r="E24" s="116">
        <v>277.60000000000002</v>
      </c>
      <c r="F24" s="116">
        <v>268.89999999999998</v>
      </c>
      <c r="G24">
        <v>122454</v>
      </c>
      <c r="H24" s="116"/>
      <c r="I24" s="116"/>
      <c r="L24" s="170">
        <v>42034</v>
      </c>
      <c r="M24" s="116">
        <v>268.60000000000002</v>
      </c>
      <c r="N24" s="116">
        <v>278.45</v>
      </c>
      <c r="O24" s="116">
        <v>265.5</v>
      </c>
      <c r="P24" s="116">
        <v>277.2</v>
      </c>
      <c r="Q24" s="116">
        <v>268.60000000000002</v>
      </c>
      <c r="R24">
        <v>1500375</v>
      </c>
    </row>
    <row r="25" spans="1:18" x14ac:dyDescent="0.25">
      <c r="A25" s="170">
        <v>42037</v>
      </c>
      <c r="B25" s="116">
        <v>268.89999999999998</v>
      </c>
      <c r="C25" s="116">
        <v>266.25</v>
      </c>
      <c r="D25" s="116">
        <v>261.75</v>
      </c>
      <c r="E25" s="116">
        <v>268.89999999999998</v>
      </c>
      <c r="F25" s="116">
        <v>266.25</v>
      </c>
      <c r="G25">
        <v>91982</v>
      </c>
      <c r="H25" s="116"/>
      <c r="I25" s="116"/>
      <c r="L25" s="170">
        <v>42037</v>
      </c>
      <c r="M25" s="116">
        <v>266.25</v>
      </c>
      <c r="N25" s="116">
        <v>268.39999999999998</v>
      </c>
      <c r="O25" s="116">
        <v>261.7</v>
      </c>
      <c r="P25" s="116">
        <v>265.55</v>
      </c>
      <c r="Q25" s="116">
        <v>266.25</v>
      </c>
      <c r="R25">
        <v>988993</v>
      </c>
    </row>
    <row r="26" spans="1:18" x14ac:dyDescent="0.25">
      <c r="A26" s="170">
        <v>42038</v>
      </c>
      <c r="B26" s="116">
        <v>275.25</v>
      </c>
      <c r="C26" s="116">
        <v>269.5</v>
      </c>
      <c r="D26" s="116">
        <v>266.39999999999998</v>
      </c>
      <c r="E26" s="116">
        <v>268.10000000000002</v>
      </c>
      <c r="F26" s="116">
        <v>269.5</v>
      </c>
      <c r="G26">
        <v>155355</v>
      </c>
      <c r="H26" s="116"/>
      <c r="I26" s="116"/>
      <c r="L26" s="170">
        <v>42038</v>
      </c>
      <c r="M26" s="116">
        <v>269.60000000000002</v>
      </c>
      <c r="N26" s="116">
        <v>275.5</v>
      </c>
      <c r="O26" s="116">
        <v>266.45</v>
      </c>
      <c r="P26" s="116">
        <v>267.5</v>
      </c>
      <c r="Q26" s="116">
        <v>269.60000000000002</v>
      </c>
      <c r="R26">
        <v>1408831</v>
      </c>
    </row>
    <row r="27" spans="1:18" x14ac:dyDescent="0.25">
      <c r="A27" s="170">
        <v>42039</v>
      </c>
      <c r="B27" s="116">
        <v>282.85000000000002</v>
      </c>
      <c r="C27" s="116">
        <v>276.14999999999998</v>
      </c>
      <c r="D27" s="116">
        <v>261.55</v>
      </c>
      <c r="E27" s="116">
        <v>271.89999999999998</v>
      </c>
      <c r="F27" s="116">
        <v>276.14999999999998</v>
      </c>
      <c r="G27">
        <v>436859</v>
      </c>
      <c r="H27" s="116"/>
      <c r="I27" s="116"/>
      <c r="L27" s="170">
        <v>42039</v>
      </c>
      <c r="M27" s="116">
        <v>276.39999999999998</v>
      </c>
      <c r="N27" s="116">
        <v>283</v>
      </c>
      <c r="O27" s="116">
        <v>261.25</v>
      </c>
      <c r="P27" s="116">
        <v>271.64999999999998</v>
      </c>
      <c r="Q27" s="116">
        <v>276.39999999999998</v>
      </c>
      <c r="R27">
        <v>2745766</v>
      </c>
    </row>
    <row r="28" spans="1:18" x14ac:dyDescent="0.25">
      <c r="A28" s="170">
        <v>42040</v>
      </c>
      <c r="B28" s="116">
        <v>277.39999999999998</v>
      </c>
      <c r="C28" s="116">
        <v>263.95</v>
      </c>
      <c r="D28" s="116">
        <v>261</v>
      </c>
      <c r="E28" s="116">
        <v>277.39999999999998</v>
      </c>
      <c r="F28" s="116">
        <v>263.95</v>
      </c>
      <c r="G28">
        <v>197449</v>
      </c>
      <c r="H28" s="116"/>
      <c r="I28" s="116"/>
      <c r="L28" s="170">
        <v>42040</v>
      </c>
      <c r="M28" s="116">
        <v>262.85000000000002</v>
      </c>
      <c r="N28" s="116">
        <v>277.14999999999998</v>
      </c>
      <c r="O28" s="116">
        <v>261</v>
      </c>
      <c r="P28" s="116">
        <v>276.35000000000002</v>
      </c>
      <c r="Q28" s="116">
        <v>262.85000000000002</v>
      </c>
      <c r="R28">
        <v>1557908</v>
      </c>
    </row>
    <row r="29" spans="1:18" x14ac:dyDescent="0.25">
      <c r="A29" s="170">
        <v>42041</v>
      </c>
      <c r="B29" s="116">
        <v>269</v>
      </c>
      <c r="C29" s="116">
        <v>265.05</v>
      </c>
      <c r="D29" s="116">
        <v>258.95</v>
      </c>
      <c r="E29" s="116">
        <v>262.75</v>
      </c>
      <c r="F29" s="116">
        <v>265.05</v>
      </c>
      <c r="G29">
        <v>148606</v>
      </c>
      <c r="H29" s="116"/>
      <c r="I29" s="116"/>
      <c r="L29" s="170">
        <v>42041</v>
      </c>
      <c r="M29" s="116">
        <v>265.3</v>
      </c>
      <c r="N29" s="116">
        <v>269.5</v>
      </c>
      <c r="O29" s="116">
        <v>258.3</v>
      </c>
      <c r="P29" s="116">
        <v>263.5</v>
      </c>
      <c r="Q29" s="116">
        <v>265.3</v>
      </c>
      <c r="R29">
        <v>1337997</v>
      </c>
    </row>
    <row r="30" spans="1:18" x14ac:dyDescent="0.25">
      <c r="A30" s="170">
        <v>42044</v>
      </c>
      <c r="B30" s="116">
        <v>263.5</v>
      </c>
      <c r="C30" s="116">
        <v>253.55</v>
      </c>
      <c r="D30" s="116">
        <v>250.25</v>
      </c>
      <c r="E30" s="116">
        <v>263.39999999999998</v>
      </c>
      <c r="F30" s="116">
        <v>253.55</v>
      </c>
      <c r="G30">
        <v>165143</v>
      </c>
      <c r="H30" s="116"/>
      <c r="I30" s="116"/>
      <c r="L30" s="170">
        <v>42044</v>
      </c>
      <c r="M30" s="116">
        <v>253.25</v>
      </c>
      <c r="N30" s="116">
        <v>263.3</v>
      </c>
      <c r="O30" s="116">
        <v>250.25</v>
      </c>
      <c r="P30" s="116">
        <v>263.3</v>
      </c>
      <c r="Q30" s="116">
        <v>253.25</v>
      </c>
      <c r="R30">
        <v>1320974</v>
      </c>
    </row>
    <row r="31" spans="1:18" x14ac:dyDescent="0.25">
      <c r="A31" s="170">
        <v>42045</v>
      </c>
      <c r="B31" s="116">
        <v>262.2</v>
      </c>
      <c r="C31" s="116">
        <v>258.85000000000002</v>
      </c>
      <c r="D31" s="116">
        <v>251.1</v>
      </c>
      <c r="E31" s="116">
        <v>253.55</v>
      </c>
      <c r="F31" s="116">
        <v>258.85000000000002</v>
      </c>
      <c r="G31">
        <v>186211</v>
      </c>
      <c r="H31" s="116"/>
      <c r="I31" s="116"/>
      <c r="L31" s="170">
        <v>42045</v>
      </c>
      <c r="M31" s="116">
        <v>258.7</v>
      </c>
      <c r="N31" s="116">
        <v>262.39999999999998</v>
      </c>
      <c r="O31" s="116">
        <v>250.5</v>
      </c>
      <c r="P31" s="116">
        <v>252.45</v>
      </c>
      <c r="Q31" s="116">
        <v>258.7</v>
      </c>
      <c r="R31">
        <v>1249810</v>
      </c>
    </row>
    <row r="32" spans="1:18" x14ac:dyDescent="0.25">
      <c r="A32" s="170">
        <v>42046</v>
      </c>
      <c r="B32" s="116">
        <v>266.25</v>
      </c>
      <c r="C32" s="116">
        <v>264.10000000000002</v>
      </c>
      <c r="D32" s="116">
        <v>255.2</v>
      </c>
      <c r="E32" s="116">
        <v>258</v>
      </c>
      <c r="F32" s="116">
        <v>264.10000000000002</v>
      </c>
      <c r="G32">
        <v>268574</v>
      </c>
      <c r="H32" s="116"/>
      <c r="I32" s="116"/>
      <c r="L32" s="170">
        <v>42046</v>
      </c>
      <c r="M32" s="116">
        <v>264.7</v>
      </c>
      <c r="N32" s="116">
        <v>266.39999999999998</v>
      </c>
      <c r="O32" s="116">
        <v>254.7</v>
      </c>
      <c r="P32" s="116">
        <v>261</v>
      </c>
      <c r="Q32" s="116">
        <v>264.7</v>
      </c>
      <c r="R32">
        <v>1636716</v>
      </c>
    </row>
    <row r="33" spans="1:18" x14ac:dyDescent="0.25">
      <c r="A33" s="170">
        <v>42047</v>
      </c>
      <c r="B33" s="116">
        <v>259.10000000000002</v>
      </c>
      <c r="C33" s="116">
        <v>257.5</v>
      </c>
      <c r="D33" s="116">
        <v>248.95</v>
      </c>
      <c r="E33" s="116">
        <v>253.8</v>
      </c>
      <c r="F33" s="116">
        <v>257.5</v>
      </c>
      <c r="G33">
        <v>607990</v>
      </c>
      <c r="H33" s="116"/>
      <c r="I33" s="116"/>
      <c r="L33" s="170">
        <v>42047</v>
      </c>
      <c r="M33" s="116">
        <v>257.10000000000002</v>
      </c>
      <c r="N33" s="116">
        <v>259</v>
      </c>
      <c r="O33" s="116">
        <v>248.5</v>
      </c>
      <c r="P33" s="116">
        <v>253</v>
      </c>
      <c r="Q33" s="116">
        <v>257.10000000000002</v>
      </c>
      <c r="R33">
        <v>4874754</v>
      </c>
    </row>
    <row r="34" spans="1:18" x14ac:dyDescent="0.25">
      <c r="A34" s="170">
        <v>42048</v>
      </c>
      <c r="B34" s="116">
        <v>261.7</v>
      </c>
      <c r="C34" s="116">
        <v>256.14999999999998</v>
      </c>
      <c r="D34" s="116">
        <v>255.3</v>
      </c>
      <c r="E34" s="116">
        <v>259.89999999999998</v>
      </c>
      <c r="F34" s="116">
        <v>256.14999999999998</v>
      </c>
      <c r="G34">
        <v>133824</v>
      </c>
      <c r="H34" s="116"/>
      <c r="I34" s="116"/>
      <c r="L34" s="170">
        <v>42048</v>
      </c>
      <c r="M34" s="116">
        <v>256.25</v>
      </c>
      <c r="N34" s="116">
        <v>261.89999999999998</v>
      </c>
      <c r="O34" s="116">
        <v>255.2</v>
      </c>
      <c r="P34" s="116">
        <v>258</v>
      </c>
      <c r="Q34" s="116">
        <v>256.25</v>
      </c>
      <c r="R34">
        <v>1441296</v>
      </c>
    </row>
    <row r="35" spans="1:18" x14ac:dyDescent="0.25">
      <c r="A35" s="170">
        <v>42051</v>
      </c>
      <c r="B35" s="116">
        <v>257.7</v>
      </c>
      <c r="C35" s="116">
        <v>249.6</v>
      </c>
      <c r="D35" s="116">
        <v>248.55</v>
      </c>
      <c r="E35" s="116">
        <v>257.5</v>
      </c>
      <c r="F35" s="116">
        <v>249.6</v>
      </c>
      <c r="G35">
        <v>151489</v>
      </c>
      <c r="H35" s="116"/>
      <c r="I35" s="116"/>
      <c r="L35" s="170">
        <v>42051</v>
      </c>
      <c r="M35" s="116">
        <v>249.55</v>
      </c>
      <c r="N35" s="116">
        <v>258</v>
      </c>
      <c r="O35" s="116">
        <v>248.45</v>
      </c>
      <c r="P35" s="116">
        <v>257.25</v>
      </c>
      <c r="Q35" s="116">
        <v>249.55</v>
      </c>
      <c r="R35">
        <v>1802301</v>
      </c>
    </row>
    <row r="36" spans="1:18" x14ac:dyDescent="0.25">
      <c r="A36" s="170">
        <v>42053</v>
      </c>
      <c r="B36" s="116">
        <v>253.25</v>
      </c>
      <c r="C36" s="116">
        <v>250.4</v>
      </c>
      <c r="D36" s="116">
        <v>245</v>
      </c>
      <c r="E36" s="116">
        <v>251</v>
      </c>
      <c r="F36" s="116">
        <v>250.4</v>
      </c>
      <c r="G36">
        <v>192379</v>
      </c>
      <c r="H36" s="116"/>
      <c r="I36" s="116"/>
      <c r="L36" s="170">
        <v>42053</v>
      </c>
      <c r="M36" s="116">
        <v>250.5</v>
      </c>
      <c r="N36" s="116">
        <v>253.35</v>
      </c>
      <c r="O36" s="116">
        <v>245.1</v>
      </c>
      <c r="P36" s="116">
        <v>248.9</v>
      </c>
      <c r="Q36" s="116">
        <v>250.5</v>
      </c>
      <c r="R36">
        <v>1989970</v>
      </c>
    </row>
    <row r="37" spans="1:18" x14ac:dyDescent="0.25">
      <c r="A37" s="170">
        <v>42054</v>
      </c>
      <c r="B37" s="116">
        <v>262.89999999999998</v>
      </c>
      <c r="C37" s="116">
        <v>259.55</v>
      </c>
      <c r="D37" s="116">
        <v>249.7</v>
      </c>
      <c r="E37" s="116">
        <v>252.5</v>
      </c>
      <c r="F37" s="116">
        <v>259.55</v>
      </c>
      <c r="G37">
        <v>233291</v>
      </c>
      <c r="H37" s="116"/>
      <c r="I37" s="116"/>
      <c r="L37" s="170">
        <v>42054</v>
      </c>
      <c r="M37" s="116">
        <v>260.10000000000002</v>
      </c>
      <c r="N37" s="116">
        <v>263</v>
      </c>
      <c r="O37" s="116">
        <v>249.3</v>
      </c>
      <c r="P37" s="116">
        <v>253.45</v>
      </c>
      <c r="Q37" s="116">
        <v>260.10000000000002</v>
      </c>
      <c r="R37">
        <v>2377226</v>
      </c>
    </row>
    <row r="38" spans="1:18" x14ac:dyDescent="0.25">
      <c r="A38" s="170">
        <v>42055</v>
      </c>
      <c r="B38" s="116">
        <v>265</v>
      </c>
      <c r="C38" s="116">
        <v>259.3</v>
      </c>
      <c r="D38" s="116">
        <v>256.8</v>
      </c>
      <c r="E38" s="116">
        <v>261.89999999999998</v>
      </c>
      <c r="F38" s="116">
        <v>259.3</v>
      </c>
      <c r="G38">
        <v>156500</v>
      </c>
      <c r="H38" s="116"/>
      <c r="I38" s="116"/>
      <c r="L38" s="170">
        <v>42055</v>
      </c>
      <c r="M38" s="116">
        <v>259.64999999999998</v>
      </c>
      <c r="N38" s="116">
        <v>265</v>
      </c>
      <c r="O38" s="116">
        <v>256.55</v>
      </c>
      <c r="P38" s="116">
        <v>261</v>
      </c>
      <c r="Q38" s="116">
        <v>259.64999999999998</v>
      </c>
      <c r="R38">
        <v>2018659</v>
      </c>
    </row>
    <row r="39" spans="1:18" x14ac:dyDescent="0.25">
      <c r="A39" s="170">
        <v>42058</v>
      </c>
      <c r="B39" s="116">
        <v>262.7</v>
      </c>
      <c r="C39" s="116">
        <v>252.65</v>
      </c>
      <c r="D39" s="116">
        <v>250</v>
      </c>
      <c r="E39" s="116">
        <v>260.5</v>
      </c>
      <c r="F39" s="116">
        <v>252.65</v>
      </c>
      <c r="G39">
        <v>129712</v>
      </c>
      <c r="H39" s="116"/>
      <c r="I39" s="116"/>
      <c r="L39" s="170">
        <v>42058</v>
      </c>
      <c r="M39" s="116">
        <v>253.05</v>
      </c>
      <c r="N39" s="116">
        <v>261.8</v>
      </c>
      <c r="O39" s="116">
        <v>250</v>
      </c>
      <c r="P39" s="116">
        <v>260.60000000000002</v>
      </c>
      <c r="Q39" s="116">
        <v>253.05</v>
      </c>
      <c r="R39">
        <v>1739544</v>
      </c>
    </row>
    <row r="40" spans="1:18" x14ac:dyDescent="0.25">
      <c r="A40" s="170">
        <v>42059</v>
      </c>
      <c r="B40" s="116">
        <v>255.8</v>
      </c>
      <c r="C40" s="116">
        <v>252.85</v>
      </c>
      <c r="D40" s="116">
        <v>250.85</v>
      </c>
      <c r="E40" s="116">
        <v>252</v>
      </c>
      <c r="F40" s="116">
        <v>252.85</v>
      </c>
      <c r="G40">
        <v>136036</v>
      </c>
      <c r="H40" s="116"/>
      <c r="I40" s="116"/>
      <c r="L40" s="170">
        <v>42059</v>
      </c>
      <c r="M40" s="116">
        <v>252.75</v>
      </c>
      <c r="N40" s="116">
        <v>256</v>
      </c>
      <c r="O40" s="116">
        <v>250.7</v>
      </c>
      <c r="P40" s="116">
        <v>253</v>
      </c>
      <c r="Q40" s="116">
        <v>252.75</v>
      </c>
      <c r="R40">
        <v>1993659</v>
      </c>
    </row>
    <row r="41" spans="1:18" x14ac:dyDescent="0.25">
      <c r="A41" s="170">
        <v>42060</v>
      </c>
      <c r="B41" s="116">
        <v>256.5</v>
      </c>
      <c r="C41" s="116">
        <v>254.75</v>
      </c>
      <c r="D41" s="116">
        <v>250.95</v>
      </c>
      <c r="E41" s="116">
        <v>253.3</v>
      </c>
      <c r="F41" s="116">
        <v>254.75</v>
      </c>
      <c r="G41">
        <v>88863</v>
      </c>
      <c r="H41" s="116"/>
      <c r="I41" s="116"/>
      <c r="L41" s="170">
        <v>42060</v>
      </c>
      <c r="M41" s="116">
        <v>254.6</v>
      </c>
      <c r="N41" s="116">
        <v>256.39999999999998</v>
      </c>
      <c r="O41" s="116">
        <v>251.05</v>
      </c>
      <c r="P41" s="116">
        <v>253.5</v>
      </c>
      <c r="Q41" s="116">
        <v>254.6</v>
      </c>
      <c r="R41">
        <v>1885616</v>
      </c>
    </row>
    <row r="42" spans="1:18" x14ac:dyDescent="0.25">
      <c r="A42" s="170">
        <v>42061</v>
      </c>
      <c r="B42" s="116">
        <v>256.5</v>
      </c>
      <c r="C42" s="116">
        <v>252.1</v>
      </c>
      <c r="D42" s="116">
        <v>248.8</v>
      </c>
      <c r="E42" s="116">
        <v>256.5</v>
      </c>
      <c r="F42" s="116">
        <v>252.1</v>
      </c>
      <c r="G42">
        <v>182597</v>
      </c>
      <c r="H42" s="116"/>
      <c r="I42" s="116"/>
      <c r="L42" s="170">
        <v>42061</v>
      </c>
      <c r="M42" s="116">
        <v>251.65</v>
      </c>
      <c r="N42" s="116">
        <v>256.5</v>
      </c>
      <c r="O42" s="116">
        <v>248.2</v>
      </c>
      <c r="P42" s="116">
        <v>255.1</v>
      </c>
      <c r="Q42" s="116">
        <v>251.65</v>
      </c>
      <c r="R42">
        <v>1709508</v>
      </c>
    </row>
    <row r="43" spans="1:18" x14ac:dyDescent="0.25">
      <c r="A43" s="170">
        <v>42062</v>
      </c>
      <c r="B43" s="116">
        <v>257.89999999999998</v>
      </c>
      <c r="C43" s="116">
        <v>256.64999999999998</v>
      </c>
      <c r="D43" s="116">
        <v>250</v>
      </c>
      <c r="E43" s="116">
        <v>252.1</v>
      </c>
      <c r="F43" s="116">
        <v>256.64999999999998</v>
      </c>
      <c r="G43">
        <v>196820</v>
      </c>
      <c r="H43" s="116"/>
      <c r="I43" s="116"/>
      <c r="L43" s="170">
        <v>42062</v>
      </c>
      <c r="M43" s="116">
        <v>256.2</v>
      </c>
      <c r="N43" s="116">
        <v>257.7</v>
      </c>
      <c r="O43" s="116">
        <v>249.65</v>
      </c>
      <c r="P43" s="116">
        <v>253.55</v>
      </c>
      <c r="Q43" s="116">
        <v>256.2</v>
      </c>
      <c r="R43">
        <v>2712519</v>
      </c>
    </row>
    <row r="44" spans="1:18" x14ac:dyDescent="0.25">
      <c r="A44" s="170">
        <v>42063</v>
      </c>
      <c r="B44" s="116">
        <v>259.64999999999998</v>
      </c>
      <c r="C44" s="116">
        <v>253.1</v>
      </c>
      <c r="D44" s="116">
        <v>249.7</v>
      </c>
      <c r="E44" s="116">
        <v>257.89999999999998</v>
      </c>
      <c r="F44" s="116">
        <v>253.1</v>
      </c>
      <c r="G44">
        <v>206313</v>
      </c>
      <c r="H44" s="116"/>
      <c r="I44" s="116"/>
      <c r="L44" s="170">
        <v>42063</v>
      </c>
      <c r="M44" s="116">
        <v>254</v>
      </c>
      <c r="N44" s="116">
        <v>259.5</v>
      </c>
      <c r="O44" s="116">
        <v>249.4</v>
      </c>
      <c r="P44" s="116">
        <v>258.5</v>
      </c>
      <c r="Q44" s="116">
        <v>254</v>
      </c>
      <c r="R44">
        <v>1318865</v>
      </c>
    </row>
    <row r="45" spans="1:18" x14ac:dyDescent="0.25">
      <c r="A45" s="170">
        <v>42065</v>
      </c>
      <c r="B45" s="116">
        <v>276</v>
      </c>
      <c r="C45" s="116">
        <v>273.2</v>
      </c>
      <c r="D45" s="116">
        <v>253.2</v>
      </c>
      <c r="E45" s="116">
        <v>253.2</v>
      </c>
      <c r="F45" s="116">
        <v>273.2</v>
      </c>
      <c r="G45">
        <v>354469</v>
      </c>
      <c r="H45" s="116"/>
      <c r="I45" s="116"/>
      <c r="L45" s="170">
        <v>42065</v>
      </c>
      <c r="M45" s="116">
        <v>273.14999999999998</v>
      </c>
      <c r="N45" s="116">
        <v>275.5</v>
      </c>
      <c r="O45" s="116">
        <v>253.35</v>
      </c>
      <c r="P45" s="116">
        <v>256</v>
      </c>
      <c r="Q45" s="116">
        <v>273.14999999999998</v>
      </c>
      <c r="R45">
        <v>4998186</v>
      </c>
    </row>
    <row r="46" spans="1:18" x14ac:dyDescent="0.25">
      <c r="A46" s="170">
        <v>42066</v>
      </c>
      <c r="B46" s="116">
        <v>276.7</v>
      </c>
      <c r="C46" s="116">
        <v>271.8</v>
      </c>
      <c r="D46" s="116">
        <v>267.85000000000002</v>
      </c>
      <c r="E46" s="116">
        <v>275.5</v>
      </c>
      <c r="F46" s="116">
        <v>271.8</v>
      </c>
      <c r="G46">
        <v>222033</v>
      </c>
      <c r="H46" s="116"/>
      <c r="I46" s="116"/>
      <c r="L46" s="170">
        <v>42066</v>
      </c>
      <c r="M46" s="116">
        <v>271.64999999999998</v>
      </c>
      <c r="N46" s="116">
        <v>276.89999999999998</v>
      </c>
      <c r="O46" s="116">
        <v>267.85000000000002</v>
      </c>
      <c r="P46" s="116">
        <v>276</v>
      </c>
      <c r="Q46" s="116">
        <v>271.64999999999998</v>
      </c>
      <c r="R46">
        <v>2096411</v>
      </c>
    </row>
    <row r="47" spans="1:18" x14ac:dyDescent="0.25">
      <c r="A47" s="170">
        <v>42067</v>
      </c>
      <c r="B47" s="116">
        <v>280.5</v>
      </c>
      <c r="C47" s="116">
        <v>267.14999999999998</v>
      </c>
      <c r="D47" s="116">
        <v>264</v>
      </c>
      <c r="E47" s="116">
        <v>274</v>
      </c>
      <c r="F47" s="116">
        <v>267.14999999999998</v>
      </c>
      <c r="G47">
        <v>338697</v>
      </c>
      <c r="H47" s="116"/>
      <c r="I47" s="116"/>
      <c r="L47" s="170">
        <v>42067</v>
      </c>
      <c r="M47" s="116">
        <v>267.10000000000002</v>
      </c>
      <c r="N47" s="116">
        <v>280.89999999999998</v>
      </c>
      <c r="O47" s="116">
        <v>263.25</v>
      </c>
      <c r="P47" s="116">
        <v>274.89999999999998</v>
      </c>
      <c r="Q47" s="116">
        <v>267.10000000000002</v>
      </c>
      <c r="R47">
        <v>2884915</v>
      </c>
    </row>
    <row r="48" spans="1:18" x14ac:dyDescent="0.25">
      <c r="A48" s="170">
        <v>42068</v>
      </c>
      <c r="B48" s="116">
        <v>270.10000000000002</v>
      </c>
      <c r="C48" s="116">
        <v>266.14999999999998</v>
      </c>
      <c r="D48" s="116">
        <v>262.14999999999998</v>
      </c>
      <c r="E48" s="116">
        <v>265.8</v>
      </c>
      <c r="F48" s="116">
        <v>266.14999999999998</v>
      </c>
      <c r="G48">
        <v>141006</v>
      </c>
      <c r="H48" s="116"/>
      <c r="I48" s="116"/>
      <c r="L48" s="170">
        <v>42068</v>
      </c>
      <c r="M48" s="116">
        <v>265.55</v>
      </c>
      <c r="N48" s="116">
        <v>270.25</v>
      </c>
      <c r="O48" s="116">
        <v>261.89999999999998</v>
      </c>
      <c r="P48" s="116">
        <v>265.05</v>
      </c>
      <c r="Q48" s="116">
        <v>265.55</v>
      </c>
      <c r="R48">
        <v>1208351</v>
      </c>
    </row>
    <row r="49" spans="1:18" x14ac:dyDescent="0.25">
      <c r="A49" s="170">
        <v>42072</v>
      </c>
      <c r="B49" s="116">
        <v>267.5</v>
      </c>
      <c r="C49" s="116">
        <v>257.89999999999998</v>
      </c>
      <c r="D49" s="116">
        <v>256.64999999999998</v>
      </c>
      <c r="E49" s="116">
        <v>267.5</v>
      </c>
      <c r="F49" s="116">
        <v>257.89999999999998</v>
      </c>
      <c r="G49">
        <v>140404</v>
      </c>
      <c r="H49" s="116"/>
      <c r="I49" s="116"/>
      <c r="L49" s="170">
        <v>42072</v>
      </c>
      <c r="M49" s="116">
        <v>257.8</v>
      </c>
      <c r="N49" s="116">
        <v>264.89999999999998</v>
      </c>
      <c r="O49" s="116">
        <v>256</v>
      </c>
      <c r="P49" s="116">
        <v>264</v>
      </c>
      <c r="Q49" s="116">
        <v>257.8</v>
      </c>
      <c r="R49">
        <v>1080396</v>
      </c>
    </row>
    <row r="50" spans="1:18" x14ac:dyDescent="0.25">
      <c r="A50" s="170">
        <v>42073</v>
      </c>
      <c r="B50" s="116">
        <v>267.25</v>
      </c>
      <c r="C50" s="116">
        <v>263.05</v>
      </c>
      <c r="D50" s="116">
        <v>256</v>
      </c>
      <c r="E50" s="116">
        <v>259</v>
      </c>
      <c r="F50" s="116">
        <v>263.05</v>
      </c>
      <c r="G50">
        <v>180893</v>
      </c>
      <c r="H50" s="116"/>
      <c r="I50" s="116"/>
      <c r="L50" s="170">
        <v>42073</v>
      </c>
      <c r="M50" s="116">
        <v>262</v>
      </c>
      <c r="N50" s="116">
        <v>267.8</v>
      </c>
      <c r="O50" s="116">
        <v>255.1</v>
      </c>
      <c r="P50" s="116">
        <v>257.05</v>
      </c>
      <c r="Q50" s="116">
        <v>262</v>
      </c>
      <c r="R50">
        <v>1693017</v>
      </c>
    </row>
    <row r="51" spans="1:18" x14ac:dyDescent="0.25">
      <c r="A51" s="170">
        <v>42074</v>
      </c>
      <c r="B51" s="116">
        <v>270.89999999999998</v>
      </c>
      <c r="C51" s="116">
        <v>269</v>
      </c>
      <c r="D51" s="116">
        <v>257.7</v>
      </c>
      <c r="E51" s="116">
        <v>264.89999999999998</v>
      </c>
      <c r="F51" s="116">
        <v>269</v>
      </c>
      <c r="G51">
        <v>185758</v>
      </c>
      <c r="H51" s="116"/>
      <c r="I51" s="116"/>
      <c r="L51" s="170">
        <v>42074</v>
      </c>
      <c r="M51" s="116">
        <v>268.95</v>
      </c>
      <c r="N51" s="116">
        <v>271.45</v>
      </c>
      <c r="O51" s="116">
        <v>257.39999999999998</v>
      </c>
      <c r="P51" s="116">
        <v>260</v>
      </c>
      <c r="Q51" s="116">
        <v>268.95</v>
      </c>
      <c r="R51">
        <v>1578771</v>
      </c>
    </row>
    <row r="52" spans="1:18" x14ac:dyDescent="0.25">
      <c r="A52" s="170">
        <v>42075</v>
      </c>
      <c r="B52" s="116">
        <v>288.89999999999998</v>
      </c>
      <c r="C52" s="116">
        <v>287.45</v>
      </c>
      <c r="D52" s="116">
        <v>269.2</v>
      </c>
      <c r="E52" s="116">
        <v>270</v>
      </c>
      <c r="F52" s="116">
        <v>287.45</v>
      </c>
      <c r="G52">
        <v>491265</v>
      </c>
      <c r="H52" s="116"/>
      <c r="I52" s="116"/>
      <c r="L52" s="170">
        <v>42075</v>
      </c>
      <c r="M52" s="116">
        <v>287.45</v>
      </c>
      <c r="N52" s="116">
        <v>289.55</v>
      </c>
      <c r="O52" s="116">
        <v>269</v>
      </c>
      <c r="P52" s="116">
        <v>269.05</v>
      </c>
      <c r="Q52" s="116">
        <v>287.45</v>
      </c>
      <c r="R52">
        <v>3649799</v>
      </c>
    </row>
    <row r="53" spans="1:18" x14ac:dyDescent="0.25">
      <c r="A53" s="170">
        <v>42076</v>
      </c>
      <c r="B53" s="116">
        <v>301.45</v>
      </c>
      <c r="C53" s="116">
        <v>289.2</v>
      </c>
      <c r="D53" s="116">
        <v>285.05</v>
      </c>
      <c r="E53" s="116">
        <v>289.89999999999998</v>
      </c>
      <c r="F53" s="116">
        <v>289.2</v>
      </c>
      <c r="G53">
        <v>1299872</v>
      </c>
      <c r="H53" s="116"/>
      <c r="I53" s="116"/>
      <c r="L53" s="170">
        <v>42076</v>
      </c>
      <c r="M53" s="116">
        <v>289</v>
      </c>
      <c r="N53" s="116">
        <v>301.39999999999998</v>
      </c>
      <c r="O53" s="116">
        <v>284.55</v>
      </c>
      <c r="P53" s="116">
        <v>290</v>
      </c>
      <c r="Q53" s="116">
        <v>289</v>
      </c>
      <c r="R53">
        <v>11904665</v>
      </c>
    </row>
    <row r="54" spans="1:18" x14ac:dyDescent="0.25">
      <c r="A54" s="170">
        <v>42079</v>
      </c>
      <c r="B54" s="116">
        <v>291.95</v>
      </c>
      <c r="C54" s="116">
        <v>280.75</v>
      </c>
      <c r="D54" s="116">
        <v>276.8</v>
      </c>
      <c r="E54" s="116">
        <v>291.95</v>
      </c>
      <c r="F54" s="116">
        <v>280.75</v>
      </c>
      <c r="G54">
        <v>277473</v>
      </c>
      <c r="H54" s="116"/>
      <c r="I54" s="116"/>
      <c r="L54" s="170">
        <v>42079</v>
      </c>
      <c r="M54" s="116">
        <v>280.85000000000002</v>
      </c>
      <c r="N54" s="116">
        <v>291.8</v>
      </c>
      <c r="O54" s="116">
        <v>276.64999999999998</v>
      </c>
      <c r="P54" s="116">
        <v>291.55</v>
      </c>
      <c r="Q54" s="116">
        <v>280.85000000000002</v>
      </c>
      <c r="R54">
        <v>2813044</v>
      </c>
    </row>
    <row r="55" spans="1:18" x14ac:dyDescent="0.25">
      <c r="A55" s="170">
        <v>42080</v>
      </c>
      <c r="B55" s="116">
        <v>287.25</v>
      </c>
      <c r="C55" s="116">
        <v>281.3</v>
      </c>
      <c r="D55" s="116">
        <v>275.85000000000002</v>
      </c>
      <c r="E55" s="116">
        <v>282.39999999999998</v>
      </c>
      <c r="F55" s="116">
        <v>281.3</v>
      </c>
      <c r="G55">
        <v>253109</v>
      </c>
      <c r="H55" s="116"/>
      <c r="I55" s="116"/>
      <c r="L55" s="170">
        <v>42080</v>
      </c>
      <c r="M55" s="116">
        <v>280.8</v>
      </c>
      <c r="N55" s="116">
        <v>287.35000000000002</v>
      </c>
      <c r="O55" s="116">
        <v>275.2</v>
      </c>
      <c r="P55" s="116">
        <v>281.95</v>
      </c>
      <c r="Q55" s="116">
        <v>280.8</v>
      </c>
      <c r="R55">
        <v>2624359</v>
      </c>
    </row>
    <row r="56" spans="1:18" x14ac:dyDescent="0.25">
      <c r="A56" s="170">
        <v>42081</v>
      </c>
      <c r="B56" s="116">
        <v>285.35000000000002</v>
      </c>
      <c r="C56" s="116">
        <v>280.75</v>
      </c>
      <c r="D56" s="116">
        <v>278.60000000000002</v>
      </c>
      <c r="E56" s="116">
        <v>282.5</v>
      </c>
      <c r="F56" s="116">
        <v>280.75</v>
      </c>
      <c r="G56">
        <v>185762</v>
      </c>
      <c r="H56" s="116"/>
      <c r="I56" s="116"/>
      <c r="L56" s="170">
        <v>42081</v>
      </c>
      <c r="M56" s="116">
        <v>280.45</v>
      </c>
      <c r="N56" s="116">
        <v>285.39999999999998</v>
      </c>
      <c r="O56" s="116">
        <v>278.45</v>
      </c>
      <c r="P56" s="116">
        <v>280.95</v>
      </c>
      <c r="Q56" s="116">
        <v>280.45</v>
      </c>
      <c r="R56">
        <v>1822364</v>
      </c>
    </row>
    <row r="57" spans="1:18" x14ac:dyDescent="0.25">
      <c r="A57" s="170">
        <v>42082</v>
      </c>
      <c r="B57" s="116">
        <v>289.2</v>
      </c>
      <c r="C57" s="116">
        <v>273.85000000000002</v>
      </c>
      <c r="D57" s="116">
        <v>272.14999999999998</v>
      </c>
      <c r="E57" s="116">
        <v>280.75</v>
      </c>
      <c r="F57" s="116">
        <v>273.85000000000002</v>
      </c>
      <c r="G57">
        <v>254487</v>
      </c>
      <c r="H57" s="116"/>
      <c r="I57" s="116"/>
      <c r="L57" s="170">
        <v>42082</v>
      </c>
      <c r="M57" s="116">
        <v>273.8</v>
      </c>
      <c r="N57" s="116">
        <v>289.3</v>
      </c>
      <c r="O57" s="116">
        <v>271.64999999999998</v>
      </c>
      <c r="P57" s="116">
        <v>282.5</v>
      </c>
      <c r="Q57" s="116">
        <v>273.8</v>
      </c>
      <c r="R57">
        <v>2639502</v>
      </c>
    </row>
    <row r="58" spans="1:18" x14ac:dyDescent="0.25">
      <c r="A58" s="170">
        <v>42083</v>
      </c>
      <c r="B58" s="116">
        <v>280.64999999999998</v>
      </c>
      <c r="C58" s="116">
        <v>274.25</v>
      </c>
      <c r="D58" s="116">
        <v>272.7</v>
      </c>
      <c r="E58" s="116">
        <v>274.89999999999998</v>
      </c>
      <c r="F58" s="116">
        <v>274.25</v>
      </c>
      <c r="G58">
        <v>163359</v>
      </c>
      <c r="H58" s="116"/>
      <c r="I58" s="116"/>
      <c r="L58" s="170">
        <v>42083</v>
      </c>
      <c r="M58" s="116">
        <v>275.25</v>
      </c>
      <c r="N58" s="116">
        <v>280.89999999999998</v>
      </c>
      <c r="O58" s="116">
        <v>273.45</v>
      </c>
      <c r="P58" s="116">
        <v>276</v>
      </c>
      <c r="Q58" s="116">
        <v>275.25</v>
      </c>
      <c r="R58">
        <v>2443487</v>
      </c>
    </row>
    <row r="59" spans="1:18" x14ac:dyDescent="0.25">
      <c r="A59" s="170">
        <v>42086</v>
      </c>
      <c r="B59" s="116">
        <v>280.2</v>
      </c>
      <c r="C59" s="116">
        <v>274.39999999999998</v>
      </c>
      <c r="D59" s="116">
        <v>272.7</v>
      </c>
      <c r="E59" s="116">
        <v>276.10000000000002</v>
      </c>
      <c r="F59" s="116">
        <v>274.39999999999998</v>
      </c>
      <c r="G59">
        <v>166820</v>
      </c>
      <c r="H59" s="116"/>
      <c r="I59" s="116"/>
      <c r="L59" s="170">
        <v>42086</v>
      </c>
      <c r="M59" s="116">
        <v>274.3</v>
      </c>
      <c r="N59" s="116">
        <v>280.5</v>
      </c>
      <c r="O59" s="116">
        <v>272.45</v>
      </c>
      <c r="P59" s="116">
        <v>277.8</v>
      </c>
      <c r="Q59" s="116">
        <v>274.3</v>
      </c>
      <c r="R59">
        <v>1339069</v>
      </c>
    </row>
    <row r="60" spans="1:18" x14ac:dyDescent="0.25">
      <c r="A60" s="170">
        <v>42087</v>
      </c>
      <c r="B60" s="116">
        <v>281.39999999999998</v>
      </c>
      <c r="C60" s="116">
        <v>276.7</v>
      </c>
      <c r="D60" s="116">
        <v>275</v>
      </c>
      <c r="E60" s="116">
        <v>276.8</v>
      </c>
      <c r="F60" s="116">
        <v>276.7</v>
      </c>
      <c r="G60">
        <v>270964</v>
      </c>
      <c r="H60" s="116"/>
      <c r="I60" s="116"/>
      <c r="L60" s="170">
        <v>42087</v>
      </c>
      <c r="M60" s="116">
        <v>278</v>
      </c>
      <c r="N60" s="116">
        <v>281.39999999999998</v>
      </c>
      <c r="O60" s="116">
        <v>274.55</v>
      </c>
      <c r="P60" s="116">
        <v>275</v>
      </c>
      <c r="Q60" s="116">
        <v>278</v>
      </c>
      <c r="R60">
        <v>1840778</v>
      </c>
    </row>
    <row r="61" spans="1:18" x14ac:dyDescent="0.25">
      <c r="A61" s="170">
        <v>42088</v>
      </c>
      <c r="B61" s="116">
        <v>282.7</v>
      </c>
      <c r="C61" s="116">
        <v>281.05</v>
      </c>
      <c r="D61" s="116">
        <v>276.8</v>
      </c>
      <c r="E61" s="116">
        <v>279.7</v>
      </c>
      <c r="F61" s="116">
        <v>281.05</v>
      </c>
      <c r="G61">
        <v>183070</v>
      </c>
      <c r="H61" s="116"/>
      <c r="I61" s="116"/>
      <c r="L61" s="170">
        <v>42088</v>
      </c>
      <c r="M61" s="116">
        <v>281.35000000000002</v>
      </c>
      <c r="N61" s="116">
        <v>282.75</v>
      </c>
      <c r="O61" s="116">
        <v>276.55</v>
      </c>
      <c r="P61" s="116">
        <v>279</v>
      </c>
      <c r="Q61" s="116">
        <v>281.35000000000002</v>
      </c>
      <c r="R61">
        <v>1946125</v>
      </c>
    </row>
    <row r="62" spans="1:18" x14ac:dyDescent="0.25">
      <c r="A62" s="170">
        <v>42089</v>
      </c>
      <c r="B62" s="116">
        <v>283.95</v>
      </c>
      <c r="C62" s="116">
        <v>273.35000000000002</v>
      </c>
      <c r="D62" s="116">
        <v>272.10000000000002</v>
      </c>
      <c r="E62" s="116">
        <v>281</v>
      </c>
      <c r="F62" s="116">
        <v>273.35000000000002</v>
      </c>
      <c r="G62">
        <v>202904</v>
      </c>
      <c r="H62" s="116"/>
      <c r="I62" s="116"/>
      <c r="L62" s="170">
        <v>42089</v>
      </c>
      <c r="M62" s="116">
        <v>273.3</v>
      </c>
      <c r="N62" s="116">
        <v>284</v>
      </c>
      <c r="O62" s="116">
        <v>272.05</v>
      </c>
      <c r="P62" s="116">
        <v>281</v>
      </c>
      <c r="Q62" s="116">
        <v>273.3</v>
      </c>
      <c r="R62">
        <v>2849587</v>
      </c>
    </row>
    <row r="63" spans="1:18" x14ac:dyDescent="0.25">
      <c r="A63" s="170">
        <v>42090</v>
      </c>
      <c r="B63" s="116">
        <v>277.39999999999998</v>
      </c>
      <c r="C63" s="116">
        <v>274.45</v>
      </c>
      <c r="D63" s="116">
        <v>265.10000000000002</v>
      </c>
      <c r="E63" s="116">
        <v>275.85000000000002</v>
      </c>
      <c r="F63" s="116">
        <v>274.45</v>
      </c>
      <c r="G63">
        <v>204689</v>
      </c>
      <c r="H63" s="116"/>
      <c r="I63" s="116"/>
      <c r="L63" s="170">
        <v>42090</v>
      </c>
      <c r="M63" s="116">
        <v>274.8</v>
      </c>
      <c r="N63" s="116">
        <v>277.39999999999998</v>
      </c>
      <c r="O63" s="116">
        <v>265.05</v>
      </c>
      <c r="P63" s="116">
        <v>275.60000000000002</v>
      </c>
      <c r="Q63" s="116">
        <v>274.8</v>
      </c>
      <c r="R63">
        <v>1450548</v>
      </c>
    </row>
    <row r="64" spans="1:18" x14ac:dyDescent="0.25">
      <c r="A64" s="170">
        <v>42093</v>
      </c>
      <c r="B64" s="116">
        <v>282.2</v>
      </c>
      <c r="C64" s="116">
        <v>279.89999999999998</v>
      </c>
      <c r="D64" s="116">
        <v>274.60000000000002</v>
      </c>
      <c r="E64" s="116">
        <v>275.3</v>
      </c>
      <c r="F64" s="116">
        <v>279.89999999999998</v>
      </c>
      <c r="G64">
        <v>137966</v>
      </c>
      <c r="H64" s="116"/>
      <c r="I64" s="116"/>
      <c r="L64" s="170">
        <v>42093</v>
      </c>
      <c r="M64" s="116">
        <v>279.95</v>
      </c>
      <c r="N64" s="116">
        <v>282.39999999999998</v>
      </c>
      <c r="O64" s="116">
        <v>274.5</v>
      </c>
      <c r="P64" s="116">
        <v>278.8</v>
      </c>
      <c r="Q64" s="116">
        <v>279.95</v>
      </c>
      <c r="R64">
        <v>1079416</v>
      </c>
    </row>
    <row r="65" spans="1:18" x14ac:dyDescent="0.25">
      <c r="A65" s="170">
        <v>42094</v>
      </c>
      <c r="B65" s="116">
        <v>285.85000000000002</v>
      </c>
      <c r="C65" s="116">
        <v>279.35000000000002</v>
      </c>
      <c r="D65" s="116">
        <v>276.3</v>
      </c>
      <c r="E65" s="116">
        <v>281.35000000000002</v>
      </c>
      <c r="F65" s="116">
        <v>279.35000000000002</v>
      </c>
      <c r="G65">
        <v>187058</v>
      </c>
      <c r="H65" s="116"/>
      <c r="I65" s="116"/>
      <c r="L65" s="170">
        <v>42094</v>
      </c>
      <c r="M65" s="116">
        <v>279.85000000000002</v>
      </c>
      <c r="N65" s="116">
        <v>285.85000000000002</v>
      </c>
      <c r="O65" s="116">
        <v>276.2</v>
      </c>
      <c r="P65" s="116">
        <v>281.39999999999998</v>
      </c>
      <c r="Q65" s="116">
        <v>279.85000000000002</v>
      </c>
      <c r="R65">
        <v>1344947</v>
      </c>
    </row>
    <row r="66" spans="1:18" x14ac:dyDescent="0.25">
      <c r="A66" s="170">
        <v>42095</v>
      </c>
      <c r="B66" s="116">
        <v>284.89999999999998</v>
      </c>
      <c r="C66" s="116">
        <v>283.64999999999998</v>
      </c>
      <c r="D66" s="116">
        <v>277.60000000000002</v>
      </c>
      <c r="E66" s="116">
        <v>280.5</v>
      </c>
      <c r="F66" s="116">
        <v>283.64999999999998</v>
      </c>
      <c r="G66">
        <v>99833</v>
      </c>
      <c r="H66" s="116"/>
      <c r="I66" s="116"/>
      <c r="L66" s="170">
        <v>42095</v>
      </c>
      <c r="M66" s="116">
        <v>283.7</v>
      </c>
      <c r="N66" s="116">
        <v>285</v>
      </c>
      <c r="O66" s="116">
        <v>277.2</v>
      </c>
      <c r="P66" s="116">
        <v>279.89999999999998</v>
      </c>
      <c r="Q66" s="116">
        <v>283.7</v>
      </c>
      <c r="R66">
        <v>961772</v>
      </c>
    </row>
    <row r="67" spans="1:18" x14ac:dyDescent="0.25">
      <c r="A67" s="170">
        <v>42100</v>
      </c>
      <c r="B67" s="116">
        <v>287.85000000000002</v>
      </c>
      <c r="C67" s="116">
        <v>284.8</v>
      </c>
      <c r="D67" s="116">
        <v>279.2</v>
      </c>
      <c r="E67" s="116">
        <v>282.35000000000002</v>
      </c>
      <c r="F67" s="116">
        <v>284.8</v>
      </c>
      <c r="G67">
        <v>131746</v>
      </c>
      <c r="H67" s="116"/>
      <c r="I67" s="116"/>
      <c r="L67" s="170">
        <v>42100</v>
      </c>
      <c r="M67" s="116">
        <v>284.60000000000002</v>
      </c>
      <c r="N67" s="116">
        <v>288</v>
      </c>
      <c r="O67" s="116">
        <v>279</v>
      </c>
      <c r="P67" s="116">
        <v>286</v>
      </c>
      <c r="Q67" s="116">
        <v>284.60000000000002</v>
      </c>
      <c r="R67">
        <v>1768320</v>
      </c>
    </row>
    <row r="68" spans="1:18" x14ac:dyDescent="0.25">
      <c r="A68" s="170">
        <v>42101</v>
      </c>
      <c r="B68" s="116">
        <v>295.39999999999998</v>
      </c>
      <c r="C68" s="116">
        <v>292.95</v>
      </c>
      <c r="D68" s="116">
        <v>280.8</v>
      </c>
      <c r="E68" s="116">
        <v>284.8</v>
      </c>
      <c r="F68" s="116">
        <v>292.95</v>
      </c>
      <c r="G68">
        <v>191647</v>
      </c>
      <c r="H68" s="116"/>
      <c r="I68" s="116"/>
      <c r="L68" s="170">
        <v>42101</v>
      </c>
      <c r="M68" s="116">
        <v>293.05</v>
      </c>
      <c r="N68" s="116">
        <v>295.5</v>
      </c>
      <c r="O68" s="116">
        <v>280.60000000000002</v>
      </c>
      <c r="P68" s="116">
        <v>286.14999999999998</v>
      </c>
      <c r="Q68" s="116">
        <v>293.05</v>
      </c>
      <c r="R68">
        <v>2914809</v>
      </c>
    </row>
    <row r="69" spans="1:18" x14ac:dyDescent="0.25">
      <c r="A69" s="170">
        <v>42102</v>
      </c>
      <c r="B69" s="116">
        <v>301</v>
      </c>
      <c r="C69" s="116">
        <v>293.7</v>
      </c>
      <c r="D69" s="116">
        <v>291.8</v>
      </c>
      <c r="E69" s="116">
        <v>295.10000000000002</v>
      </c>
      <c r="F69" s="116">
        <v>293.7</v>
      </c>
      <c r="G69">
        <v>338112</v>
      </c>
      <c r="H69" s="116"/>
      <c r="I69" s="116"/>
      <c r="L69" s="170">
        <v>42102</v>
      </c>
      <c r="M69" s="116">
        <v>294.39999999999998</v>
      </c>
      <c r="N69" s="116">
        <v>301</v>
      </c>
      <c r="O69" s="116">
        <v>291.35000000000002</v>
      </c>
      <c r="P69" s="116">
        <v>295</v>
      </c>
      <c r="Q69" s="116">
        <v>294.39999999999998</v>
      </c>
      <c r="R69">
        <v>3337319</v>
      </c>
    </row>
    <row r="70" spans="1:18" x14ac:dyDescent="0.25">
      <c r="A70" s="170">
        <v>42103</v>
      </c>
      <c r="B70" s="116">
        <v>299.39999999999998</v>
      </c>
      <c r="C70" s="116">
        <v>293.60000000000002</v>
      </c>
      <c r="D70" s="116">
        <v>290.89999999999998</v>
      </c>
      <c r="E70" s="116">
        <v>295.3</v>
      </c>
      <c r="F70" s="116">
        <v>293.60000000000002</v>
      </c>
      <c r="G70">
        <v>152815</v>
      </c>
      <c r="H70" s="116"/>
      <c r="I70" s="116"/>
      <c r="L70" s="170">
        <v>42103</v>
      </c>
      <c r="M70" s="116">
        <v>293.5</v>
      </c>
      <c r="N70" s="116">
        <v>299.5</v>
      </c>
      <c r="O70" s="116">
        <v>290.64999999999998</v>
      </c>
      <c r="P70" s="116">
        <v>295.5</v>
      </c>
      <c r="Q70" s="116">
        <v>293.5</v>
      </c>
      <c r="R70">
        <v>2141273</v>
      </c>
    </row>
    <row r="71" spans="1:18" x14ac:dyDescent="0.25">
      <c r="A71" s="170">
        <v>42104</v>
      </c>
      <c r="B71" s="116">
        <v>307.35000000000002</v>
      </c>
      <c r="C71" s="116">
        <v>306.2</v>
      </c>
      <c r="D71" s="116">
        <v>293.10000000000002</v>
      </c>
      <c r="E71" s="116">
        <v>295</v>
      </c>
      <c r="F71" s="116">
        <v>306.2</v>
      </c>
      <c r="G71">
        <v>398634</v>
      </c>
      <c r="H71" s="116"/>
      <c r="I71" s="116"/>
      <c r="L71" s="170">
        <v>42104</v>
      </c>
      <c r="M71" s="116">
        <v>306.05</v>
      </c>
      <c r="N71" s="116">
        <v>307.64999999999998</v>
      </c>
      <c r="O71" s="116">
        <v>293</v>
      </c>
      <c r="P71" s="116">
        <v>294</v>
      </c>
      <c r="Q71" s="116">
        <v>306.05</v>
      </c>
      <c r="R71">
        <v>3551955</v>
      </c>
    </row>
    <row r="72" spans="1:18" x14ac:dyDescent="0.25">
      <c r="A72" s="170">
        <v>42107</v>
      </c>
      <c r="B72" s="116">
        <v>310.25</v>
      </c>
      <c r="C72" s="116">
        <v>303.85000000000002</v>
      </c>
      <c r="D72" s="116">
        <v>302.85000000000002</v>
      </c>
      <c r="E72" s="116">
        <v>306</v>
      </c>
      <c r="F72" s="116">
        <v>303.85000000000002</v>
      </c>
      <c r="G72">
        <v>208269</v>
      </c>
      <c r="H72" s="116"/>
      <c r="I72" s="116"/>
      <c r="L72" s="170">
        <v>42107</v>
      </c>
      <c r="M72" s="116">
        <v>303.35000000000002</v>
      </c>
      <c r="N72" s="116">
        <v>310.3</v>
      </c>
      <c r="O72" s="116">
        <v>302.2</v>
      </c>
      <c r="P72" s="116">
        <v>307.85000000000002</v>
      </c>
      <c r="Q72" s="116">
        <v>303.35000000000002</v>
      </c>
      <c r="R72">
        <v>2534441</v>
      </c>
    </row>
    <row r="73" spans="1:18" x14ac:dyDescent="0.25">
      <c r="A73" s="170">
        <v>42109</v>
      </c>
      <c r="B73" s="116">
        <v>309.64999999999998</v>
      </c>
      <c r="C73" s="116">
        <v>300.3</v>
      </c>
      <c r="D73" s="116">
        <v>296.95</v>
      </c>
      <c r="E73" s="116">
        <v>304.10000000000002</v>
      </c>
      <c r="F73" s="116">
        <v>300.3</v>
      </c>
      <c r="G73">
        <v>184559</v>
      </c>
      <c r="H73" s="116"/>
      <c r="I73" s="116"/>
      <c r="L73" s="170">
        <v>42109</v>
      </c>
      <c r="M73" s="116">
        <v>300.5</v>
      </c>
      <c r="N73" s="116">
        <v>309.75</v>
      </c>
      <c r="O73" s="116">
        <v>296.5</v>
      </c>
      <c r="P73" s="116">
        <v>303</v>
      </c>
      <c r="Q73" s="116">
        <v>300.5</v>
      </c>
      <c r="R73">
        <v>2479661</v>
      </c>
    </row>
    <row r="74" spans="1:18" x14ac:dyDescent="0.25">
      <c r="A74" s="170">
        <v>42110</v>
      </c>
      <c r="B74" s="116">
        <v>302</v>
      </c>
      <c r="C74" s="116">
        <v>292.10000000000002</v>
      </c>
      <c r="D74" s="116">
        <v>289.55</v>
      </c>
      <c r="E74" s="116">
        <v>301.25</v>
      </c>
      <c r="F74" s="116">
        <v>292.10000000000002</v>
      </c>
      <c r="G74">
        <v>179824</v>
      </c>
      <c r="H74" s="116"/>
      <c r="I74" s="116"/>
      <c r="L74" s="170">
        <v>42110</v>
      </c>
      <c r="M74" s="116">
        <v>292</v>
      </c>
      <c r="N74" s="116">
        <v>302</v>
      </c>
      <c r="O74" s="116">
        <v>289.39999999999998</v>
      </c>
      <c r="P74" s="116">
        <v>300.5</v>
      </c>
      <c r="Q74" s="116">
        <v>292</v>
      </c>
      <c r="R74">
        <v>1899870</v>
      </c>
    </row>
    <row r="75" spans="1:18" x14ac:dyDescent="0.25">
      <c r="A75" s="170">
        <v>42111</v>
      </c>
      <c r="B75" s="116">
        <v>299</v>
      </c>
      <c r="C75" s="116">
        <v>295.35000000000002</v>
      </c>
      <c r="D75" s="116">
        <v>290.8</v>
      </c>
      <c r="E75" s="116">
        <v>293.5</v>
      </c>
      <c r="F75" s="116">
        <v>295.35000000000002</v>
      </c>
      <c r="G75">
        <v>127914</v>
      </c>
      <c r="H75" s="116"/>
      <c r="I75" s="116"/>
      <c r="L75" s="170">
        <v>42111</v>
      </c>
      <c r="M75" s="116">
        <v>295.14999999999998</v>
      </c>
      <c r="N75" s="116">
        <v>299.3</v>
      </c>
      <c r="O75" s="116">
        <v>290.55</v>
      </c>
      <c r="P75" s="116">
        <v>292.3</v>
      </c>
      <c r="Q75" s="116">
        <v>295.14999999999998</v>
      </c>
      <c r="R75">
        <v>1637036</v>
      </c>
    </row>
    <row r="76" spans="1:18" x14ac:dyDescent="0.25">
      <c r="A76" s="170">
        <v>42114</v>
      </c>
      <c r="B76" s="116">
        <v>294.10000000000002</v>
      </c>
      <c r="C76" s="116">
        <v>288.85000000000002</v>
      </c>
      <c r="D76" s="116">
        <v>283</v>
      </c>
      <c r="E76" s="116">
        <v>294</v>
      </c>
      <c r="F76" s="116">
        <v>288.85000000000002</v>
      </c>
      <c r="G76">
        <v>131514</v>
      </c>
      <c r="H76" s="116"/>
      <c r="I76" s="116"/>
      <c r="L76" s="170">
        <v>42114</v>
      </c>
      <c r="M76" s="116">
        <v>288.35000000000002</v>
      </c>
      <c r="N76" s="116">
        <v>295.14999999999998</v>
      </c>
      <c r="O76" s="116">
        <v>282.35000000000002</v>
      </c>
      <c r="P76" s="116">
        <v>294.2</v>
      </c>
      <c r="Q76" s="116">
        <v>288.35000000000002</v>
      </c>
      <c r="R76">
        <v>1625832</v>
      </c>
    </row>
    <row r="77" spans="1:18" x14ac:dyDescent="0.25">
      <c r="A77" s="170">
        <v>42115</v>
      </c>
      <c r="B77" s="116">
        <v>298</v>
      </c>
      <c r="C77" s="116">
        <v>292.75</v>
      </c>
      <c r="D77" s="116">
        <v>286.60000000000002</v>
      </c>
      <c r="E77" s="116">
        <v>286.60000000000002</v>
      </c>
      <c r="F77" s="116">
        <v>292.75</v>
      </c>
      <c r="G77">
        <v>156013</v>
      </c>
      <c r="H77" s="116"/>
      <c r="I77" s="116"/>
      <c r="L77" s="170">
        <v>42115</v>
      </c>
      <c r="M77" s="116">
        <v>291.95</v>
      </c>
      <c r="N77" s="116">
        <v>298.5</v>
      </c>
      <c r="O77" s="116">
        <v>287</v>
      </c>
      <c r="P77" s="116">
        <v>288.2</v>
      </c>
      <c r="Q77" s="116">
        <v>291.95</v>
      </c>
      <c r="R77">
        <v>1902639</v>
      </c>
    </row>
    <row r="78" spans="1:18" x14ac:dyDescent="0.25">
      <c r="A78" s="170">
        <v>42116</v>
      </c>
      <c r="B78" s="116">
        <v>296.95</v>
      </c>
      <c r="C78" s="116">
        <v>286.95</v>
      </c>
      <c r="D78" s="116">
        <v>284.39999999999998</v>
      </c>
      <c r="E78" s="116">
        <v>292.89999999999998</v>
      </c>
      <c r="F78" s="116">
        <v>286.95</v>
      </c>
      <c r="G78">
        <v>111664</v>
      </c>
      <c r="H78" s="116"/>
      <c r="I78" s="116"/>
      <c r="L78" s="170">
        <v>42116</v>
      </c>
      <c r="M78" s="116">
        <v>286.60000000000002</v>
      </c>
      <c r="N78" s="116">
        <v>297</v>
      </c>
      <c r="O78" s="116">
        <v>284.14999999999998</v>
      </c>
      <c r="P78" s="116">
        <v>292.10000000000002</v>
      </c>
      <c r="Q78" s="116">
        <v>286.60000000000002</v>
      </c>
      <c r="R78">
        <v>2322220</v>
      </c>
    </row>
    <row r="79" spans="1:18" x14ac:dyDescent="0.25">
      <c r="A79" s="170">
        <v>42117</v>
      </c>
      <c r="B79" s="116">
        <v>291.75</v>
      </c>
      <c r="C79" s="116">
        <v>288.75</v>
      </c>
      <c r="D79" s="116">
        <v>286.5</v>
      </c>
      <c r="E79" s="116">
        <v>288.85000000000002</v>
      </c>
      <c r="F79" s="116">
        <v>288.75</v>
      </c>
      <c r="G79">
        <v>96211</v>
      </c>
      <c r="H79" s="116"/>
      <c r="I79" s="116"/>
      <c r="L79" s="170">
        <v>42117</v>
      </c>
      <c r="M79" s="116">
        <v>288.95</v>
      </c>
      <c r="N79" s="116">
        <v>291.8</v>
      </c>
      <c r="O79" s="116">
        <v>286.55</v>
      </c>
      <c r="P79" s="116">
        <v>288</v>
      </c>
      <c r="Q79" s="116">
        <v>288.95</v>
      </c>
      <c r="R79">
        <v>1250570</v>
      </c>
    </row>
    <row r="80" spans="1:18" x14ac:dyDescent="0.25">
      <c r="A80" s="170">
        <v>42118</v>
      </c>
      <c r="B80" s="116">
        <v>290</v>
      </c>
      <c r="C80" s="116">
        <v>279.7</v>
      </c>
      <c r="D80" s="116">
        <v>277.75</v>
      </c>
      <c r="E80" s="116">
        <v>288</v>
      </c>
      <c r="F80" s="116">
        <v>279.7</v>
      </c>
      <c r="G80">
        <v>107399</v>
      </c>
      <c r="H80" s="116"/>
      <c r="I80" s="116"/>
      <c r="L80" s="170">
        <v>42118</v>
      </c>
      <c r="M80" s="116">
        <v>279.89999999999998</v>
      </c>
      <c r="N80" s="116">
        <v>289.95</v>
      </c>
      <c r="O80" s="116">
        <v>277.8</v>
      </c>
      <c r="P80" s="116">
        <v>289.35000000000002</v>
      </c>
      <c r="Q80" s="116">
        <v>279.89999999999998</v>
      </c>
      <c r="R80">
        <v>1329835</v>
      </c>
    </row>
    <row r="81" spans="1:18" x14ac:dyDescent="0.25">
      <c r="A81" s="170">
        <v>42121</v>
      </c>
      <c r="B81" s="116">
        <v>282</v>
      </c>
      <c r="C81" s="116">
        <v>265.14999999999998</v>
      </c>
      <c r="D81" s="116">
        <v>258.8</v>
      </c>
      <c r="E81" s="116">
        <v>282</v>
      </c>
      <c r="F81" s="116">
        <v>265.14999999999998</v>
      </c>
      <c r="G81">
        <v>148011</v>
      </c>
      <c r="H81" s="116"/>
      <c r="I81" s="116"/>
      <c r="L81" s="170">
        <v>42121</v>
      </c>
      <c r="M81" s="116">
        <v>265.45</v>
      </c>
      <c r="N81" s="116">
        <v>280.95</v>
      </c>
      <c r="O81" s="116">
        <v>258.25</v>
      </c>
      <c r="P81" s="116">
        <v>280.8</v>
      </c>
      <c r="Q81" s="116">
        <v>265.45</v>
      </c>
      <c r="R81">
        <v>2752267</v>
      </c>
    </row>
    <row r="82" spans="1:18" x14ac:dyDescent="0.25">
      <c r="A82" s="170">
        <v>42122</v>
      </c>
      <c r="B82" s="116">
        <v>277.95</v>
      </c>
      <c r="C82" s="116">
        <v>275.10000000000002</v>
      </c>
      <c r="D82" s="116">
        <v>262.60000000000002</v>
      </c>
      <c r="E82" s="116">
        <v>264</v>
      </c>
      <c r="F82" s="116">
        <v>275.10000000000002</v>
      </c>
      <c r="G82">
        <v>97851</v>
      </c>
      <c r="H82" s="116"/>
      <c r="I82" s="116"/>
      <c r="L82" s="170">
        <v>42122</v>
      </c>
      <c r="M82" s="116">
        <v>275.35000000000002</v>
      </c>
      <c r="N82" s="116">
        <v>278.39999999999998</v>
      </c>
      <c r="O82" s="116">
        <v>262.55</v>
      </c>
      <c r="P82" s="116">
        <v>266</v>
      </c>
      <c r="Q82" s="116">
        <v>275.35000000000002</v>
      </c>
      <c r="R82">
        <v>1473227</v>
      </c>
    </row>
    <row r="83" spans="1:18" x14ac:dyDescent="0.25">
      <c r="A83" s="170">
        <v>42123</v>
      </c>
      <c r="B83" s="116">
        <v>277.45</v>
      </c>
      <c r="C83" s="116">
        <v>272.60000000000002</v>
      </c>
      <c r="D83" s="116">
        <v>271.35000000000002</v>
      </c>
      <c r="E83" s="116">
        <v>275.60000000000002</v>
      </c>
      <c r="F83" s="116">
        <v>272.60000000000002</v>
      </c>
      <c r="G83">
        <v>86893</v>
      </c>
      <c r="H83" s="116"/>
      <c r="I83" s="116"/>
      <c r="L83" s="170">
        <v>42123</v>
      </c>
      <c r="M83" s="116">
        <v>273.25</v>
      </c>
      <c r="N83" s="116">
        <v>277.39999999999998</v>
      </c>
      <c r="O83" s="116">
        <v>271</v>
      </c>
      <c r="P83" s="116">
        <v>276.3</v>
      </c>
      <c r="Q83" s="116">
        <v>273.25</v>
      </c>
      <c r="R83">
        <v>1089030</v>
      </c>
    </row>
    <row r="84" spans="1:18" x14ac:dyDescent="0.25">
      <c r="A84" s="170">
        <v>42124</v>
      </c>
      <c r="B84" s="116">
        <v>283.5</v>
      </c>
      <c r="C84" s="116">
        <v>280.55</v>
      </c>
      <c r="D84" s="116">
        <v>268.60000000000002</v>
      </c>
      <c r="E84" s="116">
        <v>270.89999999999998</v>
      </c>
      <c r="F84" s="116">
        <v>280.55</v>
      </c>
      <c r="G84">
        <v>125362</v>
      </c>
      <c r="H84" s="116"/>
      <c r="I84" s="116"/>
      <c r="L84" s="170">
        <v>42124</v>
      </c>
      <c r="M84" s="116">
        <v>281.10000000000002</v>
      </c>
      <c r="N84" s="116">
        <v>284.64999999999998</v>
      </c>
      <c r="O84" s="116">
        <v>268.55</v>
      </c>
      <c r="P84" s="116">
        <v>271.95</v>
      </c>
      <c r="Q84" s="116">
        <v>281.10000000000002</v>
      </c>
      <c r="R84">
        <v>2613720</v>
      </c>
    </row>
    <row r="85" spans="1:18" x14ac:dyDescent="0.25">
      <c r="A85" s="170">
        <v>42128</v>
      </c>
      <c r="B85" s="116">
        <v>286</v>
      </c>
      <c r="C85" s="116">
        <v>284.7</v>
      </c>
      <c r="D85" s="116">
        <v>281.05</v>
      </c>
      <c r="E85" s="116">
        <v>282.39999999999998</v>
      </c>
      <c r="F85" s="116">
        <v>284.7</v>
      </c>
      <c r="G85">
        <v>72236</v>
      </c>
      <c r="H85" s="116"/>
      <c r="I85" s="116"/>
      <c r="L85" s="170">
        <v>42128</v>
      </c>
      <c r="M85" s="116">
        <v>284.60000000000002</v>
      </c>
      <c r="N85" s="116">
        <v>286.25</v>
      </c>
      <c r="O85" s="116">
        <v>281</v>
      </c>
      <c r="P85" s="116">
        <v>281.89999999999998</v>
      </c>
      <c r="Q85" s="116">
        <v>284.60000000000002</v>
      </c>
      <c r="R85">
        <v>867550</v>
      </c>
    </row>
    <row r="86" spans="1:18" x14ac:dyDescent="0.25">
      <c r="A86" s="170">
        <v>42129</v>
      </c>
      <c r="B86" s="116">
        <v>292.60000000000002</v>
      </c>
      <c r="C86" s="116">
        <v>288.75</v>
      </c>
      <c r="D86" s="116">
        <v>283</v>
      </c>
      <c r="E86" s="116">
        <v>284</v>
      </c>
      <c r="F86" s="116">
        <v>288.75</v>
      </c>
      <c r="G86">
        <v>165212</v>
      </c>
      <c r="H86" s="116"/>
      <c r="I86" s="116"/>
      <c r="L86" s="170">
        <v>42129</v>
      </c>
      <c r="M86" s="116">
        <v>289</v>
      </c>
      <c r="N86" s="116">
        <v>292.8</v>
      </c>
      <c r="O86" s="116">
        <v>281</v>
      </c>
      <c r="P86" s="116">
        <v>281</v>
      </c>
      <c r="Q86" s="116">
        <v>289</v>
      </c>
      <c r="R86">
        <v>1465400</v>
      </c>
    </row>
    <row r="87" spans="1:18" x14ac:dyDescent="0.25">
      <c r="A87" s="170">
        <v>42130</v>
      </c>
      <c r="B87" s="116">
        <v>289</v>
      </c>
      <c r="C87" s="116">
        <v>276.05</v>
      </c>
      <c r="D87" s="116">
        <v>272.3</v>
      </c>
      <c r="E87" s="116">
        <v>289</v>
      </c>
      <c r="F87" s="116">
        <v>276.05</v>
      </c>
      <c r="G87">
        <v>140882</v>
      </c>
      <c r="H87" s="116"/>
      <c r="I87" s="116"/>
      <c r="L87" s="170">
        <v>42130</v>
      </c>
      <c r="M87" s="116">
        <v>276.10000000000002</v>
      </c>
      <c r="N87" s="116">
        <v>288.3</v>
      </c>
      <c r="O87" s="116">
        <v>272</v>
      </c>
      <c r="P87" s="116">
        <v>287</v>
      </c>
      <c r="Q87" s="116">
        <v>276.10000000000002</v>
      </c>
      <c r="R87">
        <v>1766138</v>
      </c>
    </row>
    <row r="88" spans="1:18" x14ac:dyDescent="0.25">
      <c r="A88" s="170">
        <v>42131</v>
      </c>
      <c r="B88" s="116">
        <v>277</v>
      </c>
      <c r="C88" s="116">
        <v>266.75</v>
      </c>
      <c r="D88" s="116">
        <v>261.3</v>
      </c>
      <c r="E88" s="116">
        <v>277</v>
      </c>
      <c r="F88" s="116">
        <v>266.75</v>
      </c>
      <c r="G88">
        <v>176209</v>
      </c>
      <c r="H88" s="116"/>
      <c r="I88" s="116"/>
      <c r="L88" s="170">
        <v>42131</v>
      </c>
      <c r="M88" s="116">
        <v>267.05</v>
      </c>
      <c r="N88" s="116">
        <v>276</v>
      </c>
      <c r="O88" s="116">
        <v>261.3</v>
      </c>
      <c r="P88" s="116">
        <v>276</v>
      </c>
      <c r="Q88" s="116">
        <v>267.05</v>
      </c>
      <c r="R88">
        <v>1521348</v>
      </c>
    </row>
    <row r="89" spans="1:18" x14ac:dyDescent="0.25">
      <c r="A89" s="170">
        <v>42132</v>
      </c>
      <c r="B89" s="116">
        <v>282</v>
      </c>
      <c r="C89" s="116">
        <v>280.89999999999998</v>
      </c>
      <c r="D89" s="116">
        <v>270.2</v>
      </c>
      <c r="E89" s="116">
        <v>270.2</v>
      </c>
      <c r="F89" s="116">
        <v>280.89999999999998</v>
      </c>
      <c r="G89">
        <v>154451</v>
      </c>
      <c r="H89" s="116"/>
      <c r="I89" s="116"/>
      <c r="L89" s="170">
        <v>42132</v>
      </c>
      <c r="M89" s="116">
        <v>281.45</v>
      </c>
      <c r="N89" s="116">
        <v>282.45</v>
      </c>
      <c r="O89" s="116">
        <v>271</v>
      </c>
      <c r="P89" s="116">
        <v>271</v>
      </c>
      <c r="Q89" s="116">
        <v>281.45</v>
      </c>
      <c r="R89">
        <v>1546096</v>
      </c>
    </row>
    <row r="90" spans="1:18" x14ac:dyDescent="0.25">
      <c r="A90" s="170">
        <v>42135</v>
      </c>
      <c r="B90" s="116">
        <v>285.14999999999998</v>
      </c>
      <c r="C90" s="116">
        <v>281.7</v>
      </c>
      <c r="D90" s="116">
        <v>277.5</v>
      </c>
      <c r="E90" s="116">
        <v>281.55</v>
      </c>
      <c r="F90" s="116">
        <v>281.7</v>
      </c>
      <c r="G90">
        <v>141479</v>
      </c>
      <c r="H90" s="116"/>
      <c r="I90" s="116"/>
      <c r="L90" s="170">
        <v>42135</v>
      </c>
      <c r="M90" s="116">
        <v>281.5</v>
      </c>
      <c r="N90" s="116">
        <v>285.5</v>
      </c>
      <c r="O90" s="116">
        <v>277.45</v>
      </c>
      <c r="P90" s="116">
        <v>282.85000000000002</v>
      </c>
      <c r="Q90" s="116">
        <v>281.5</v>
      </c>
      <c r="R90">
        <v>1470409</v>
      </c>
    </row>
    <row r="91" spans="1:18" x14ac:dyDescent="0.25">
      <c r="A91" s="170">
        <v>42136</v>
      </c>
      <c r="B91" s="116">
        <v>282</v>
      </c>
      <c r="C91" s="116">
        <v>275.60000000000002</v>
      </c>
      <c r="D91" s="116">
        <v>274.45</v>
      </c>
      <c r="E91" s="116">
        <v>282</v>
      </c>
      <c r="F91" s="116">
        <v>275.60000000000002</v>
      </c>
      <c r="G91">
        <v>76666</v>
      </c>
      <c r="H91" s="116"/>
      <c r="I91" s="116"/>
      <c r="L91" s="170">
        <v>42136</v>
      </c>
      <c r="M91" s="116">
        <v>275.25</v>
      </c>
      <c r="N91" s="116">
        <v>281.8</v>
      </c>
      <c r="O91" s="116">
        <v>273.8</v>
      </c>
      <c r="P91" s="116">
        <v>281</v>
      </c>
      <c r="Q91" s="116">
        <v>275.25</v>
      </c>
      <c r="R91">
        <v>855977</v>
      </c>
    </row>
    <row r="92" spans="1:18" x14ac:dyDescent="0.25">
      <c r="A92" s="170">
        <v>42137</v>
      </c>
      <c r="B92" s="116">
        <v>282.35000000000002</v>
      </c>
      <c r="C92" s="116">
        <v>279.95</v>
      </c>
      <c r="D92" s="116">
        <v>270.8</v>
      </c>
      <c r="E92" s="116">
        <v>278</v>
      </c>
      <c r="F92" s="116">
        <v>279.95</v>
      </c>
      <c r="G92">
        <v>171825</v>
      </c>
      <c r="H92" s="116"/>
      <c r="I92" s="116"/>
      <c r="L92" s="170">
        <v>42137</v>
      </c>
      <c r="M92" s="116">
        <v>280.10000000000002</v>
      </c>
      <c r="N92" s="116">
        <v>282.35000000000002</v>
      </c>
      <c r="O92" s="116">
        <v>270.39999999999998</v>
      </c>
      <c r="P92" s="116">
        <v>276.89999999999998</v>
      </c>
      <c r="Q92" s="116">
        <v>280.10000000000002</v>
      </c>
      <c r="R92">
        <v>2121973</v>
      </c>
    </row>
    <row r="93" spans="1:18" x14ac:dyDescent="0.25">
      <c r="A93" s="170">
        <v>42138</v>
      </c>
      <c r="B93" s="116">
        <v>284.14999999999998</v>
      </c>
      <c r="C93" s="116">
        <v>281.60000000000002</v>
      </c>
      <c r="D93" s="116">
        <v>277.14999999999998</v>
      </c>
      <c r="E93" s="116">
        <v>283</v>
      </c>
      <c r="F93" s="116">
        <v>281.60000000000002</v>
      </c>
      <c r="G93">
        <v>112269</v>
      </c>
      <c r="H93" s="116"/>
      <c r="I93" s="116"/>
      <c r="L93" s="170">
        <v>42138</v>
      </c>
      <c r="M93" s="116">
        <v>281.7</v>
      </c>
      <c r="N93" s="116">
        <v>284.3</v>
      </c>
      <c r="O93" s="116">
        <v>276.8</v>
      </c>
      <c r="P93" s="116">
        <v>281</v>
      </c>
      <c r="Q93" s="116">
        <v>281.7</v>
      </c>
      <c r="R93">
        <v>1409749</v>
      </c>
    </row>
    <row r="94" spans="1:18" x14ac:dyDescent="0.25">
      <c r="A94" s="170">
        <v>42139</v>
      </c>
      <c r="B94" s="116">
        <v>293.7</v>
      </c>
      <c r="C94" s="116">
        <v>289.85000000000002</v>
      </c>
      <c r="D94" s="116">
        <v>283.95</v>
      </c>
      <c r="E94" s="116">
        <v>284.3</v>
      </c>
      <c r="F94" s="116">
        <v>289.85000000000002</v>
      </c>
      <c r="G94">
        <v>193236</v>
      </c>
      <c r="H94" s="116"/>
      <c r="I94" s="116"/>
      <c r="L94" s="170">
        <v>42139</v>
      </c>
      <c r="M94" s="116">
        <v>290.7</v>
      </c>
      <c r="N94" s="116">
        <v>293.95</v>
      </c>
      <c r="O94" s="116">
        <v>284</v>
      </c>
      <c r="P94" s="116">
        <v>284</v>
      </c>
      <c r="Q94" s="116">
        <v>290.7</v>
      </c>
      <c r="R94">
        <v>2440949</v>
      </c>
    </row>
    <row r="95" spans="1:18" x14ac:dyDescent="0.25">
      <c r="A95" s="170">
        <v>42142</v>
      </c>
      <c r="B95" s="116">
        <v>295.89999999999998</v>
      </c>
      <c r="C95" s="116">
        <v>293.14999999999998</v>
      </c>
      <c r="D95" s="116">
        <v>292</v>
      </c>
      <c r="E95" s="116">
        <v>292</v>
      </c>
      <c r="F95" s="116">
        <v>293.14999999999998</v>
      </c>
      <c r="G95">
        <v>141756</v>
      </c>
      <c r="H95" s="116"/>
      <c r="I95" s="116"/>
      <c r="L95" s="170">
        <v>42142</v>
      </c>
      <c r="M95" s="116">
        <v>293.89999999999998</v>
      </c>
      <c r="N95" s="116">
        <v>295.75</v>
      </c>
      <c r="O95" s="116">
        <v>291.75</v>
      </c>
      <c r="P95" s="116">
        <v>292.75</v>
      </c>
      <c r="Q95" s="116">
        <v>293.89999999999998</v>
      </c>
      <c r="R95">
        <v>1393084</v>
      </c>
    </row>
    <row r="96" spans="1:18" x14ac:dyDescent="0.25">
      <c r="A96" s="170">
        <v>42143</v>
      </c>
      <c r="B96" s="116">
        <v>298.5</v>
      </c>
      <c r="C96" s="116">
        <v>293.64999999999998</v>
      </c>
      <c r="D96" s="116">
        <v>291.10000000000002</v>
      </c>
      <c r="E96" s="116">
        <v>294</v>
      </c>
      <c r="F96" s="116">
        <v>293.64999999999998</v>
      </c>
      <c r="G96">
        <v>175991</v>
      </c>
      <c r="H96" s="116"/>
      <c r="I96" s="116"/>
      <c r="L96" s="170">
        <v>42143</v>
      </c>
      <c r="M96" s="116">
        <v>294.05</v>
      </c>
      <c r="N96" s="116">
        <v>298.60000000000002</v>
      </c>
      <c r="O96" s="116">
        <v>290.75</v>
      </c>
      <c r="P96" s="116">
        <v>293.95</v>
      </c>
      <c r="Q96" s="116">
        <v>294.05</v>
      </c>
      <c r="R96">
        <v>1565215</v>
      </c>
    </row>
    <row r="97" spans="1:18" x14ac:dyDescent="0.25">
      <c r="A97" s="170">
        <v>42144</v>
      </c>
      <c r="B97" s="116">
        <v>297.85000000000002</v>
      </c>
      <c r="C97" s="116">
        <v>295.05</v>
      </c>
      <c r="D97" s="116">
        <v>294.10000000000002</v>
      </c>
      <c r="E97" s="116">
        <v>295.89999999999998</v>
      </c>
      <c r="F97" s="116">
        <v>295.05</v>
      </c>
      <c r="G97">
        <v>81139</v>
      </c>
      <c r="H97" s="116"/>
      <c r="I97" s="116"/>
      <c r="L97" s="170">
        <v>42144</v>
      </c>
      <c r="M97" s="116">
        <v>295.3</v>
      </c>
      <c r="N97" s="116">
        <v>297.89999999999998</v>
      </c>
      <c r="O97" s="116">
        <v>294.10000000000002</v>
      </c>
      <c r="P97" s="116">
        <v>296</v>
      </c>
      <c r="Q97" s="116">
        <v>295.3</v>
      </c>
      <c r="R97">
        <v>994927</v>
      </c>
    </row>
    <row r="98" spans="1:18" x14ac:dyDescent="0.25">
      <c r="A98" s="170">
        <v>42145</v>
      </c>
      <c r="B98" s="116">
        <v>297.3</v>
      </c>
      <c r="C98" s="116">
        <v>288.3</v>
      </c>
      <c r="D98" s="116">
        <v>286.7</v>
      </c>
      <c r="E98" s="116">
        <v>294</v>
      </c>
      <c r="F98" s="116">
        <v>288.3</v>
      </c>
      <c r="G98">
        <v>186445</v>
      </c>
      <c r="H98" s="116"/>
      <c r="I98" s="116"/>
      <c r="L98" s="170">
        <v>42145</v>
      </c>
      <c r="M98" s="116">
        <v>288.55</v>
      </c>
      <c r="N98" s="116">
        <v>297.25</v>
      </c>
      <c r="O98" s="116">
        <v>286.35000000000002</v>
      </c>
      <c r="P98" s="116">
        <v>295.25</v>
      </c>
      <c r="Q98" s="116">
        <v>288.55</v>
      </c>
      <c r="R98">
        <v>1640867</v>
      </c>
    </row>
    <row r="99" spans="1:18" x14ac:dyDescent="0.25">
      <c r="A99" s="170">
        <v>42146</v>
      </c>
      <c r="B99" s="116">
        <v>321</v>
      </c>
      <c r="C99" s="116">
        <v>319</v>
      </c>
      <c r="D99" s="116">
        <v>300.75</v>
      </c>
      <c r="E99" s="116">
        <v>302</v>
      </c>
      <c r="F99" s="116">
        <v>319</v>
      </c>
      <c r="G99">
        <v>1541456</v>
      </c>
      <c r="H99" s="116"/>
      <c r="I99" s="116"/>
      <c r="L99" s="170">
        <v>42146</v>
      </c>
      <c r="M99" s="116">
        <v>318.89999999999998</v>
      </c>
      <c r="N99" s="116">
        <v>321</v>
      </c>
      <c r="O99" s="116">
        <v>300.05</v>
      </c>
      <c r="P99" s="116">
        <v>300.05</v>
      </c>
      <c r="Q99" s="116">
        <v>318.89999999999998</v>
      </c>
      <c r="R99">
        <v>14060344</v>
      </c>
    </row>
    <row r="100" spans="1:18" x14ac:dyDescent="0.25">
      <c r="A100" s="170">
        <v>42149</v>
      </c>
      <c r="B100" s="116">
        <v>324.89999999999998</v>
      </c>
      <c r="C100" s="116">
        <v>323.7</v>
      </c>
      <c r="D100" s="116">
        <v>312.85000000000002</v>
      </c>
      <c r="E100" s="116">
        <v>318.89999999999998</v>
      </c>
      <c r="F100" s="116">
        <v>323.7</v>
      </c>
      <c r="G100">
        <v>487386</v>
      </c>
      <c r="H100" s="116"/>
      <c r="I100" s="116"/>
      <c r="L100" s="170">
        <v>42149</v>
      </c>
      <c r="M100" s="116">
        <v>324.89999999999998</v>
      </c>
      <c r="N100" s="116">
        <v>326.8</v>
      </c>
      <c r="O100" s="116">
        <v>312.8</v>
      </c>
      <c r="P100" s="116">
        <v>318.8</v>
      </c>
      <c r="Q100" s="116">
        <v>324.89999999999998</v>
      </c>
      <c r="R100">
        <v>4248542</v>
      </c>
    </row>
    <row r="101" spans="1:18" x14ac:dyDescent="0.25">
      <c r="A101" s="170">
        <v>42150</v>
      </c>
      <c r="B101" s="116">
        <v>352</v>
      </c>
      <c r="C101" s="116">
        <v>345.5</v>
      </c>
      <c r="D101" s="116">
        <v>321.55</v>
      </c>
      <c r="E101" s="116">
        <v>324.10000000000002</v>
      </c>
      <c r="F101" s="116">
        <v>345.5</v>
      </c>
      <c r="G101">
        <v>946792</v>
      </c>
      <c r="H101" s="116"/>
      <c r="I101" s="116"/>
      <c r="L101" s="170">
        <v>42150</v>
      </c>
      <c r="M101" s="116">
        <v>344.15</v>
      </c>
      <c r="N101" s="116">
        <v>347.8</v>
      </c>
      <c r="O101" s="116">
        <v>321.3</v>
      </c>
      <c r="P101" s="116">
        <v>325</v>
      </c>
      <c r="Q101" s="116">
        <v>344.15</v>
      </c>
      <c r="R101">
        <v>7061301</v>
      </c>
    </row>
    <row r="102" spans="1:18" x14ac:dyDescent="0.25">
      <c r="A102" s="170">
        <v>42151</v>
      </c>
      <c r="B102" s="116">
        <v>345.9</v>
      </c>
      <c r="C102" s="116">
        <v>337.45</v>
      </c>
      <c r="D102" s="116">
        <v>335</v>
      </c>
      <c r="E102" s="116">
        <v>338.8</v>
      </c>
      <c r="F102" s="116">
        <v>337.45</v>
      </c>
      <c r="G102">
        <v>439063</v>
      </c>
      <c r="H102" s="116"/>
      <c r="I102" s="116"/>
      <c r="L102" s="170">
        <v>42151</v>
      </c>
      <c r="M102" s="116">
        <v>336.85</v>
      </c>
      <c r="N102" s="116">
        <v>345.8</v>
      </c>
      <c r="O102" s="116">
        <v>334.25</v>
      </c>
      <c r="P102" s="116">
        <v>338</v>
      </c>
      <c r="Q102" s="116">
        <v>336.85</v>
      </c>
      <c r="R102">
        <v>3963828</v>
      </c>
    </row>
    <row r="103" spans="1:18" x14ac:dyDescent="0.25">
      <c r="A103" s="170">
        <v>42152</v>
      </c>
      <c r="B103" s="116">
        <v>342.4</v>
      </c>
      <c r="C103" s="116">
        <v>330.65</v>
      </c>
      <c r="D103" s="116">
        <v>328.5</v>
      </c>
      <c r="E103" s="116">
        <v>337.95</v>
      </c>
      <c r="F103" s="116">
        <v>330.65</v>
      </c>
      <c r="G103">
        <v>262643</v>
      </c>
      <c r="H103" s="116"/>
      <c r="I103" s="116"/>
      <c r="L103" s="170">
        <v>42152</v>
      </c>
      <c r="M103" s="116">
        <v>330.5</v>
      </c>
      <c r="N103" s="116">
        <v>342.45</v>
      </c>
      <c r="O103" s="116">
        <v>328.55</v>
      </c>
      <c r="P103" s="116">
        <v>337.3</v>
      </c>
      <c r="Q103" s="116">
        <v>330.5</v>
      </c>
      <c r="R103">
        <v>3939183</v>
      </c>
    </row>
    <row r="104" spans="1:18" x14ac:dyDescent="0.25">
      <c r="A104" s="170">
        <v>42153</v>
      </c>
      <c r="B104" s="116">
        <v>337.9</v>
      </c>
      <c r="C104" s="116">
        <v>332.95</v>
      </c>
      <c r="D104" s="116">
        <v>328.25</v>
      </c>
      <c r="E104" s="116">
        <v>330.6</v>
      </c>
      <c r="F104" s="116">
        <v>332.95</v>
      </c>
      <c r="G104">
        <v>270991</v>
      </c>
      <c r="H104" s="116"/>
      <c r="I104" s="116"/>
      <c r="L104" s="170">
        <v>42153</v>
      </c>
      <c r="M104" s="116">
        <v>332.95</v>
      </c>
      <c r="N104" s="116">
        <v>337.7</v>
      </c>
      <c r="O104" s="116">
        <v>328.05</v>
      </c>
      <c r="P104" s="116">
        <v>330</v>
      </c>
      <c r="Q104" s="116">
        <v>332.95</v>
      </c>
      <c r="R104">
        <v>2461954</v>
      </c>
    </row>
    <row r="105" spans="1:18" x14ac:dyDescent="0.25">
      <c r="A105" s="170">
        <v>42156</v>
      </c>
      <c r="B105" s="116">
        <v>342.45</v>
      </c>
      <c r="C105" s="116">
        <v>337.95</v>
      </c>
      <c r="D105" s="116">
        <v>330</v>
      </c>
      <c r="E105" s="116">
        <v>332.8</v>
      </c>
      <c r="F105" s="116">
        <v>337.95</v>
      </c>
      <c r="G105">
        <v>256018</v>
      </c>
      <c r="H105" s="116"/>
      <c r="I105" s="116"/>
      <c r="L105" s="170">
        <v>42156</v>
      </c>
      <c r="M105" s="116">
        <v>337.95</v>
      </c>
      <c r="N105" s="116">
        <v>342.25</v>
      </c>
      <c r="O105" s="116">
        <v>329.85</v>
      </c>
      <c r="P105" s="116">
        <v>332</v>
      </c>
      <c r="Q105" s="116">
        <v>337.95</v>
      </c>
      <c r="R105">
        <v>4668717</v>
      </c>
    </row>
    <row r="106" spans="1:18" x14ac:dyDescent="0.25">
      <c r="A106" s="170">
        <v>42157</v>
      </c>
      <c r="B106" s="116">
        <v>338.25</v>
      </c>
      <c r="C106" s="116">
        <v>329.55</v>
      </c>
      <c r="D106" s="116">
        <v>326.60000000000002</v>
      </c>
      <c r="E106" s="116">
        <v>334.6</v>
      </c>
      <c r="F106" s="116">
        <v>329.55</v>
      </c>
      <c r="G106">
        <v>169390</v>
      </c>
      <c r="H106" s="116"/>
      <c r="I106" s="116"/>
      <c r="L106" s="170">
        <v>42157</v>
      </c>
      <c r="M106" s="116">
        <v>330.25</v>
      </c>
      <c r="N106" s="116">
        <v>338.3</v>
      </c>
      <c r="O106" s="116">
        <v>326.60000000000002</v>
      </c>
      <c r="P106" s="116">
        <v>337.5</v>
      </c>
      <c r="Q106" s="116">
        <v>330.25</v>
      </c>
      <c r="R106">
        <v>1978797</v>
      </c>
    </row>
    <row r="107" spans="1:18" x14ac:dyDescent="0.25">
      <c r="A107" s="170">
        <v>42158</v>
      </c>
      <c r="B107" s="116">
        <v>333.6</v>
      </c>
      <c r="C107" s="116">
        <v>330.9</v>
      </c>
      <c r="D107" s="116">
        <v>323.3</v>
      </c>
      <c r="E107" s="116">
        <v>331</v>
      </c>
      <c r="F107" s="116">
        <v>330.9</v>
      </c>
      <c r="G107">
        <v>240886</v>
      </c>
      <c r="H107" s="116"/>
      <c r="I107" s="116"/>
      <c r="L107" s="170">
        <v>42158</v>
      </c>
      <c r="M107" s="116">
        <v>330.35</v>
      </c>
      <c r="N107" s="116">
        <v>333.65</v>
      </c>
      <c r="O107" s="116">
        <v>322.5</v>
      </c>
      <c r="P107" s="116">
        <v>329.95</v>
      </c>
      <c r="Q107" s="116">
        <v>330.35</v>
      </c>
      <c r="R107">
        <v>2236756</v>
      </c>
    </row>
    <row r="108" spans="1:18" x14ac:dyDescent="0.25">
      <c r="A108" s="170">
        <v>42159</v>
      </c>
      <c r="B108" s="116">
        <v>336.8</v>
      </c>
      <c r="C108" s="116">
        <v>331.25</v>
      </c>
      <c r="D108" s="116">
        <v>325.35000000000002</v>
      </c>
      <c r="E108" s="116">
        <v>335</v>
      </c>
      <c r="F108" s="116">
        <v>331.25</v>
      </c>
      <c r="G108">
        <v>208133</v>
      </c>
      <c r="H108" s="116"/>
      <c r="I108" s="116"/>
      <c r="L108" s="170">
        <v>42159</v>
      </c>
      <c r="M108" s="116">
        <v>331.1</v>
      </c>
      <c r="N108" s="116">
        <v>336.65</v>
      </c>
      <c r="O108" s="116">
        <v>325.35000000000002</v>
      </c>
      <c r="P108" s="116">
        <v>331.5</v>
      </c>
      <c r="Q108" s="116">
        <v>331.1</v>
      </c>
      <c r="R108">
        <v>2142962</v>
      </c>
    </row>
    <row r="109" spans="1:18" x14ac:dyDescent="0.25">
      <c r="A109" s="170">
        <v>42160</v>
      </c>
      <c r="B109" s="116">
        <v>336.5</v>
      </c>
      <c r="C109" s="116">
        <v>332.5</v>
      </c>
      <c r="D109" s="116">
        <v>329.7</v>
      </c>
      <c r="E109" s="116">
        <v>329.95</v>
      </c>
      <c r="F109" s="116">
        <v>332.5</v>
      </c>
      <c r="G109">
        <v>177164</v>
      </c>
      <c r="H109" s="116"/>
      <c r="I109" s="116"/>
      <c r="L109" s="170">
        <v>42160</v>
      </c>
      <c r="M109" s="116">
        <v>332.45</v>
      </c>
      <c r="N109" s="116">
        <v>336.5</v>
      </c>
      <c r="O109" s="116">
        <v>329.35</v>
      </c>
      <c r="P109" s="116">
        <v>330.3</v>
      </c>
      <c r="Q109" s="116">
        <v>332.45</v>
      </c>
      <c r="R109">
        <v>1464795</v>
      </c>
    </row>
    <row r="110" spans="1:18" x14ac:dyDescent="0.25">
      <c r="A110" s="170">
        <v>42163</v>
      </c>
      <c r="B110" s="116">
        <v>335</v>
      </c>
      <c r="C110" s="116">
        <v>326.25</v>
      </c>
      <c r="D110" s="116">
        <v>324.2</v>
      </c>
      <c r="E110" s="116">
        <v>335</v>
      </c>
      <c r="F110" s="116">
        <v>326.25</v>
      </c>
      <c r="G110">
        <v>115755</v>
      </c>
      <c r="H110" s="116"/>
      <c r="I110" s="116"/>
      <c r="L110" s="170">
        <v>42163</v>
      </c>
      <c r="M110" s="116">
        <v>326.39999999999998</v>
      </c>
      <c r="N110" s="116">
        <v>334.2</v>
      </c>
      <c r="O110" s="116">
        <v>324.10000000000002</v>
      </c>
      <c r="P110" s="116">
        <v>332</v>
      </c>
      <c r="Q110" s="116">
        <v>326.39999999999998</v>
      </c>
      <c r="R110">
        <v>1208877</v>
      </c>
    </row>
    <row r="111" spans="1:18" x14ac:dyDescent="0.25">
      <c r="A111" s="170">
        <v>42164</v>
      </c>
      <c r="B111" s="116">
        <v>331.05</v>
      </c>
      <c r="C111" s="116">
        <v>328.25</v>
      </c>
      <c r="D111" s="116">
        <v>323</v>
      </c>
      <c r="E111" s="116">
        <v>323</v>
      </c>
      <c r="F111" s="116">
        <v>328.25</v>
      </c>
      <c r="G111">
        <v>123849</v>
      </c>
      <c r="H111" s="116"/>
      <c r="I111" s="116"/>
      <c r="L111" s="170">
        <v>42164</v>
      </c>
      <c r="M111" s="116">
        <v>328.4</v>
      </c>
      <c r="N111" s="116">
        <v>331.45</v>
      </c>
      <c r="O111" s="116">
        <v>325.5</v>
      </c>
      <c r="P111" s="116">
        <v>325.5</v>
      </c>
      <c r="Q111" s="116">
        <v>328.4</v>
      </c>
      <c r="R111">
        <v>2064434</v>
      </c>
    </row>
    <row r="112" spans="1:18" x14ac:dyDescent="0.25">
      <c r="A112" s="170">
        <v>42165</v>
      </c>
      <c r="B112" s="116">
        <v>348</v>
      </c>
      <c r="C112" s="116">
        <v>343.1</v>
      </c>
      <c r="D112" s="116">
        <v>330</v>
      </c>
      <c r="E112" s="116">
        <v>330</v>
      </c>
      <c r="F112" s="116">
        <v>343.1</v>
      </c>
      <c r="G112">
        <v>453558</v>
      </c>
      <c r="H112" s="116"/>
      <c r="I112" s="116"/>
      <c r="L112" s="170">
        <v>42165</v>
      </c>
      <c r="M112" s="116">
        <v>343.05</v>
      </c>
      <c r="N112" s="116">
        <v>348.35</v>
      </c>
      <c r="O112" s="116">
        <v>329.4</v>
      </c>
      <c r="P112" s="116">
        <v>330</v>
      </c>
      <c r="Q112" s="116">
        <v>343.05</v>
      </c>
      <c r="R112">
        <v>4401317</v>
      </c>
    </row>
    <row r="113" spans="1:18" x14ac:dyDescent="0.25">
      <c r="A113" s="170">
        <v>42166</v>
      </c>
      <c r="B113" s="116">
        <v>347.9</v>
      </c>
      <c r="C113" s="116">
        <v>333.3</v>
      </c>
      <c r="D113" s="116">
        <v>331.4</v>
      </c>
      <c r="E113" s="116">
        <v>344.9</v>
      </c>
      <c r="F113" s="116">
        <v>333.3</v>
      </c>
      <c r="G113">
        <v>349009</v>
      </c>
      <c r="H113" s="116"/>
      <c r="I113" s="116"/>
      <c r="L113" s="170">
        <v>42166</v>
      </c>
      <c r="M113" s="116">
        <v>333.05</v>
      </c>
      <c r="N113" s="116">
        <v>347.85</v>
      </c>
      <c r="O113" s="116">
        <v>331.1</v>
      </c>
      <c r="P113" s="116">
        <v>346</v>
      </c>
      <c r="Q113" s="116">
        <v>333.05</v>
      </c>
      <c r="R113">
        <v>3037870</v>
      </c>
    </row>
    <row r="114" spans="1:18" x14ac:dyDescent="0.25">
      <c r="A114" s="170">
        <v>42167</v>
      </c>
      <c r="B114" s="116">
        <v>334.4</v>
      </c>
      <c r="C114" s="116">
        <v>329.9</v>
      </c>
      <c r="D114" s="116">
        <v>325.25</v>
      </c>
      <c r="E114" s="116">
        <v>326</v>
      </c>
      <c r="F114" s="116">
        <v>329.9</v>
      </c>
      <c r="G114">
        <v>139867</v>
      </c>
      <c r="H114" s="116"/>
      <c r="I114" s="116"/>
      <c r="L114" s="170">
        <v>42167</v>
      </c>
      <c r="M114" s="116">
        <v>329.8</v>
      </c>
      <c r="N114" s="116">
        <v>334.8</v>
      </c>
      <c r="O114" s="116">
        <v>325.39999999999998</v>
      </c>
      <c r="P114" s="116">
        <v>333.05</v>
      </c>
      <c r="Q114" s="116">
        <v>329.8</v>
      </c>
      <c r="R114">
        <v>1608839</v>
      </c>
    </row>
    <row r="115" spans="1:18" x14ac:dyDescent="0.25">
      <c r="A115" s="170">
        <v>42170</v>
      </c>
      <c r="B115" s="116">
        <v>336.25</v>
      </c>
      <c r="C115" s="116">
        <v>330.75</v>
      </c>
      <c r="D115" s="116">
        <v>329.85</v>
      </c>
      <c r="E115" s="116">
        <v>330.65</v>
      </c>
      <c r="F115" s="116">
        <v>330.75</v>
      </c>
      <c r="G115">
        <v>132377</v>
      </c>
      <c r="H115" s="116"/>
      <c r="I115" s="116"/>
      <c r="L115" s="170">
        <v>42170</v>
      </c>
      <c r="M115" s="116">
        <v>330.7</v>
      </c>
      <c r="N115" s="116">
        <v>336.25</v>
      </c>
      <c r="O115" s="116">
        <v>329.55</v>
      </c>
      <c r="P115" s="116">
        <v>330.25</v>
      </c>
      <c r="Q115" s="116">
        <v>330.7</v>
      </c>
      <c r="R115">
        <v>1133885</v>
      </c>
    </row>
    <row r="116" spans="1:18" x14ac:dyDescent="0.25">
      <c r="A116" s="170">
        <v>42171</v>
      </c>
      <c r="B116" s="116">
        <v>332.9</v>
      </c>
      <c r="C116" s="116">
        <v>330.85</v>
      </c>
      <c r="D116" s="116">
        <v>324.39999999999998</v>
      </c>
      <c r="E116" s="116">
        <v>330.1</v>
      </c>
      <c r="F116" s="116">
        <v>330.85</v>
      </c>
      <c r="G116">
        <v>127510</v>
      </c>
      <c r="H116" s="116"/>
      <c r="I116" s="116"/>
      <c r="L116" s="170">
        <v>42171</v>
      </c>
      <c r="M116" s="116">
        <v>330.7</v>
      </c>
      <c r="N116" s="116">
        <v>332.65</v>
      </c>
      <c r="O116" s="116">
        <v>324.3</v>
      </c>
      <c r="P116" s="116">
        <v>331.5</v>
      </c>
      <c r="Q116" s="116">
        <v>330.7</v>
      </c>
      <c r="R116">
        <v>1499546</v>
      </c>
    </row>
    <row r="117" spans="1:18" x14ac:dyDescent="0.25">
      <c r="A117" s="170">
        <v>42172</v>
      </c>
      <c r="B117" s="116">
        <v>340.2</v>
      </c>
      <c r="C117" s="116">
        <v>337.8</v>
      </c>
      <c r="D117" s="116">
        <v>332</v>
      </c>
      <c r="E117" s="116">
        <v>332.5</v>
      </c>
      <c r="F117" s="116">
        <v>337.8</v>
      </c>
      <c r="G117">
        <v>166985</v>
      </c>
      <c r="H117" s="116"/>
      <c r="I117" s="116"/>
      <c r="L117" s="170">
        <v>42172</v>
      </c>
      <c r="M117" s="116">
        <v>338.55</v>
      </c>
      <c r="N117" s="116">
        <v>340.4</v>
      </c>
      <c r="O117" s="116">
        <v>331.75</v>
      </c>
      <c r="P117" s="116">
        <v>331.9</v>
      </c>
      <c r="Q117" s="116">
        <v>338.55</v>
      </c>
      <c r="R117">
        <v>2823822</v>
      </c>
    </row>
    <row r="118" spans="1:18" x14ac:dyDescent="0.25">
      <c r="A118" s="170">
        <v>42173</v>
      </c>
      <c r="B118" s="116">
        <v>344.8</v>
      </c>
      <c r="C118" s="116">
        <v>340.45</v>
      </c>
      <c r="D118" s="116">
        <v>338</v>
      </c>
      <c r="E118" s="116">
        <v>339.8</v>
      </c>
      <c r="F118" s="116">
        <v>340.45</v>
      </c>
      <c r="G118">
        <v>151150</v>
      </c>
      <c r="H118" s="116"/>
      <c r="I118" s="116"/>
      <c r="L118" s="170">
        <v>42173</v>
      </c>
      <c r="M118" s="116">
        <v>340.85</v>
      </c>
      <c r="N118" s="116">
        <v>344.7</v>
      </c>
      <c r="O118" s="116">
        <v>337.85</v>
      </c>
      <c r="P118" s="116">
        <v>341</v>
      </c>
      <c r="Q118" s="116">
        <v>340.85</v>
      </c>
      <c r="R118">
        <v>1407716</v>
      </c>
    </row>
    <row r="119" spans="1:18" x14ac:dyDescent="0.25">
      <c r="A119" s="170">
        <v>42174</v>
      </c>
      <c r="B119" s="116">
        <v>344.4</v>
      </c>
      <c r="C119" s="116">
        <v>337.25</v>
      </c>
      <c r="D119" s="116">
        <v>335</v>
      </c>
      <c r="E119" s="116">
        <v>340.9</v>
      </c>
      <c r="F119" s="116">
        <v>337.25</v>
      </c>
      <c r="G119">
        <v>114402</v>
      </c>
      <c r="H119" s="116"/>
      <c r="I119" s="116"/>
      <c r="L119" s="170">
        <v>42174</v>
      </c>
      <c r="M119" s="116">
        <v>337.4</v>
      </c>
      <c r="N119" s="116">
        <v>344.25</v>
      </c>
      <c r="O119" s="116">
        <v>334.75</v>
      </c>
      <c r="P119" s="116">
        <v>342.85</v>
      </c>
      <c r="Q119" s="116">
        <v>337.4</v>
      </c>
      <c r="R119">
        <v>1094754</v>
      </c>
    </row>
    <row r="120" spans="1:18" x14ac:dyDescent="0.25">
      <c r="A120" s="170">
        <v>42177</v>
      </c>
      <c r="B120" s="116">
        <v>355.85</v>
      </c>
      <c r="C120" s="116">
        <v>352.6</v>
      </c>
      <c r="D120" s="116">
        <v>336.5</v>
      </c>
      <c r="E120" s="116">
        <v>338.5</v>
      </c>
      <c r="F120" s="116">
        <v>352.6</v>
      </c>
      <c r="G120">
        <v>276833</v>
      </c>
      <c r="H120" s="116"/>
      <c r="I120" s="116"/>
      <c r="L120" s="170">
        <v>42177</v>
      </c>
      <c r="M120" s="116">
        <v>352.3</v>
      </c>
      <c r="N120" s="116">
        <v>356.2</v>
      </c>
      <c r="O120" s="116">
        <v>336.5</v>
      </c>
      <c r="P120" s="116">
        <v>338.5</v>
      </c>
      <c r="Q120" s="116">
        <v>352.3</v>
      </c>
      <c r="R120">
        <v>3173337</v>
      </c>
    </row>
    <row r="121" spans="1:18" x14ac:dyDescent="0.25">
      <c r="A121" s="170">
        <v>42178</v>
      </c>
      <c r="B121" s="116">
        <v>360</v>
      </c>
      <c r="C121" s="116">
        <v>358.1</v>
      </c>
      <c r="D121" s="116">
        <v>352.45</v>
      </c>
      <c r="E121" s="116">
        <v>354.7</v>
      </c>
      <c r="F121" s="116">
        <v>358.1</v>
      </c>
      <c r="G121">
        <v>318584</v>
      </c>
      <c r="H121" s="116"/>
      <c r="I121" s="116"/>
      <c r="L121" s="170">
        <v>42178</v>
      </c>
      <c r="M121" s="116">
        <v>358.5</v>
      </c>
      <c r="N121" s="116">
        <v>359.9</v>
      </c>
      <c r="O121" s="116">
        <v>352.25</v>
      </c>
      <c r="P121" s="116">
        <v>354</v>
      </c>
      <c r="Q121" s="116">
        <v>358.5</v>
      </c>
      <c r="R121">
        <v>2856554</v>
      </c>
    </row>
    <row r="122" spans="1:18" x14ac:dyDescent="0.25">
      <c r="A122" s="170">
        <v>42179</v>
      </c>
      <c r="B122" s="116">
        <v>358.85</v>
      </c>
      <c r="C122" s="116">
        <v>338.7</v>
      </c>
      <c r="D122" s="116">
        <v>335.8</v>
      </c>
      <c r="E122" s="116">
        <v>357.9</v>
      </c>
      <c r="F122" s="116">
        <v>338.7</v>
      </c>
      <c r="G122">
        <v>413524</v>
      </c>
      <c r="H122" s="116"/>
      <c r="I122" s="116"/>
      <c r="L122" s="170">
        <v>42179</v>
      </c>
      <c r="M122" s="116">
        <v>338.75</v>
      </c>
      <c r="N122" s="116">
        <v>359</v>
      </c>
      <c r="O122" s="116">
        <v>335.4</v>
      </c>
      <c r="P122" s="116">
        <v>358.9</v>
      </c>
      <c r="Q122" s="116">
        <v>338.75</v>
      </c>
      <c r="R122">
        <v>4438388</v>
      </c>
    </row>
    <row r="123" spans="1:18" x14ac:dyDescent="0.25">
      <c r="A123" s="170">
        <v>42180</v>
      </c>
      <c r="B123" s="116">
        <v>342.3</v>
      </c>
      <c r="C123" s="116">
        <v>338.3</v>
      </c>
      <c r="D123" s="116">
        <v>331.4</v>
      </c>
      <c r="E123" s="116">
        <v>336.25</v>
      </c>
      <c r="F123" s="116">
        <v>338.3</v>
      </c>
      <c r="G123">
        <v>261877</v>
      </c>
      <c r="H123" s="116"/>
      <c r="I123" s="116"/>
      <c r="L123" s="170">
        <v>42180</v>
      </c>
      <c r="M123" s="116">
        <v>338.75</v>
      </c>
      <c r="N123" s="116">
        <v>342.25</v>
      </c>
      <c r="O123" s="116">
        <v>331.2</v>
      </c>
      <c r="P123" s="116">
        <v>336.7</v>
      </c>
      <c r="Q123" s="116">
        <v>338.75</v>
      </c>
      <c r="R123">
        <v>4670342</v>
      </c>
    </row>
    <row r="124" spans="1:18" x14ac:dyDescent="0.25">
      <c r="A124" s="170">
        <v>42181</v>
      </c>
      <c r="B124" s="116">
        <v>340.95</v>
      </c>
      <c r="C124" s="116">
        <v>338.25</v>
      </c>
      <c r="D124" s="116">
        <v>334.95</v>
      </c>
      <c r="E124" s="116">
        <v>339.7</v>
      </c>
      <c r="F124" s="116">
        <v>338.25</v>
      </c>
      <c r="G124">
        <v>222834</v>
      </c>
      <c r="H124" s="116"/>
      <c r="I124" s="116"/>
      <c r="L124" s="170">
        <v>42181</v>
      </c>
      <c r="M124" s="116">
        <v>338</v>
      </c>
      <c r="N124" s="116">
        <v>340.8</v>
      </c>
      <c r="O124" s="116">
        <v>334.95</v>
      </c>
      <c r="P124" s="116">
        <v>337.8</v>
      </c>
      <c r="Q124" s="116">
        <v>338</v>
      </c>
      <c r="R124">
        <v>1517644</v>
      </c>
    </row>
    <row r="125" spans="1:18" x14ac:dyDescent="0.25">
      <c r="A125" s="170">
        <v>42184</v>
      </c>
      <c r="B125" s="116">
        <v>334</v>
      </c>
      <c r="C125" s="116">
        <v>329.65</v>
      </c>
      <c r="D125" s="116">
        <v>323.75</v>
      </c>
      <c r="E125" s="116">
        <v>334</v>
      </c>
      <c r="F125" s="116">
        <v>329.65</v>
      </c>
      <c r="G125">
        <v>160651</v>
      </c>
      <c r="H125" s="116"/>
      <c r="I125" s="116"/>
      <c r="L125" s="170">
        <v>42184</v>
      </c>
      <c r="M125" s="116">
        <v>328.95</v>
      </c>
      <c r="N125" s="116">
        <v>332.75</v>
      </c>
      <c r="O125" s="116">
        <v>323.64999999999998</v>
      </c>
      <c r="P125" s="116">
        <v>332.75</v>
      </c>
      <c r="Q125" s="116">
        <v>328.95</v>
      </c>
      <c r="R125">
        <v>1887833</v>
      </c>
    </row>
    <row r="126" spans="1:18" x14ac:dyDescent="0.25">
      <c r="A126" s="170">
        <v>42185</v>
      </c>
      <c r="B126" s="116">
        <v>325.89999999999998</v>
      </c>
      <c r="C126" s="116">
        <v>314.60000000000002</v>
      </c>
      <c r="D126" s="116">
        <v>312.8</v>
      </c>
      <c r="E126" s="116">
        <v>323</v>
      </c>
      <c r="F126" s="116">
        <v>314.60000000000002</v>
      </c>
      <c r="G126">
        <v>333390</v>
      </c>
      <c r="H126" s="116"/>
      <c r="I126" s="116"/>
      <c r="L126" s="170">
        <v>42185</v>
      </c>
      <c r="M126" s="116">
        <v>315.3</v>
      </c>
      <c r="N126" s="116">
        <v>325.95</v>
      </c>
      <c r="O126" s="116">
        <v>313.5</v>
      </c>
      <c r="P126" s="116">
        <v>323</v>
      </c>
      <c r="Q126" s="116">
        <v>315.3</v>
      </c>
      <c r="R126">
        <v>4053711</v>
      </c>
    </row>
    <row r="127" spans="1:18" x14ac:dyDescent="0.25">
      <c r="A127" s="170">
        <v>42186</v>
      </c>
      <c r="B127" s="116">
        <v>323</v>
      </c>
      <c r="C127" s="116">
        <v>321.95</v>
      </c>
      <c r="D127" s="116">
        <v>315</v>
      </c>
      <c r="E127" s="116">
        <v>316.89999999999998</v>
      </c>
      <c r="F127" s="116">
        <v>321.95</v>
      </c>
      <c r="G127">
        <v>202687</v>
      </c>
      <c r="H127" s="116"/>
      <c r="I127" s="116"/>
      <c r="L127" s="170">
        <v>42186</v>
      </c>
      <c r="M127" s="116">
        <v>322.25</v>
      </c>
      <c r="N127" s="116">
        <v>323.39999999999998</v>
      </c>
      <c r="O127" s="116">
        <v>315</v>
      </c>
      <c r="P127" s="116">
        <v>316.7</v>
      </c>
      <c r="Q127" s="116">
        <v>322.25</v>
      </c>
      <c r="R127">
        <v>2906685</v>
      </c>
    </row>
    <row r="128" spans="1:18" x14ac:dyDescent="0.25">
      <c r="A128" s="170">
        <v>42187</v>
      </c>
      <c r="B128" s="116">
        <v>329</v>
      </c>
      <c r="C128" s="116">
        <v>320.7</v>
      </c>
      <c r="D128" s="116">
        <v>319.64999999999998</v>
      </c>
      <c r="E128" s="116">
        <v>324.60000000000002</v>
      </c>
      <c r="F128" s="116">
        <v>320.7</v>
      </c>
      <c r="G128">
        <v>194138</v>
      </c>
      <c r="H128" s="116"/>
      <c r="I128" s="116"/>
      <c r="L128" s="170">
        <v>42187</v>
      </c>
      <c r="M128" s="116">
        <v>320.35000000000002</v>
      </c>
      <c r="N128" s="116">
        <v>329</v>
      </c>
      <c r="O128" s="116">
        <v>319.05</v>
      </c>
      <c r="P128" s="116">
        <v>323.89999999999998</v>
      </c>
      <c r="Q128" s="116">
        <v>320.35000000000002</v>
      </c>
      <c r="R128">
        <v>2383139</v>
      </c>
    </row>
    <row r="129" spans="1:18" x14ac:dyDescent="0.25">
      <c r="A129" s="170">
        <v>42188</v>
      </c>
      <c r="B129" s="116">
        <v>325.05</v>
      </c>
      <c r="C129" s="116">
        <v>317.2</v>
      </c>
      <c r="D129" s="116">
        <v>315.39999999999998</v>
      </c>
      <c r="E129" s="116">
        <v>321</v>
      </c>
      <c r="F129" s="116">
        <v>317.2</v>
      </c>
      <c r="G129">
        <v>129511</v>
      </c>
      <c r="H129" s="116"/>
      <c r="I129" s="116"/>
      <c r="L129" s="170">
        <v>42188</v>
      </c>
      <c r="M129" s="116">
        <v>317</v>
      </c>
      <c r="N129" s="116">
        <v>325.3</v>
      </c>
      <c r="O129" s="116">
        <v>315.3</v>
      </c>
      <c r="P129" s="116">
        <v>322.8</v>
      </c>
      <c r="Q129" s="116">
        <v>317</v>
      </c>
      <c r="R129">
        <v>1978161</v>
      </c>
    </row>
    <row r="130" spans="1:18" x14ac:dyDescent="0.25">
      <c r="A130" s="170">
        <v>42191</v>
      </c>
      <c r="B130" s="116">
        <v>323.39999999999998</v>
      </c>
      <c r="C130" s="116">
        <v>322.05</v>
      </c>
      <c r="D130" s="116">
        <v>311.25</v>
      </c>
      <c r="E130" s="116">
        <v>313.3</v>
      </c>
      <c r="F130" s="116">
        <v>322.05</v>
      </c>
      <c r="G130">
        <v>117934</v>
      </c>
      <c r="H130" s="116"/>
      <c r="I130" s="116"/>
      <c r="L130" s="170">
        <v>42191</v>
      </c>
      <c r="M130" s="116">
        <v>321.60000000000002</v>
      </c>
      <c r="N130" s="116">
        <v>322.60000000000002</v>
      </c>
      <c r="O130" s="116">
        <v>311.10000000000002</v>
      </c>
      <c r="P130" s="116">
        <v>312</v>
      </c>
      <c r="Q130" s="116">
        <v>321.60000000000002</v>
      </c>
      <c r="R130">
        <v>1342494</v>
      </c>
    </row>
    <row r="131" spans="1:18" x14ac:dyDescent="0.25">
      <c r="A131" s="170">
        <v>42192</v>
      </c>
      <c r="B131" s="116">
        <v>325.2</v>
      </c>
      <c r="C131" s="116">
        <v>319.35000000000002</v>
      </c>
      <c r="D131" s="116">
        <v>317.25</v>
      </c>
      <c r="E131" s="116">
        <v>323.05</v>
      </c>
      <c r="F131" s="116">
        <v>319.35000000000002</v>
      </c>
      <c r="G131">
        <v>113419</v>
      </c>
      <c r="H131" s="116"/>
      <c r="I131" s="116"/>
      <c r="L131" s="170">
        <v>42192</v>
      </c>
      <c r="M131" s="116">
        <v>318.45</v>
      </c>
      <c r="N131" s="116">
        <v>325.35000000000002</v>
      </c>
      <c r="O131" s="116">
        <v>317</v>
      </c>
      <c r="P131" s="116">
        <v>321.2</v>
      </c>
      <c r="Q131" s="116">
        <v>318.45</v>
      </c>
      <c r="R131">
        <v>1224161</v>
      </c>
    </row>
    <row r="132" spans="1:18" x14ac:dyDescent="0.25">
      <c r="A132" s="170">
        <v>42193</v>
      </c>
      <c r="B132" s="116">
        <v>324</v>
      </c>
      <c r="C132" s="116">
        <v>319.89999999999998</v>
      </c>
      <c r="D132" s="116">
        <v>314</v>
      </c>
      <c r="E132" s="116">
        <v>317.5</v>
      </c>
      <c r="F132" s="116">
        <v>319.89999999999998</v>
      </c>
      <c r="G132">
        <v>140499</v>
      </c>
      <c r="H132" s="116"/>
      <c r="I132" s="116"/>
      <c r="L132" s="170">
        <v>42193</v>
      </c>
      <c r="M132" s="116">
        <v>319.35000000000002</v>
      </c>
      <c r="N132" s="116">
        <v>323.95</v>
      </c>
      <c r="O132" s="116">
        <v>313.05</v>
      </c>
      <c r="P132" s="116">
        <v>316</v>
      </c>
      <c r="Q132" s="116">
        <v>319.35000000000002</v>
      </c>
      <c r="R132">
        <v>1710030</v>
      </c>
    </row>
    <row r="133" spans="1:18" x14ac:dyDescent="0.25">
      <c r="A133" s="170">
        <v>42194</v>
      </c>
      <c r="B133" s="116">
        <v>324.89999999999998</v>
      </c>
      <c r="C133" s="116">
        <v>319.60000000000002</v>
      </c>
      <c r="D133" s="116">
        <v>317.75</v>
      </c>
      <c r="E133" s="116">
        <v>320.89999999999998</v>
      </c>
      <c r="F133" s="116">
        <v>319.60000000000002</v>
      </c>
      <c r="G133">
        <v>87556</v>
      </c>
      <c r="H133" s="116"/>
      <c r="I133" s="116"/>
      <c r="L133" s="170">
        <v>42194</v>
      </c>
      <c r="M133" s="116">
        <v>319.7</v>
      </c>
      <c r="N133" s="116">
        <v>324.89999999999998</v>
      </c>
      <c r="O133" s="116">
        <v>317.55</v>
      </c>
      <c r="P133" s="116">
        <v>321.85000000000002</v>
      </c>
      <c r="Q133" s="116">
        <v>319.7</v>
      </c>
      <c r="R133">
        <v>1510718</v>
      </c>
    </row>
    <row r="134" spans="1:18" x14ac:dyDescent="0.25">
      <c r="A134" s="170">
        <v>42195</v>
      </c>
      <c r="B134" s="116">
        <v>322.45</v>
      </c>
      <c r="C134" s="116">
        <v>312.35000000000002</v>
      </c>
      <c r="D134" s="116">
        <v>310.8</v>
      </c>
      <c r="E134" s="116">
        <v>321</v>
      </c>
      <c r="F134" s="116">
        <v>312.35000000000002</v>
      </c>
      <c r="G134">
        <v>122233</v>
      </c>
      <c r="H134" s="116"/>
      <c r="I134" s="116"/>
      <c r="L134" s="170">
        <v>42195</v>
      </c>
      <c r="M134" s="116">
        <v>312.45</v>
      </c>
      <c r="N134" s="116">
        <v>321.5</v>
      </c>
      <c r="O134" s="116">
        <v>310.75</v>
      </c>
      <c r="P134" s="116">
        <v>321.5</v>
      </c>
      <c r="Q134" s="116">
        <v>312.45</v>
      </c>
      <c r="R134">
        <v>1559726</v>
      </c>
    </row>
    <row r="135" spans="1:18" x14ac:dyDescent="0.25">
      <c r="A135" s="170">
        <v>42198</v>
      </c>
      <c r="B135" s="116">
        <v>314.89999999999998</v>
      </c>
      <c r="C135" s="116">
        <v>310.10000000000002</v>
      </c>
      <c r="D135" s="116">
        <v>305.25</v>
      </c>
      <c r="E135" s="116">
        <v>312.35000000000002</v>
      </c>
      <c r="F135" s="116">
        <v>310.10000000000002</v>
      </c>
      <c r="G135">
        <v>175426</v>
      </c>
      <c r="H135" s="116"/>
      <c r="I135" s="116"/>
      <c r="L135" s="170">
        <v>42198</v>
      </c>
      <c r="M135" s="116">
        <v>309.55</v>
      </c>
      <c r="N135" s="116">
        <v>315.3</v>
      </c>
      <c r="O135" s="116">
        <v>305.25</v>
      </c>
      <c r="P135" s="116">
        <v>312.89999999999998</v>
      </c>
      <c r="Q135" s="116">
        <v>309.55</v>
      </c>
      <c r="R135">
        <v>2008276</v>
      </c>
    </row>
    <row r="136" spans="1:18" x14ac:dyDescent="0.25">
      <c r="A136" s="170">
        <v>42199</v>
      </c>
      <c r="B136" s="116">
        <v>316.35000000000002</v>
      </c>
      <c r="C136" s="116">
        <v>313.14999999999998</v>
      </c>
      <c r="D136" s="116">
        <v>309</v>
      </c>
      <c r="E136" s="116">
        <v>309</v>
      </c>
      <c r="F136" s="116">
        <v>313.14999999999998</v>
      </c>
      <c r="G136">
        <v>114234</v>
      </c>
      <c r="H136" s="116"/>
      <c r="I136" s="116"/>
      <c r="L136" s="170">
        <v>42199</v>
      </c>
      <c r="M136" s="116">
        <v>313.55</v>
      </c>
      <c r="N136" s="116">
        <v>316</v>
      </c>
      <c r="O136" s="116">
        <v>310</v>
      </c>
      <c r="P136" s="116">
        <v>310.10000000000002</v>
      </c>
      <c r="Q136" s="116">
        <v>313.55</v>
      </c>
      <c r="R136">
        <v>1714369</v>
      </c>
    </row>
    <row r="137" spans="1:18" x14ac:dyDescent="0.25">
      <c r="A137" s="170">
        <v>42200</v>
      </c>
      <c r="B137" s="116">
        <v>315.2</v>
      </c>
      <c r="C137" s="116">
        <v>311.45</v>
      </c>
      <c r="D137" s="116">
        <v>310.64999999999998</v>
      </c>
      <c r="E137" s="116">
        <v>314</v>
      </c>
      <c r="F137" s="116">
        <v>311.45</v>
      </c>
      <c r="G137">
        <v>57034</v>
      </c>
      <c r="H137" s="116"/>
      <c r="I137" s="116"/>
      <c r="L137" s="170">
        <v>42200</v>
      </c>
      <c r="M137" s="116">
        <v>312.05</v>
      </c>
      <c r="N137" s="116">
        <v>315.39999999999998</v>
      </c>
      <c r="O137" s="116">
        <v>311.10000000000002</v>
      </c>
      <c r="P137" s="116">
        <v>314.95</v>
      </c>
      <c r="Q137" s="116">
        <v>312.05</v>
      </c>
      <c r="R137">
        <v>967181</v>
      </c>
    </row>
    <row r="138" spans="1:18" x14ac:dyDescent="0.25">
      <c r="A138" s="170">
        <v>42201</v>
      </c>
      <c r="B138" s="116">
        <v>317</v>
      </c>
      <c r="C138" s="116">
        <v>314.60000000000002</v>
      </c>
      <c r="D138" s="116">
        <v>313</v>
      </c>
      <c r="E138" s="116">
        <v>313.2</v>
      </c>
      <c r="F138" s="116">
        <v>314.60000000000002</v>
      </c>
      <c r="G138">
        <v>398373</v>
      </c>
      <c r="H138" s="116"/>
      <c r="I138" s="116"/>
      <c r="L138" s="170">
        <v>42201</v>
      </c>
      <c r="M138" s="116">
        <v>314.60000000000002</v>
      </c>
      <c r="N138" s="116">
        <v>316.89999999999998</v>
      </c>
      <c r="O138" s="116">
        <v>312.64999999999998</v>
      </c>
      <c r="P138" s="116">
        <v>313</v>
      </c>
      <c r="Q138" s="116">
        <v>314.60000000000002</v>
      </c>
      <c r="R138">
        <v>1398621</v>
      </c>
    </row>
    <row r="139" spans="1:18" x14ac:dyDescent="0.25">
      <c r="A139" s="170">
        <v>42202</v>
      </c>
      <c r="B139" s="116">
        <v>318.2</v>
      </c>
      <c r="C139" s="116">
        <v>314.10000000000002</v>
      </c>
      <c r="D139" s="116">
        <v>313</v>
      </c>
      <c r="E139" s="116">
        <v>315.5</v>
      </c>
      <c r="F139" s="116">
        <v>314.10000000000002</v>
      </c>
      <c r="G139">
        <v>1063196</v>
      </c>
      <c r="H139" s="116"/>
      <c r="I139" s="116"/>
      <c r="L139" s="170">
        <v>42202</v>
      </c>
      <c r="M139" s="116">
        <v>314.75</v>
      </c>
      <c r="N139" s="116">
        <v>318.5</v>
      </c>
      <c r="O139" s="116">
        <v>313.64999999999998</v>
      </c>
      <c r="P139" s="116">
        <v>316.55</v>
      </c>
      <c r="Q139" s="116">
        <v>314.75</v>
      </c>
      <c r="R139">
        <v>1491274</v>
      </c>
    </row>
    <row r="140" spans="1:18" x14ac:dyDescent="0.25">
      <c r="A140" s="170">
        <v>42205</v>
      </c>
      <c r="B140" s="116">
        <v>317.25</v>
      </c>
      <c r="C140" s="116">
        <v>313.3</v>
      </c>
      <c r="D140" s="116">
        <v>308.7</v>
      </c>
      <c r="E140" s="116">
        <v>315</v>
      </c>
      <c r="F140" s="116">
        <v>313.3</v>
      </c>
      <c r="G140">
        <v>512485</v>
      </c>
      <c r="H140" s="116"/>
      <c r="I140" s="116"/>
      <c r="L140" s="170">
        <v>42205</v>
      </c>
      <c r="M140" s="116">
        <v>314.55</v>
      </c>
      <c r="N140" s="116">
        <v>317.39999999999998</v>
      </c>
      <c r="O140" s="116">
        <v>309.35000000000002</v>
      </c>
      <c r="P140" s="116">
        <v>315.75</v>
      </c>
      <c r="Q140" s="116">
        <v>314.55</v>
      </c>
      <c r="R140">
        <v>1239103</v>
      </c>
    </row>
    <row r="141" spans="1:18" x14ac:dyDescent="0.25">
      <c r="A141" s="170">
        <v>42206</v>
      </c>
      <c r="B141" s="116">
        <v>317.05</v>
      </c>
      <c r="C141" s="116">
        <v>309.55</v>
      </c>
      <c r="D141" s="116">
        <v>306.60000000000002</v>
      </c>
      <c r="E141" s="116">
        <v>316</v>
      </c>
      <c r="F141" s="116">
        <v>309.55</v>
      </c>
      <c r="G141">
        <v>94801</v>
      </c>
      <c r="H141" s="116"/>
      <c r="I141" s="116"/>
      <c r="L141" s="170">
        <v>42206</v>
      </c>
      <c r="M141" s="116">
        <v>308.35000000000002</v>
      </c>
      <c r="N141" s="116">
        <v>317.25</v>
      </c>
      <c r="O141" s="116">
        <v>306</v>
      </c>
      <c r="P141" s="116">
        <v>315.3</v>
      </c>
      <c r="Q141" s="116">
        <v>308.35000000000002</v>
      </c>
      <c r="R141">
        <v>1352194</v>
      </c>
    </row>
    <row r="142" spans="1:18" x14ac:dyDescent="0.25">
      <c r="A142" s="170">
        <v>42207</v>
      </c>
      <c r="B142" s="116">
        <v>311.3</v>
      </c>
      <c r="C142" s="116">
        <v>308.55</v>
      </c>
      <c r="D142" s="116">
        <v>306</v>
      </c>
      <c r="E142" s="116">
        <v>309.89999999999998</v>
      </c>
      <c r="F142" s="116">
        <v>308.55</v>
      </c>
      <c r="G142">
        <v>56869</v>
      </c>
      <c r="H142" s="116"/>
      <c r="I142" s="116"/>
      <c r="L142" s="170">
        <v>42207</v>
      </c>
      <c r="M142" s="116">
        <v>308.2</v>
      </c>
      <c r="N142" s="116">
        <v>311.89999999999998</v>
      </c>
      <c r="O142" s="116">
        <v>306.10000000000002</v>
      </c>
      <c r="P142" s="116">
        <v>310.3</v>
      </c>
      <c r="Q142" s="116">
        <v>308.2</v>
      </c>
      <c r="R142">
        <v>1535520</v>
      </c>
    </row>
    <row r="143" spans="1:18" x14ac:dyDescent="0.25">
      <c r="A143" s="170">
        <v>42208</v>
      </c>
      <c r="B143" s="116">
        <v>317</v>
      </c>
      <c r="C143" s="116">
        <v>315.2</v>
      </c>
      <c r="D143" s="116">
        <v>307</v>
      </c>
      <c r="E143" s="116">
        <v>307</v>
      </c>
      <c r="F143" s="116">
        <v>315.2</v>
      </c>
      <c r="G143">
        <v>168109</v>
      </c>
      <c r="H143" s="116"/>
      <c r="I143" s="116"/>
      <c r="L143" s="170">
        <v>42208</v>
      </c>
      <c r="M143" s="116">
        <v>315.85000000000002</v>
      </c>
      <c r="N143" s="116">
        <v>317</v>
      </c>
      <c r="O143" s="116">
        <v>307</v>
      </c>
      <c r="P143" s="116">
        <v>308.5</v>
      </c>
      <c r="Q143" s="116">
        <v>315.85000000000002</v>
      </c>
      <c r="R143">
        <v>2062816</v>
      </c>
    </row>
    <row r="144" spans="1:18" x14ac:dyDescent="0.25">
      <c r="A144" s="170">
        <v>42209</v>
      </c>
      <c r="B144" s="116">
        <v>320</v>
      </c>
      <c r="C144" s="116">
        <v>316.8</v>
      </c>
      <c r="D144" s="116">
        <v>313.39999999999998</v>
      </c>
      <c r="E144" s="116">
        <v>315</v>
      </c>
      <c r="F144" s="116">
        <v>316.8</v>
      </c>
      <c r="G144">
        <v>163565</v>
      </c>
      <c r="H144" s="116"/>
      <c r="I144" s="116"/>
      <c r="L144" s="170">
        <v>42209</v>
      </c>
      <c r="M144" s="116">
        <v>317.60000000000002</v>
      </c>
      <c r="N144" s="116">
        <v>320.39999999999998</v>
      </c>
      <c r="O144" s="116">
        <v>313.10000000000002</v>
      </c>
      <c r="P144" s="116">
        <v>315.95</v>
      </c>
      <c r="Q144" s="116">
        <v>317.60000000000002</v>
      </c>
      <c r="R144">
        <v>2425511</v>
      </c>
    </row>
    <row r="145" spans="1:18" x14ac:dyDescent="0.25">
      <c r="A145" s="170">
        <v>42212</v>
      </c>
      <c r="B145" s="116">
        <v>316.10000000000002</v>
      </c>
      <c r="C145" s="116">
        <v>304.45</v>
      </c>
      <c r="D145" s="116">
        <v>303.2</v>
      </c>
      <c r="E145" s="116">
        <v>316</v>
      </c>
      <c r="F145" s="116">
        <v>304.45</v>
      </c>
      <c r="G145">
        <v>106882</v>
      </c>
      <c r="H145" s="116"/>
      <c r="I145" s="116"/>
      <c r="L145" s="170">
        <v>42212</v>
      </c>
      <c r="M145" s="116">
        <v>304.75</v>
      </c>
      <c r="N145" s="116">
        <v>316</v>
      </c>
      <c r="O145" s="116">
        <v>303.10000000000002</v>
      </c>
      <c r="P145" s="116">
        <v>316</v>
      </c>
      <c r="Q145" s="116">
        <v>304.75</v>
      </c>
      <c r="R145">
        <v>1287335</v>
      </c>
    </row>
    <row r="146" spans="1:18" x14ac:dyDescent="0.25">
      <c r="A146" s="170">
        <v>42213</v>
      </c>
      <c r="B146" s="116">
        <v>308.25</v>
      </c>
      <c r="C146" s="116">
        <v>306.85000000000002</v>
      </c>
      <c r="D146" s="116">
        <v>301.2</v>
      </c>
      <c r="E146" s="116">
        <v>306</v>
      </c>
      <c r="F146" s="116">
        <v>306.85000000000002</v>
      </c>
      <c r="G146">
        <v>101565</v>
      </c>
      <c r="H146" s="116"/>
      <c r="I146" s="116"/>
      <c r="L146" s="170">
        <v>42213</v>
      </c>
      <c r="M146" s="116">
        <v>307.3</v>
      </c>
      <c r="N146" s="116">
        <v>309.25</v>
      </c>
      <c r="O146" s="116">
        <v>301</v>
      </c>
      <c r="P146" s="116">
        <v>305.05</v>
      </c>
      <c r="Q146" s="116">
        <v>307.3</v>
      </c>
      <c r="R146">
        <v>1514187</v>
      </c>
    </row>
    <row r="147" spans="1:18" x14ac:dyDescent="0.25">
      <c r="A147" s="170">
        <v>42214</v>
      </c>
      <c r="B147" s="116">
        <v>314.95</v>
      </c>
      <c r="C147" s="116">
        <v>311.95</v>
      </c>
      <c r="D147" s="116">
        <v>308.8</v>
      </c>
      <c r="E147" s="116">
        <v>309</v>
      </c>
      <c r="F147" s="116">
        <v>311.95</v>
      </c>
      <c r="G147">
        <v>97911</v>
      </c>
      <c r="H147" s="116"/>
      <c r="I147" s="116"/>
      <c r="L147" s="170">
        <v>42214</v>
      </c>
      <c r="M147" s="116">
        <v>311.95</v>
      </c>
      <c r="N147" s="116">
        <v>315.2</v>
      </c>
      <c r="O147" s="116">
        <v>308.3</v>
      </c>
      <c r="P147" s="116">
        <v>309.45</v>
      </c>
      <c r="Q147" s="116">
        <v>311.95</v>
      </c>
      <c r="R147">
        <v>2225133</v>
      </c>
    </row>
    <row r="148" spans="1:18" x14ac:dyDescent="0.25">
      <c r="A148" s="170">
        <v>42215</v>
      </c>
      <c r="B148" s="116">
        <v>315</v>
      </c>
      <c r="C148" s="116">
        <v>313</v>
      </c>
      <c r="D148" s="116">
        <v>307</v>
      </c>
      <c r="E148" s="116">
        <v>313</v>
      </c>
      <c r="F148" s="116">
        <v>313</v>
      </c>
      <c r="G148">
        <v>80518</v>
      </c>
      <c r="H148" s="116"/>
      <c r="I148" s="116"/>
      <c r="L148" s="170">
        <v>42215</v>
      </c>
      <c r="M148" s="116">
        <v>313.10000000000002</v>
      </c>
      <c r="N148" s="116">
        <v>315</v>
      </c>
      <c r="O148" s="116">
        <v>306.7</v>
      </c>
      <c r="P148" s="116">
        <v>313.3</v>
      </c>
      <c r="Q148" s="116">
        <v>313.10000000000002</v>
      </c>
      <c r="R148">
        <v>1553060</v>
      </c>
    </row>
    <row r="149" spans="1:18" x14ac:dyDescent="0.25">
      <c r="A149" s="170">
        <v>42216</v>
      </c>
      <c r="B149" s="116">
        <v>322.89999999999998</v>
      </c>
      <c r="C149" s="116">
        <v>317.60000000000002</v>
      </c>
      <c r="D149" s="116">
        <v>313.10000000000002</v>
      </c>
      <c r="E149" s="116">
        <v>314.95</v>
      </c>
      <c r="F149" s="116">
        <v>317.60000000000002</v>
      </c>
      <c r="G149">
        <v>131852</v>
      </c>
      <c r="H149" s="116"/>
      <c r="I149" s="116"/>
      <c r="L149" s="170">
        <v>42216</v>
      </c>
      <c r="M149" s="116">
        <v>317.60000000000002</v>
      </c>
      <c r="N149" s="116">
        <v>323</v>
      </c>
      <c r="O149" s="116">
        <v>313.10000000000002</v>
      </c>
      <c r="P149" s="116">
        <v>314.95</v>
      </c>
      <c r="Q149" s="116">
        <v>317.60000000000002</v>
      </c>
      <c r="R149">
        <v>2041003</v>
      </c>
    </row>
    <row r="150" spans="1:18" x14ac:dyDescent="0.25">
      <c r="A150" s="170">
        <v>42219</v>
      </c>
      <c r="B150" s="116">
        <v>321.2</v>
      </c>
      <c r="C150" s="116">
        <v>318</v>
      </c>
      <c r="D150" s="116">
        <v>316.14999999999998</v>
      </c>
      <c r="E150" s="116">
        <v>320</v>
      </c>
      <c r="F150" s="116">
        <v>318</v>
      </c>
      <c r="G150">
        <v>78924</v>
      </c>
      <c r="H150" s="116"/>
      <c r="I150" s="116"/>
      <c r="L150" s="170">
        <v>42219</v>
      </c>
      <c r="M150" s="116">
        <v>318.60000000000002</v>
      </c>
      <c r="N150" s="116">
        <v>320.95</v>
      </c>
      <c r="O150" s="116">
        <v>316.75</v>
      </c>
      <c r="P150" s="116">
        <v>318</v>
      </c>
      <c r="Q150" s="116">
        <v>318.60000000000002</v>
      </c>
      <c r="R150">
        <v>1840369</v>
      </c>
    </row>
    <row r="151" spans="1:18" x14ac:dyDescent="0.25">
      <c r="A151" s="170">
        <v>42220</v>
      </c>
      <c r="B151" s="116">
        <v>323.5</v>
      </c>
      <c r="C151" s="116">
        <v>320.75</v>
      </c>
      <c r="D151" s="116">
        <v>314</v>
      </c>
      <c r="E151" s="116">
        <v>318.5</v>
      </c>
      <c r="F151" s="116">
        <v>320.75</v>
      </c>
      <c r="G151">
        <v>155734</v>
      </c>
      <c r="H151" s="116"/>
      <c r="I151" s="116"/>
      <c r="L151" s="170">
        <v>42220</v>
      </c>
      <c r="M151" s="116">
        <v>320</v>
      </c>
      <c r="N151" s="116">
        <v>323.75</v>
      </c>
      <c r="O151" s="116">
        <v>314.35000000000002</v>
      </c>
      <c r="P151" s="116">
        <v>319</v>
      </c>
      <c r="Q151" s="116">
        <v>320</v>
      </c>
      <c r="R151">
        <v>2946100</v>
      </c>
    </row>
    <row r="152" spans="1:18" x14ac:dyDescent="0.25">
      <c r="A152" s="170">
        <v>42221</v>
      </c>
      <c r="B152" s="116">
        <v>328</v>
      </c>
      <c r="C152" s="116">
        <v>324.89999999999998</v>
      </c>
      <c r="D152" s="116">
        <v>321.8</v>
      </c>
      <c r="E152" s="116">
        <v>322.10000000000002</v>
      </c>
      <c r="F152" s="116">
        <v>324.89999999999998</v>
      </c>
      <c r="G152">
        <v>131756</v>
      </c>
      <c r="H152" s="116"/>
      <c r="I152" s="116"/>
      <c r="L152" s="170">
        <v>42221</v>
      </c>
      <c r="M152" s="116">
        <v>325.10000000000002</v>
      </c>
      <c r="N152" s="116">
        <v>328.1</v>
      </c>
      <c r="O152" s="116">
        <v>320.39999999999998</v>
      </c>
      <c r="P152" s="116">
        <v>321</v>
      </c>
      <c r="Q152" s="116">
        <v>325.10000000000002</v>
      </c>
      <c r="R152">
        <v>2363619</v>
      </c>
    </row>
    <row r="153" spans="1:18" x14ac:dyDescent="0.25">
      <c r="A153" s="170">
        <v>42222</v>
      </c>
      <c r="B153" s="116">
        <v>330.35</v>
      </c>
      <c r="C153" s="116">
        <v>327.35000000000002</v>
      </c>
      <c r="D153" s="116">
        <v>323</v>
      </c>
      <c r="E153" s="116">
        <v>326.10000000000002</v>
      </c>
      <c r="F153" s="116">
        <v>327.35000000000002</v>
      </c>
      <c r="G153">
        <v>112091</v>
      </c>
      <c r="H153" s="116"/>
      <c r="I153" s="116"/>
      <c r="L153" s="170">
        <v>42222</v>
      </c>
      <c r="M153" s="116">
        <v>327.60000000000002</v>
      </c>
      <c r="N153" s="116">
        <v>330.4</v>
      </c>
      <c r="O153" s="116">
        <v>322.75</v>
      </c>
      <c r="P153" s="116">
        <v>326.3</v>
      </c>
      <c r="Q153" s="116">
        <v>327.60000000000002</v>
      </c>
      <c r="R153">
        <v>2263421</v>
      </c>
    </row>
    <row r="154" spans="1:18" x14ac:dyDescent="0.25">
      <c r="A154" s="170">
        <v>42223</v>
      </c>
      <c r="B154" s="116">
        <v>329.15</v>
      </c>
      <c r="C154" s="116">
        <v>317.35000000000002</v>
      </c>
      <c r="D154" s="116">
        <v>316.25</v>
      </c>
      <c r="E154" s="116">
        <v>329</v>
      </c>
      <c r="F154" s="116">
        <v>317.35000000000002</v>
      </c>
      <c r="G154">
        <v>176754</v>
      </c>
      <c r="H154" s="116"/>
      <c r="I154" s="116"/>
      <c r="L154" s="170">
        <v>42223</v>
      </c>
      <c r="M154" s="116">
        <v>317.60000000000002</v>
      </c>
      <c r="N154" s="116">
        <v>329</v>
      </c>
      <c r="O154" s="116">
        <v>316.3</v>
      </c>
      <c r="P154" s="116">
        <v>327.9</v>
      </c>
      <c r="Q154" s="116">
        <v>317.60000000000002</v>
      </c>
      <c r="R154">
        <v>1792348</v>
      </c>
    </row>
    <row r="155" spans="1:18" x14ac:dyDescent="0.25">
      <c r="A155" s="170">
        <v>42226</v>
      </c>
      <c r="B155" s="116">
        <v>319.89999999999998</v>
      </c>
      <c r="C155" s="116">
        <v>306.10000000000002</v>
      </c>
      <c r="D155" s="116">
        <v>304</v>
      </c>
      <c r="E155" s="116">
        <v>317.35000000000002</v>
      </c>
      <c r="F155" s="116">
        <v>306.10000000000002</v>
      </c>
      <c r="G155">
        <v>221789</v>
      </c>
      <c r="H155" s="116"/>
      <c r="I155" s="116"/>
      <c r="L155" s="170">
        <v>42226</v>
      </c>
      <c r="M155" s="116">
        <v>305.35000000000002</v>
      </c>
      <c r="N155" s="116">
        <v>319.75</v>
      </c>
      <c r="O155" s="116">
        <v>303</v>
      </c>
      <c r="P155" s="116">
        <v>316.60000000000002</v>
      </c>
      <c r="Q155" s="116">
        <v>305.35000000000002</v>
      </c>
      <c r="R155">
        <v>2216198</v>
      </c>
    </row>
    <row r="156" spans="1:18" x14ac:dyDescent="0.25">
      <c r="A156" s="170">
        <v>42227</v>
      </c>
      <c r="B156" s="116">
        <v>309.7</v>
      </c>
      <c r="C156" s="116">
        <v>306</v>
      </c>
      <c r="D156" s="116">
        <v>303.10000000000002</v>
      </c>
      <c r="E156" s="116">
        <v>308</v>
      </c>
      <c r="F156" s="116">
        <v>306</v>
      </c>
      <c r="G156">
        <v>140388</v>
      </c>
      <c r="H156" s="116"/>
      <c r="I156" s="116"/>
      <c r="L156" s="170">
        <v>42227</v>
      </c>
      <c r="M156" s="116">
        <v>305.25</v>
      </c>
      <c r="N156" s="116">
        <v>310</v>
      </c>
      <c r="O156" s="116">
        <v>302.7</v>
      </c>
      <c r="P156" s="116">
        <v>306</v>
      </c>
      <c r="Q156" s="116">
        <v>305.25</v>
      </c>
      <c r="R156">
        <v>1519542</v>
      </c>
    </row>
    <row r="157" spans="1:18" x14ac:dyDescent="0.25">
      <c r="A157" s="170">
        <v>42228</v>
      </c>
      <c r="B157" s="116">
        <v>305.60000000000002</v>
      </c>
      <c r="C157" s="116">
        <v>298.8</v>
      </c>
      <c r="D157" s="116">
        <v>281.89999999999998</v>
      </c>
      <c r="E157" s="116">
        <v>301.5</v>
      </c>
      <c r="F157" s="116">
        <v>298.8</v>
      </c>
      <c r="G157">
        <v>833478</v>
      </c>
      <c r="H157" s="116"/>
      <c r="I157" s="116"/>
      <c r="L157" s="170">
        <v>42228</v>
      </c>
      <c r="M157" s="116">
        <v>298.55</v>
      </c>
      <c r="N157" s="116">
        <v>305.85000000000002</v>
      </c>
      <c r="O157" s="116">
        <v>281.45</v>
      </c>
      <c r="P157" s="116">
        <v>304.2</v>
      </c>
      <c r="Q157" s="116">
        <v>298.55</v>
      </c>
      <c r="R157">
        <v>7136664</v>
      </c>
    </row>
    <row r="158" spans="1:18" x14ac:dyDescent="0.25">
      <c r="A158" s="170">
        <v>42229</v>
      </c>
      <c r="B158" s="116">
        <v>306.75</v>
      </c>
      <c r="C158" s="116">
        <v>303.14999999999998</v>
      </c>
      <c r="D158" s="116">
        <v>293.5</v>
      </c>
      <c r="E158" s="116">
        <v>299</v>
      </c>
      <c r="F158" s="116">
        <v>303.14999999999998</v>
      </c>
      <c r="G158">
        <v>270889</v>
      </c>
      <c r="H158" s="116"/>
      <c r="I158" s="116"/>
      <c r="L158" s="170">
        <v>42229</v>
      </c>
      <c r="M158" s="116">
        <v>304.2</v>
      </c>
      <c r="N158" s="116">
        <v>307</v>
      </c>
      <c r="O158" s="116">
        <v>293</v>
      </c>
      <c r="P158" s="116">
        <v>298</v>
      </c>
      <c r="Q158" s="116">
        <v>304.2</v>
      </c>
      <c r="R158">
        <v>2715476</v>
      </c>
    </row>
    <row r="159" spans="1:18" x14ac:dyDescent="0.25">
      <c r="A159" s="170">
        <v>42230</v>
      </c>
      <c r="B159" s="116">
        <v>315</v>
      </c>
      <c r="C159" s="116">
        <v>313.5</v>
      </c>
      <c r="D159" s="116">
        <v>302.39999999999998</v>
      </c>
      <c r="E159" s="116">
        <v>305.2</v>
      </c>
      <c r="F159" s="116">
        <v>313.5</v>
      </c>
      <c r="G159">
        <v>178284</v>
      </c>
      <c r="H159" s="116"/>
      <c r="I159" s="116"/>
      <c r="L159" s="170">
        <v>42230</v>
      </c>
      <c r="M159" s="116">
        <v>315.3</v>
      </c>
      <c r="N159" s="116">
        <v>317</v>
      </c>
      <c r="O159" s="116">
        <v>302</v>
      </c>
      <c r="P159" s="116">
        <v>302</v>
      </c>
      <c r="Q159" s="116">
        <v>315.3</v>
      </c>
      <c r="R159">
        <v>2293045</v>
      </c>
    </row>
    <row r="160" spans="1:18" x14ac:dyDescent="0.25">
      <c r="A160" s="170">
        <v>42233</v>
      </c>
      <c r="B160" s="116">
        <v>321.05</v>
      </c>
      <c r="C160" s="116">
        <v>313.64999999999998</v>
      </c>
      <c r="D160" s="116">
        <v>311.39999999999998</v>
      </c>
      <c r="E160" s="116">
        <v>315.5</v>
      </c>
      <c r="F160" s="116">
        <v>313.64999999999998</v>
      </c>
      <c r="G160">
        <v>215802</v>
      </c>
      <c r="H160" s="116"/>
      <c r="I160" s="116"/>
      <c r="L160" s="170">
        <v>42233</v>
      </c>
      <c r="M160" s="116">
        <v>314.55</v>
      </c>
      <c r="N160" s="116">
        <v>322.10000000000002</v>
      </c>
      <c r="O160" s="116">
        <v>311.10000000000002</v>
      </c>
      <c r="P160" s="116">
        <v>313.55</v>
      </c>
      <c r="Q160" s="116">
        <v>314.55</v>
      </c>
      <c r="R160">
        <v>1978816</v>
      </c>
    </row>
    <row r="161" spans="1:18" x14ac:dyDescent="0.25">
      <c r="A161" s="170">
        <v>42234</v>
      </c>
      <c r="B161" s="116">
        <v>318.35000000000002</v>
      </c>
      <c r="C161" s="116">
        <v>304.5</v>
      </c>
      <c r="D161" s="116">
        <v>303.64999999999998</v>
      </c>
      <c r="E161" s="116">
        <v>314.5</v>
      </c>
      <c r="F161" s="116">
        <v>304.5</v>
      </c>
      <c r="G161">
        <v>213997</v>
      </c>
      <c r="H161" s="116"/>
      <c r="I161" s="116"/>
      <c r="L161" s="170">
        <v>42234</v>
      </c>
      <c r="M161" s="116">
        <v>304.60000000000002</v>
      </c>
      <c r="N161" s="116">
        <v>318.39999999999998</v>
      </c>
      <c r="O161" s="116">
        <v>303.75</v>
      </c>
      <c r="P161" s="116">
        <v>313</v>
      </c>
      <c r="Q161" s="116">
        <v>304.60000000000002</v>
      </c>
      <c r="R161">
        <v>1833406</v>
      </c>
    </row>
    <row r="162" spans="1:18" x14ac:dyDescent="0.25">
      <c r="A162" s="170">
        <v>42235</v>
      </c>
      <c r="B162" s="116">
        <v>308.5</v>
      </c>
      <c r="C162" s="116">
        <v>306.35000000000002</v>
      </c>
      <c r="D162" s="116">
        <v>298.7</v>
      </c>
      <c r="E162" s="116">
        <v>306.89999999999998</v>
      </c>
      <c r="F162" s="116">
        <v>306.35000000000002</v>
      </c>
      <c r="G162">
        <v>127244</v>
      </c>
      <c r="H162" s="116"/>
      <c r="I162" s="116"/>
      <c r="L162" s="170">
        <v>42235</v>
      </c>
      <c r="M162" s="116">
        <v>306.35000000000002</v>
      </c>
      <c r="N162" s="116">
        <v>308.75</v>
      </c>
      <c r="O162" s="116">
        <v>298.60000000000002</v>
      </c>
      <c r="P162" s="116">
        <v>303</v>
      </c>
      <c r="Q162" s="116">
        <v>306.35000000000002</v>
      </c>
      <c r="R162">
        <v>1243817</v>
      </c>
    </row>
    <row r="163" spans="1:18" x14ac:dyDescent="0.25">
      <c r="A163" s="170">
        <v>42236</v>
      </c>
      <c r="B163" s="116">
        <v>303.89999999999998</v>
      </c>
      <c r="C163" s="116">
        <v>296.2</v>
      </c>
      <c r="D163" s="116">
        <v>294</v>
      </c>
      <c r="E163" s="116">
        <v>303</v>
      </c>
      <c r="F163" s="116">
        <v>296.2</v>
      </c>
      <c r="G163">
        <v>191639</v>
      </c>
      <c r="H163" s="116"/>
      <c r="I163" s="116"/>
      <c r="L163" s="170">
        <v>42236</v>
      </c>
      <c r="M163" s="116">
        <v>296.60000000000002</v>
      </c>
      <c r="N163" s="116">
        <v>304.89999999999998</v>
      </c>
      <c r="O163" s="116">
        <v>293.39999999999998</v>
      </c>
      <c r="P163" s="116">
        <v>304.89999999999998</v>
      </c>
      <c r="Q163" s="116">
        <v>296.60000000000002</v>
      </c>
      <c r="R163">
        <v>3189239</v>
      </c>
    </row>
    <row r="164" spans="1:18" x14ac:dyDescent="0.25">
      <c r="A164" s="170">
        <v>42237</v>
      </c>
      <c r="B164" s="116">
        <v>293.89999999999998</v>
      </c>
      <c r="C164" s="116">
        <v>288.75</v>
      </c>
      <c r="D164" s="116">
        <v>283.05</v>
      </c>
      <c r="E164" s="116">
        <v>290.75</v>
      </c>
      <c r="F164" s="116">
        <v>288.75</v>
      </c>
      <c r="G164">
        <v>166526</v>
      </c>
      <c r="H164" s="116"/>
      <c r="I164" s="116"/>
      <c r="L164" s="170">
        <v>42237</v>
      </c>
      <c r="M164" s="116">
        <v>288.89999999999998</v>
      </c>
      <c r="N164" s="116">
        <v>294.35000000000002</v>
      </c>
      <c r="O164" s="116">
        <v>283.14999999999998</v>
      </c>
      <c r="P164" s="116">
        <v>291</v>
      </c>
      <c r="Q164" s="116">
        <v>288.89999999999998</v>
      </c>
      <c r="R164">
        <v>2854277</v>
      </c>
    </row>
    <row r="165" spans="1:18" x14ac:dyDescent="0.25">
      <c r="A165" s="170">
        <v>42240</v>
      </c>
      <c r="B165" s="116">
        <v>287</v>
      </c>
      <c r="C165" s="116">
        <v>264.25</v>
      </c>
      <c r="D165" s="116">
        <v>259.89999999999998</v>
      </c>
      <c r="E165" s="116">
        <v>287</v>
      </c>
      <c r="F165" s="116">
        <v>264.25</v>
      </c>
      <c r="G165">
        <v>451040</v>
      </c>
      <c r="H165" s="116"/>
      <c r="I165" s="116"/>
      <c r="L165" s="170">
        <v>42240</v>
      </c>
      <c r="M165" s="116">
        <v>264.35000000000002</v>
      </c>
      <c r="N165" s="116">
        <v>281</v>
      </c>
      <c r="O165" s="116">
        <v>250.8</v>
      </c>
      <c r="P165" s="116">
        <v>280.3</v>
      </c>
      <c r="Q165" s="116">
        <v>264.35000000000002</v>
      </c>
      <c r="R165">
        <v>5630357</v>
      </c>
    </row>
    <row r="166" spans="1:18" x14ac:dyDescent="0.25">
      <c r="A166" s="170">
        <v>42241</v>
      </c>
      <c r="B166" s="116">
        <v>276.7</v>
      </c>
      <c r="C166" s="116">
        <v>272.55</v>
      </c>
      <c r="D166" s="116">
        <v>246</v>
      </c>
      <c r="E166" s="116">
        <v>270</v>
      </c>
      <c r="F166" s="116">
        <v>272.55</v>
      </c>
      <c r="G166">
        <v>257135</v>
      </c>
      <c r="H166" s="116"/>
      <c r="I166" s="116"/>
      <c r="L166" s="170">
        <v>42241</v>
      </c>
      <c r="M166" s="116">
        <v>272.45</v>
      </c>
      <c r="N166" s="116">
        <v>276.7</v>
      </c>
      <c r="O166" s="116">
        <v>245.7</v>
      </c>
      <c r="P166" s="116">
        <v>264.5</v>
      </c>
      <c r="Q166" s="116">
        <v>272.45</v>
      </c>
      <c r="R166">
        <v>3855557</v>
      </c>
    </row>
    <row r="167" spans="1:18" x14ac:dyDescent="0.25">
      <c r="A167" s="170">
        <v>42242</v>
      </c>
      <c r="B167" s="116">
        <v>277</v>
      </c>
      <c r="C167" s="116">
        <v>269.89999999999998</v>
      </c>
      <c r="D167" s="116">
        <v>263</v>
      </c>
      <c r="E167" s="116">
        <v>277</v>
      </c>
      <c r="F167" s="116">
        <v>269.89999999999998</v>
      </c>
      <c r="G167">
        <v>120112</v>
      </c>
      <c r="H167" s="116"/>
      <c r="I167" s="116"/>
      <c r="L167" s="170">
        <v>42242</v>
      </c>
      <c r="M167" s="116">
        <v>270.25</v>
      </c>
      <c r="N167" s="116">
        <v>274.60000000000002</v>
      </c>
      <c r="O167" s="116">
        <v>262.25</v>
      </c>
      <c r="P167" s="116">
        <v>273.85000000000002</v>
      </c>
      <c r="Q167" s="116">
        <v>270.25</v>
      </c>
      <c r="R167">
        <v>2743623</v>
      </c>
    </row>
    <row r="168" spans="1:18" x14ac:dyDescent="0.25">
      <c r="A168" s="170">
        <v>42243</v>
      </c>
      <c r="B168" s="116">
        <v>282</v>
      </c>
      <c r="C168" s="116">
        <v>279.85000000000002</v>
      </c>
      <c r="D168" s="116">
        <v>270.85000000000002</v>
      </c>
      <c r="E168" s="116">
        <v>275</v>
      </c>
      <c r="F168" s="116">
        <v>279.85000000000002</v>
      </c>
      <c r="G168">
        <v>143144</v>
      </c>
      <c r="H168" s="116"/>
      <c r="I168" s="116"/>
      <c r="L168" s="170">
        <v>42243</v>
      </c>
      <c r="M168" s="116">
        <v>280</v>
      </c>
      <c r="N168" s="116">
        <v>282.64999999999998</v>
      </c>
      <c r="O168" s="116">
        <v>270.60000000000002</v>
      </c>
      <c r="P168" s="116">
        <v>274.25</v>
      </c>
      <c r="Q168" s="116">
        <v>280</v>
      </c>
      <c r="R168">
        <v>2584747</v>
      </c>
    </row>
    <row r="169" spans="1:18" x14ac:dyDescent="0.25">
      <c r="A169" s="170">
        <v>42244</v>
      </c>
      <c r="B169" s="116">
        <v>292</v>
      </c>
      <c r="C169" s="116">
        <v>285.89999999999998</v>
      </c>
      <c r="D169" s="116">
        <v>280</v>
      </c>
      <c r="E169" s="116">
        <v>282</v>
      </c>
      <c r="F169" s="116">
        <v>285.89999999999998</v>
      </c>
      <c r="G169">
        <v>164056</v>
      </c>
      <c r="H169" s="116"/>
      <c r="I169" s="116"/>
      <c r="L169" s="170">
        <v>42244</v>
      </c>
      <c r="M169" s="116">
        <v>287.05</v>
      </c>
      <c r="N169" s="116">
        <v>292.75</v>
      </c>
      <c r="O169" s="116">
        <v>280</v>
      </c>
      <c r="P169" s="116">
        <v>282.2</v>
      </c>
      <c r="Q169" s="116">
        <v>287.05</v>
      </c>
      <c r="R169">
        <v>2196436</v>
      </c>
    </row>
    <row r="170" spans="1:18" x14ac:dyDescent="0.25">
      <c r="A170" s="170">
        <v>42247</v>
      </c>
      <c r="B170" s="116">
        <v>286.60000000000002</v>
      </c>
      <c r="C170" s="116">
        <v>273.35000000000002</v>
      </c>
      <c r="D170" s="116">
        <v>272.05</v>
      </c>
      <c r="E170" s="116">
        <v>286.60000000000002</v>
      </c>
      <c r="F170" s="116">
        <v>273.35000000000002</v>
      </c>
      <c r="G170">
        <v>143783</v>
      </c>
      <c r="H170" s="116"/>
      <c r="I170" s="116"/>
      <c r="L170" s="170">
        <v>42247</v>
      </c>
      <c r="M170" s="116">
        <v>272.95</v>
      </c>
      <c r="N170" s="116">
        <v>288</v>
      </c>
      <c r="O170" s="116">
        <v>271.7</v>
      </c>
      <c r="P170" s="116">
        <v>288</v>
      </c>
      <c r="Q170" s="116">
        <v>272.95</v>
      </c>
      <c r="R170">
        <v>2396140</v>
      </c>
    </row>
    <row r="171" spans="1:18" x14ac:dyDescent="0.25">
      <c r="A171" s="170">
        <v>42248</v>
      </c>
      <c r="B171" s="116">
        <v>275</v>
      </c>
      <c r="C171" s="116">
        <v>255.25</v>
      </c>
      <c r="D171" s="116">
        <v>249.15</v>
      </c>
      <c r="E171" s="116">
        <v>271.89999999999998</v>
      </c>
      <c r="F171" s="116">
        <v>255.25</v>
      </c>
      <c r="G171">
        <v>763940</v>
      </c>
      <c r="H171" s="116"/>
      <c r="I171" s="116"/>
      <c r="L171" s="170">
        <v>42248</v>
      </c>
      <c r="M171" s="116">
        <v>255.45</v>
      </c>
      <c r="N171" s="116">
        <v>275</v>
      </c>
      <c r="O171" s="116">
        <v>248.5</v>
      </c>
      <c r="P171" s="116">
        <v>271</v>
      </c>
      <c r="Q171" s="116">
        <v>255.45</v>
      </c>
      <c r="R171">
        <v>3485736</v>
      </c>
    </row>
    <row r="172" spans="1:18" x14ac:dyDescent="0.25">
      <c r="A172" s="170">
        <v>42249</v>
      </c>
      <c r="B172" s="116">
        <v>264.35000000000002</v>
      </c>
      <c r="C172" s="116">
        <v>257.85000000000002</v>
      </c>
      <c r="D172" s="116">
        <v>255.4</v>
      </c>
      <c r="E172" s="116">
        <v>257</v>
      </c>
      <c r="F172" s="116">
        <v>257.85000000000002</v>
      </c>
      <c r="G172">
        <v>213931</v>
      </c>
      <c r="H172" s="116"/>
      <c r="I172" s="116"/>
      <c r="L172" s="170">
        <v>42249</v>
      </c>
      <c r="M172" s="116">
        <v>258.05</v>
      </c>
      <c r="N172" s="116">
        <v>264.60000000000002</v>
      </c>
      <c r="O172" s="116">
        <v>255.2</v>
      </c>
      <c r="P172" s="116">
        <v>257.05</v>
      </c>
      <c r="Q172" s="116">
        <v>258.05</v>
      </c>
      <c r="R172">
        <v>2315773</v>
      </c>
    </row>
    <row r="173" spans="1:18" x14ac:dyDescent="0.25">
      <c r="A173" s="170">
        <v>42250</v>
      </c>
      <c r="B173" s="116">
        <v>266.7</v>
      </c>
      <c r="C173" s="116">
        <v>264.64999999999998</v>
      </c>
      <c r="D173" s="116">
        <v>256.5</v>
      </c>
      <c r="E173" s="116">
        <v>262</v>
      </c>
      <c r="F173" s="116">
        <v>264.64999999999998</v>
      </c>
      <c r="G173">
        <v>194609</v>
      </c>
      <c r="H173" s="116"/>
      <c r="I173" s="116"/>
      <c r="L173" s="170">
        <v>42250</v>
      </c>
      <c r="M173" s="116">
        <v>264.5</v>
      </c>
      <c r="N173" s="116">
        <v>267</v>
      </c>
      <c r="O173" s="116">
        <v>256.5</v>
      </c>
      <c r="P173" s="116">
        <v>260.5</v>
      </c>
      <c r="Q173" s="116">
        <v>264.5</v>
      </c>
      <c r="R173">
        <v>2361335</v>
      </c>
    </row>
    <row r="174" spans="1:18" x14ac:dyDescent="0.25">
      <c r="A174" s="170">
        <v>42251</v>
      </c>
      <c r="B174" s="116">
        <v>266.39999999999998</v>
      </c>
      <c r="C174" s="116">
        <v>253.8</v>
      </c>
      <c r="D174" s="116">
        <v>248.1</v>
      </c>
      <c r="E174" s="116">
        <v>266.39999999999998</v>
      </c>
      <c r="F174" s="116">
        <v>253.8</v>
      </c>
      <c r="G174">
        <v>176978</v>
      </c>
      <c r="H174" s="116"/>
      <c r="I174" s="116"/>
      <c r="L174" s="170">
        <v>42251</v>
      </c>
      <c r="M174" s="116">
        <v>253.7</v>
      </c>
      <c r="N174" s="116">
        <v>265.7</v>
      </c>
      <c r="O174" s="116">
        <v>248.05</v>
      </c>
      <c r="P174" s="116">
        <v>265.7</v>
      </c>
      <c r="Q174" s="116">
        <v>253.7</v>
      </c>
      <c r="R174">
        <v>2925080</v>
      </c>
    </row>
    <row r="175" spans="1:18" x14ac:dyDescent="0.25">
      <c r="A175" s="170">
        <v>42254</v>
      </c>
      <c r="B175" s="116">
        <v>260</v>
      </c>
      <c r="C175" s="116">
        <v>253.3</v>
      </c>
      <c r="D175" s="116">
        <v>248.95</v>
      </c>
      <c r="E175" s="116">
        <v>260</v>
      </c>
      <c r="F175" s="116">
        <v>253.3</v>
      </c>
      <c r="G175">
        <v>154218</v>
      </c>
      <c r="H175" s="116"/>
      <c r="I175" s="116"/>
      <c r="L175" s="170">
        <v>42254</v>
      </c>
      <c r="M175" s="116">
        <v>253.6</v>
      </c>
      <c r="N175" s="116">
        <v>259.75</v>
      </c>
      <c r="O175" s="116">
        <v>248.55</v>
      </c>
      <c r="P175" s="116">
        <v>255.3</v>
      </c>
      <c r="Q175" s="116">
        <v>253.6</v>
      </c>
      <c r="R175">
        <v>1771556</v>
      </c>
    </row>
    <row r="176" spans="1:18" x14ac:dyDescent="0.25">
      <c r="A176" s="170">
        <v>42255</v>
      </c>
      <c r="B176" s="116">
        <v>264.5</v>
      </c>
      <c r="C176" s="116">
        <v>262.8</v>
      </c>
      <c r="D176" s="116">
        <v>249.2</v>
      </c>
      <c r="E176" s="116">
        <v>254.1</v>
      </c>
      <c r="F176" s="116">
        <v>262.8</v>
      </c>
      <c r="G176">
        <v>128971</v>
      </c>
      <c r="H176" s="116"/>
      <c r="I176" s="116"/>
      <c r="L176" s="170">
        <v>42255</v>
      </c>
      <c r="M176" s="116">
        <v>262.7</v>
      </c>
      <c r="N176" s="116">
        <v>264.75</v>
      </c>
      <c r="O176" s="116">
        <v>249.2</v>
      </c>
      <c r="P176" s="116">
        <v>255.5</v>
      </c>
      <c r="Q176" s="116">
        <v>262.7</v>
      </c>
      <c r="R176">
        <v>1423110</v>
      </c>
    </row>
    <row r="177" spans="1:18" x14ac:dyDescent="0.25">
      <c r="A177" s="170">
        <v>42256</v>
      </c>
      <c r="B177" s="116">
        <v>269</v>
      </c>
      <c r="C177" s="116">
        <v>262.8</v>
      </c>
      <c r="D177" s="116">
        <v>260.45</v>
      </c>
      <c r="E177" s="116">
        <v>267.89999999999998</v>
      </c>
      <c r="F177" s="116">
        <v>262.8</v>
      </c>
      <c r="G177">
        <v>114317</v>
      </c>
      <c r="H177" s="116"/>
      <c r="I177" s="116"/>
      <c r="L177" s="170">
        <v>42256</v>
      </c>
      <c r="M177" s="116">
        <v>262.95</v>
      </c>
      <c r="N177" s="116">
        <v>269.25</v>
      </c>
      <c r="O177" s="116">
        <v>260.3</v>
      </c>
      <c r="P177" s="116">
        <v>266.89999999999998</v>
      </c>
      <c r="Q177" s="116">
        <v>262.95</v>
      </c>
      <c r="R177">
        <v>1155101</v>
      </c>
    </row>
    <row r="178" spans="1:18" x14ac:dyDescent="0.25">
      <c r="A178" s="170">
        <v>42257</v>
      </c>
      <c r="B178" s="116">
        <v>260</v>
      </c>
      <c r="C178" s="116">
        <v>255.4</v>
      </c>
      <c r="D178" s="116">
        <v>253.05</v>
      </c>
      <c r="E178" s="116">
        <v>260</v>
      </c>
      <c r="F178" s="116">
        <v>255.4</v>
      </c>
      <c r="G178">
        <v>89567</v>
      </c>
      <c r="H178" s="116"/>
      <c r="I178" s="116"/>
      <c r="L178" s="170">
        <v>42257</v>
      </c>
      <c r="M178" s="116">
        <v>255</v>
      </c>
      <c r="N178" s="116">
        <v>259</v>
      </c>
      <c r="O178" s="116">
        <v>253.15</v>
      </c>
      <c r="P178" s="116">
        <v>258</v>
      </c>
      <c r="Q178" s="116">
        <v>255</v>
      </c>
      <c r="R178">
        <v>1052085</v>
      </c>
    </row>
    <row r="179" spans="1:18" x14ac:dyDescent="0.25">
      <c r="A179" s="170">
        <v>42258</v>
      </c>
      <c r="B179" s="116">
        <v>259.60000000000002</v>
      </c>
      <c r="C179" s="116">
        <v>255.75</v>
      </c>
      <c r="D179" s="116">
        <v>254</v>
      </c>
      <c r="E179" s="116">
        <v>257.39999999999998</v>
      </c>
      <c r="F179" s="116">
        <v>255.75</v>
      </c>
      <c r="G179">
        <v>104585</v>
      </c>
      <c r="H179" s="116"/>
      <c r="I179" s="116"/>
      <c r="L179" s="170">
        <v>42258</v>
      </c>
      <c r="M179" s="116">
        <v>255.6</v>
      </c>
      <c r="N179" s="116">
        <v>259.5</v>
      </c>
      <c r="O179" s="116">
        <v>254.1</v>
      </c>
      <c r="P179" s="116">
        <v>258.39999999999998</v>
      </c>
      <c r="Q179" s="116">
        <v>255.6</v>
      </c>
      <c r="R179">
        <v>1236863</v>
      </c>
    </row>
    <row r="180" spans="1:18" x14ac:dyDescent="0.25">
      <c r="A180" s="170">
        <v>42261</v>
      </c>
      <c r="B180" s="116">
        <v>258</v>
      </c>
      <c r="C180" s="116">
        <v>257</v>
      </c>
      <c r="D180" s="116">
        <v>253.2</v>
      </c>
      <c r="E180" s="116">
        <v>256</v>
      </c>
      <c r="F180" s="116">
        <v>257</v>
      </c>
      <c r="G180">
        <v>87921</v>
      </c>
      <c r="H180" s="116"/>
      <c r="I180" s="116"/>
      <c r="L180" s="170">
        <v>42261</v>
      </c>
      <c r="M180" s="116">
        <v>257.45</v>
      </c>
      <c r="N180" s="116">
        <v>259</v>
      </c>
      <c r="O180" s="116">
        <v>253.05</v>
      </c>
      <c r="P180" s="116">
        <v>257.60000000000002</v>
      </c>
      <c r="Q180" s="116">
        <v>257.45</v>
      </c>
      <c r="R180">
        <v>688390</v>
      </c>
    </row>
    <row r="181" spans="1:18" x14ac:dyDescent="0.25">
      <c r="A181" s="170">
        <v>42262</v>
      </c>
      <c r="B181" s="116">
        <v>267.5</v>
      </c>
      <c r="C181" s="116">
        <v>264.3</v>
      </c>
      <c r="D181" s="116">
        <v>258.89999999999998</v>
      </c>
      <c r="E181" s="116">
        <v>258.89999999999998</v>
      </c>
      <c r="F181" s="116">
        <v>264.3</v>
      </c>
      <c r="G181">
        <v>155204</v>
      </c>
      <c r="H181" s="116"/>
      <c r="I181" s="116"/>
      <c r="L181" s="170">
        <v>42262</v>
      </c>
      <c r="M181" s="116">
        <v>264.45</v>
      </c>
      <c r="N181" s="116">
        <v>267.8</v>
      </c>
      <c r="O181" s="116">
        <v>259.05</v>
      </c>
      <c r="P181" s="116">
        <v>260</v>
      </c>
      <c r="Q181" s="116">
        <v>264.45</v>
      </c>
      <c r="R181">
        <v>2060302</v>
      </c>
    </row>
    <row r="182" spans="1:18" x14ac:dyDescent="0.25">
      <c r="A182" s="170">
        <v>42263</v>
      </c>
      <c r="B182" s="116">
        <v>266.39999999999998</v>
      </c>
      <c r="C182" s="116">
        <v>257</v>
      </c>
      <c r="D182" s="116">
        <v>255.5</v>
      </c>
      <c r="E182" s="116">
        <v>264.89999999999998</v>
      </c>
      <c r="F182" s="116">
        <v>257</v>
      </c>
      <c r="G182">
        <v>109004</v>
      </c>
      <c r="H182" s="116"/>
      <c r="I182" s="116"/>
      <c r="L182" s="170">
        <v>42263</v>
      </c>
      <c r="M182" s="116">
        <v>257.25</v>
      </c>
      <c r="N182" s="116">
        <v>267.75</v>
      </c>
      <c r="O182" s="116">
        <v>256.14999999999998</v>
      </c>
      <c r="P182" s="116">
        <v>267.75</v>
      </c>
      <c r="Q182" s="116">
        <v>257.25</v>
      </c>
      <c r="R182">
        <v>1602789</v>
      </c>
    </row>
    <row r="183" spans="1:18" x14ac:dyDescent="0.25">
      <c r="A183" s="170">
        <v>42265</v>
      </c>
      <c r="B183" s="116">
        <v>260.7</v>
      </c>
      <c r="C183" s="116">
        <v>251.5</v>
      </c>
      <c r="D183" s="116">
        <v>250.5</v>
      </c>
      <c r="E183" s="116">
        <v>260</v>
      </c>
      <c r="F183" s="116">
        <v>251.5</v>
      </c>
      <c r="G183">
        <v>141422</v>
      </c>
      <c r="H183" s="116"/>
      <c r="I183" s="116"/>
      <c r="L183" s="170">
        <v>42265</v>
      </c>
      <c r="M183" s="116">
        <v>251.05</v>
      </c>
      <c r="N183" s="116">
        <v>261.45</v>
      </c>
      <c r="O183" s="116">
        <v>249.55</v>
      </c>
      <c r="P183" s="116">
        <v>261.45</v>
      </c>
      <c r="Q183" s="116">
        <v>251.05</v>
      </c>
      <c r="R183">
        <v>1845827</v>
      </c>
    </row>
    <row r="184" spans="1:18" x14ac:dyDescent="0.25">
      <c r="A184" s="170">
        <v>42268</v>
      </c>
      <c r="B184" s="116">
        <v>261</v>
      </c>
      <c r="C184" s="116">
        <v>259.5</v>
      </c>
      <c r="D184" s="116">
        <v>243.2</v>
      </c>
      <c r="E184" s="116">
        <v>249.7</v>
      </c>
      <c r="F184" s="116">
        <v>259.5</v>
      </c>
      <c r="G184">
        <v>244218</v>
      </c>
      <c r="H184" s="116"/>
      <c r="I184" s="116"/>
      <c r="L184" s="170">
        <v>42268</v>
      </c>
      <c r="M184" s="116">
        <v>259.39999999999998</v>
      </c>
      <c r="N184" s="116">
        <v>261</v>
      </c>
      <c r="O184" s="116">
        <v>243</v>
      </c>
      <c r="P184" s="116">
        <v>247.7</v>
      </c>
      <c r="Q184" s="116">
        <v>259.39999999999998</v>
      </c>
      <c r="R184">
        <v>2837740</v>
      </c>
    </row>
    <row r="185" spans="1:18" x14ac:dyDescent="0.25">
      <c r="A185" s="170">
        <v>42269</v>
      </c>
      <c r="B185" s="116">
        <v>263.2</v>
      </c>
      <c r="C185" s="116">
        <v>256</v>
      </c>
      <c r="D185" s="116">
        <v>254.05</v>
      </c>
      <c r="E185" s="116">
        <v>261.8</v>
      </c>
      <c r="F185" s="116">
        <v>256</v>
      </c>
      <c r="G185">
        <v>173054</v>
      </c>
      <c r="H185" s="116"/>
      <c r="I185" s="116"/>
      <c r="L185" s="170">
        <v>42269</v>
      </c>
      <c r="M185" s="116">
        <v>256.60000000000002</v>
      </c>
      <c r="N185" s="116">
        <v>263.60000000000002</v>
      </c>
      <c r="O185" s="116">
        <v>254.05</v>
      </c>
      <c r="P185" s="116">
        <v>261.5</v>
      </c>
      <c r="Q185" s="116">
        <v>256.60000000000002</v>
      </c>
      <c r="R185">
        <v>1870714</v>
      </c>
    </row>
    <row r="186" spans="1:18" x14ac:dyDescent="0.25">
      <c r="A186" s="170">
        <v>42270</v>
      </c>
      <c r="B186" s="116">
        <v>260.7</v>
      </c>
      <c r="C186" s="116">
        <v>258.35000000000002</v>
      </c>
      <c r="D186" s="116">
        <v>250.45</v>
      </c>
      <c r="E186" s="116">
        <v>253.9</v>
      </c>
      <c r="F186" s="116">
        <v>258.35000000000002</v>
      </c>
      <c r="G186">
        <v>116474</v>
      </c>
      <c r="H186" s="116"/>
      <c r="I186" s="116"/>
      <c r="L186" s="170">
        <v>42270</v>
      </c>
      <c r="M186" s="116">
        <v>258.7</v>
      </c>
      <c r="N186" s="116">
        <v>260.75</v>
      </c>
      <c r="O186" s="116">
        <v>250.3</v>
      </c>
      <c r="P186" s="116">
        <v>254</v>
      </c>
      <c r="Q186" s="116">
        <v>258.7</v>
      </c>
      <c r="R186">
        <v>1112010</v>
      </c>
    </row>
    <row r="187" spans="1:18" x14ac:dyDescent="0.25">
      <c r="A187" s="170">
        <v>42271</v>
      </c>
      <c r="B187" s="116">
        <v>259</v>
      </c>
      <c r="C187" s="116">
        <v>250.3</v>
      </c>
      <c r="D187" s="116">
        <v>249.5</v>
      </c>
      <c r="E187" s="116">
        <v>259</v>
      </c>
      <c r="F187" s="116">
        <v>250.3</v>
      </c>
      <c r="G187">
        <v>94296</v>
      </c>
      <c r="H187" s="116"/>
      <c r="I187" s="116"/>
      <c r="L187" s="170">
        <v>42271</v>
      </c>
      <c r="M187" s="116">
        <v>250.25</v>
      </c>
      <c r="N187" s="116">
        <v>259.7</v>
      </c>
      <c r="O187" s="116">
        <v>249.45</v>
      </c>
      <c r="P187" s="116">
        <v>259.7</v>
      </c>
      <c r="Q187" s="116">
        <v>250.25</v>
      </c>
      <c r="R187">
        <v>1330858</v>
      </c>
    </row>
    <row r="188" spans="1:18" x14ac:dyDescent="0.25">
      <c r="A188" s="170">
        <v>42275</v>
      </c>
      <c r="B188" s="116">
        <v>254.15</v>
      </c>
      <c r="C188" s="116">
        <v>250.25</v>
      </c>
      <c r="D188" s="116">
        <v>247.5</v>
      </c>
      <c r="E188" s="116">
        <v>250.7</v>
      </c>
      <c r="F188" s="116">
        <v>250.25</v>
      </c>
      <c r="G188">
        <v>172042</v>
      </c>
      <c r="H188" s="116"/>
      <c r="I188" s="116"/>
      <c r="L188" s="170">
        <v>42275</v>
      </c>
      <c r="M188" s="116">
        <v>250.85</v>
      </c>
      <c r="N188" s="116">
        <v>254.3</v>
      </c>
      <c r="O188" s="116">
        <v>247.3</v>
      </c>
      <c r="P188" s="116">
        <v>251.4</v>
      </c>
      <c r="Q188" s="116">
        <v>250.85</v>
      </c>
      <c r="R188">
        <v>1149514</v>
      </c>
    </row>
    <row r="189" spans="1:18" x14ac:dyDescent="0.25">
      <c r="A189" s="170">
        <v>42276</v>
      </c>
      <c r="B189" s="116">
        <v>262.75</v>
      </c>
      <c r="C189" s="116">
        <v>256.25</v>
      </c>
      <c r="D189" s="116">
        <v>247</v>
      </c>
      <c r="E189" s="116">
        <v>249.5</v>
      </c>
      <c r="F189" s="116">
        <v>256.25</v>
      </c>
      <c r="G189">
        <v>245385</v>
      </c>
      <c r="H189" s="116"/>
      <c r="I189" s="116"/>
      <c r="L189" s="170">
        <v>42276</v>
      </c>
      <c r="M189" s="116">
        <v>256.05</v>
      </c>
      <c r="N189" s="116">
        <v>263.2</v>
      </c>
      <c r="O189" s="116">
        <v>247.35</v>
      </c>
      <c r="P189" s="116">
        <v>248.4</v>
      </c>
      <c r="Q189" s="116">
        <v>256.05</v>
      </c>
      <c r="R189">
        <v>2446481</v>
      </c>
    </row>
    <row r="190" spans="1:18" x14ac:dyDescent="0.25">
      <c r="A190" s="170">
        <v>42277</v>
      </c>
      <c r="B190" s="116">
        <v>270</v>
      </c>
      <c r="C190" s="116">
        <v>268.3</v>
      </c>
      <c r="D190" s="116">
        <v>257.89999999999998</v>
      </c>
      <c r="E190" s="116">
        <v>257.89999999999998</v>
      </c>
      <c r="F190" s="116">
        <v>268.3</v>
      </c>
      <c r="G190">
        <v>200501</v>
      </c>
      <c r="H190" s="116"/>
      <c r="I190" s="116"/>
      <c r="L190" s="170">
        <v>42277</v>
      </c>
      <c r="M190" s="116">
        <v>268.3</v>
      </c>
      <c r="N190" s="116">
        <v>269.89999999999998</v>
      </c>
      <c r="O190" s="116">
        <v>259</v>
      </c>
      <c r="P190" s="116">
        <v>259</v>
      </c>
      <c r="Q190" s="116">
        <v>268.3</v>
      </c>
      <c r="R190">
        <v>2579443</v>
      </c>
    </row>
    <row r="191" spans="1:18" x14ac:dyDescent="0.25">
      <c r="A191" s="170">
        <v>42278</v>
      </c>
      <c r="B191" s="116">
        <v>272.75</v>
      </c>
      <c r="C191" s="116">
        <v>269.35000000000002</v>
      </c>
      <c r="D191" s="116">
        <v>266.64999999999998</v>
      </c>
      <c r="E191" s="116">
        <v>271.8</v>
      </c>
      <c r="F191" s="116">
        <v>269.35000000000002</v>
      </c>
      <c r="G191">
        <v>121524</v>
      </c>
      <c r="H191" s="116"/>
      <c r="I191" s="116"/>
      <c r="L191" s="170">
        <v>42278</v>
      </c>
      <c r="M191" s="116">
        <v>270.14999999999998</v>
      </c>
      <c r="N191" s="116">
        <v>272.64999999999998</v>
      </c>
      <c r="O191" s="116">
        <v>266.5</v>
      </c>
      <c r="P191" s="116">
        <v>272</v>
      </c>
      <c r="Q191" s="116">
        <v>270.14999999999998</v>
      </c>
      <c r="R191">
        <v>1884729</v>
      </c>
    </row>
    <row r="192" spans="1:18" x14ac:dyDescent="0.25">
      <c r="A192" s="170">
        <v>42282</v>
      </c>
      <c r="B192" s="116">
        <v>275.95</v>
      </c>
      <c r="C192" s="116">
        <v>270.35000000000002</v>
      </c>
      <c r="D192" s="116">
        <v>267.5</v>
      </c>
      <c r="E192" s="116">
        <v>272</v>
      </c>
      <c r="F192" s="116">
        <v>270.35000000000002</v>
      </c>
      <c r="G192">
        <v>131792</v>
      </c>
      <c r="H192" s="116"/>
      <c r="I192" s="116"/>
      <c r="L192" s="170">
        <v>42282</v>
      </c>
      <c r="M192" s="116">
        <v>270.10000000000002</v>
      </c>
      <c r="N192" s="116">
        <v>275.75</v>
      </c>
      <c r="O192" s="116">
        <v>267.2</v>
      </c>
      <c r="P192" s="116">
        <v>272.60000000000002</v>
      </c>
      <c r="Q192" s="116">
        <v>270.10000000000002</v>
      </c>
      <c r="R192">
        <v>1225837</v>
      </c>
    </row>
    <row r="193" spans="1:18" x14ac:dyDescent="0.25">
      <c r="A193" s="170">
        <v>42283</v>
      </c>
      <c r="B193" s="116">
        <v>283.10000000000002</v>
      </c>
      <c r="C193" s="116">
        <v>280.75</v>
      </c>
      <c r="D193" s="116">
        <v>269.2</v>
      </c>
      <c r="E193" s="116">
        <v>271.55</v>
      </c>
      <c r="F193" s="116">
        <v>280.75</v>
      </c>
      <c r="G193">
        <v>171903</v>
      </c>
      <c r="H193" s="116"/>
      <c r="I193" s="116"/>
      <c r="L193" s="170">
        <v>42283</v>
      </c>
      <c r="M193" s="116">
        <v>282</v>
      </c>
      <c r="N193" s="116">
        <v>284.39999999999998</v>
      </c>
      <c r="O193" s="116">
        <v>269.25</v>
      </c>
      <c r="P193" s="116">
        <v>271.10000000000002</v>
      </c>
      <c r="Q193" s="116">
        <v>282</v>
      </c>
      <c r="R193">
        <v>1916509</v>
      </c>
    </row>
    <row r="194" spans="1:18" x14ac:dyDescent="0.25">
      <c r="A194" s="170">
        <v>42284</v>
      </c>
      <c r="B194" s="116">
        <v>283.7</v>
      </c>
      <c r="C194" s="116">
        <v>273.39999999999998</v>
      </c>
      <c r="D194" s="116">
        <v>272.25</v>
      </c>
      <c r="E194" s="116">
        <v>282</v>
      </c>
      <c r="F194" s="116">
        <v>273.39999999999998</v>
      </c>
      <c r="G194">
        <v>134901</v>
      </c>
      <c r="H194" s="116"/>
      <c r="I194" s="116"/>
      <c r="L194" s="170">
        <v>42284</v>
      </c>
      <c r="M194" s="116">
        <v>273.14999999999998</v>
      </c>
      <c r="N194" s="116">
        <v>283.5</v>
      </c>
      <c r="O194" s="116">
        <v>272</v>
      </c>
      <c r="P194" s="116">
        <v>282</v>
      </c>
      <c r="Q194" s="116">
        <v>273.14999999999998</v>
      </c>
      <c r="R194">
        <v>1498054</v>
      </c>
    </row>
    <row r="195" spans="1:18" x14ac:dyDescent="0.25">
      <c r="A195" s="170">
        <v>42285</v>
      </c>
      <c r="B195" s="116">
        <v>274.85000000000002</v>
      </c>
      <c r="C195" s="116">
        <v>272.60000000000002</v>
      </c>
      <c r="D195" s="116">
        <v>268.8</v>
      </c>
      <c r="E195" s="116">
        <v>274.75</v>
      </c>
      <c r="F195" s="116">
        <v>272.60000000000002</v>
      </c>
      <c r="G195">
        <v>67599</v>
      </c>
      <c r="H195" s="116"/>
      <c r="I195" s="116"/>
      <c r="L195" s="170">
        <v>42285</v>
      </c>
      <c r="M195" s="116">
        <v>272.14999999999998</v>
      </c>
      <c r="N195" s="116">
        <v>274.95</v>
      </c>
      <c r="O195" s="116">
        <v>268.7</v>
      </c>
      <c r="P195" s="116">
        <v>273.14999999999998</v>
      </c>
      <c r="Q195" s="116">
        <v>272.14999999999998</v>
      </c>
      <c r="R195">
        <v>1140616</v>
      </c>
    </row>
    <row r="196" spans="1:18" x14ac:dyDescent="0.25">
      <c r="A196" s="170">
        <v>42286</v>
      </c>
      <c r="B196" s="116">
        <v>280.60000000000002</v>
      </c>
      <c r="C196" s="116">
        <v>277.25</v>
      </c>
      <c r="D196" s="116">
        <v>274.35000000000002</v>
      </c>
      <c r="E196" s="116">
        <v>274.35000000000002</v>
      </c>
      <c r="F196" s="116">
        <v>277.25</v>
      </c>
      <c r="G196">
        <v>80781</v>
      </c>
      <c r="H196" s="116"/>
      <c r="I196" s="116"/>
      <c r="L196" s="170">
        <v>42286</v>
      </c>
      <c r="M196" s="116">
        <v>278.25</v>
      </c>
      <c r="N196" s="116">
        <v>280.95</v>
      </c>
      <c r="O196" s="116">
        <v>272.55</v>
      </c>
      <c r="P196" s="116">
        <v>272.55</v>
      </c>
      <c r="Q196" s="116">
        <v>278.25</v>
      </c>
      <c r="R196">
        <v>1520435</v>
      </c>
    </row>
    <row r="197" spans="1:18" x14ac:dyDescent="0.25">
      <c r="A197" s="170">
        <v>42289</v>
      </c>
      <c r="B197" s="116">
        <v>282.8</v>
      </c>
      <c r="C197" s="116">
        <v>273.85000000000002</v>
      </c>
      <c r="D197" s="116">
        <v>271.64999999999998</v>
      </c>
      <c r="E197" s="116">
        <v>280.55</v>
      </c>
      <c r="F197" s="116">
        <v>273.85000000000002</v>
      </c>
      <c r="G197">
        <v>85156</v>
      </c>
      <c r="H197" s="116"/>
      <c r="I197" s="116"/>
      <c r="L197" s="170">
        <v>42289</v>
      </c>
      <c r="M197" s="116">
        <v>272.60000000000002</v>
      </c>
      <c r="N197" s="116">
        <v>283</v>
      </c>
      <c r="O197" s="116">
        <v>270.60000000000002</v>
      </c>
      <c r="P197" s="116">
        <v>279.05</v>
      </c>
      <c r="Q197" s="116">
        <v>272.60000000000002</v>
      </c>
      <c r="R197">
        <v>1124403</v>
      </c>
    </row>
    <row r="198" spans="1:18" x14ac:dyDescent="0.25">
      <c r="A198" s="170">
        <v>42290</v>
      </c>
      <c r="B198" s="116">
        <v>277.60000000000002</v>
      </c>
      <c r="C198" s="116">
        <v>268.89999999999998</v>
      </c>
      <c r="D198" s="116">
        <v>267.45</v>
      </c>
      <c r="E198" s="116">
        <v>273.2</v>
      </c>
      <c r="F198" s="116">
        <v>268.89999999999998</v>
      </c>
      <c r="G198">
        <v>96089</v>
      </c>
      <c r="H198" s="116"/>
      <c r="I198" s="116"/>
      <c r="L198" s="170">
        <v>42290</v>
      </c>
      <c r="M198" s="116">
        <v>268.25</v>
      </c>
      <c r="N198" s="116">
        <v>277.60000000000002</v>
      </c>
      <c r="O198" s="116">
        <v>267.14999999999998</v>
      </c>
      <c r="P198" s="116">
        <v>273.8</v>
      </c>
      <c r="Q198" s="116">
        <v>268.25</v>
      </c>
      <c r="R198">
        <v>1636973</v>
      </c>
    </row>
    <row r="199" spans="1:18" x14ac:dyDescent="0.25">
      <c r="A199" s="170">
        <v>42291</v>
      </c>
      <c r="B199" s="116">
        <v>272.8</v>
      </c>
      <c r="C199" s="116">
        <v>271.05</v>
      </c>
      <c r="D199" s="116">
        <v>265</v>
      </c>
      <c r="E199" s="116">
        <v>265</v>
      </c>
      <c r="F199" s="116">
        <v>271.05</v>
      </c>
      <c r="G199">
        <v>57554</v>
      </c>
      <c r="H199" s="116"/>
      <c r="I199" s="116"/>
      <c r="L199" s="170">
        <v>42291</v>
      </c>
      <c r="M199" s="116">
        <v>271.55</v>
      </c>
      <c r="N199" s="116">
        <v>273.3</v>
      </c>
      <c r="O199" s="116">
        <v>266.55</v>
      </c>
      <c r="P199" s="116">
        <v>268</v>
      </c>
      <c r="Q199" s="116">
        <v>271.55</v>
      </c>
      <c r="R199">
        <v>781551</v>
      </c>
    </row>
    <row r="200" spans="1:18" x14ac:dyDescent="0.25">
      <c r="A200" s="170">
        <v>42292</v>
      </c>
      <c r="B200" s="116">
        <v>277.14999999999998</v>
      </c>
      <c r="C200" s="116">
        <v>276.05</v>
      </c>
      <c r="D200" s="116">
        <v>270</v>
      </c>
      <c r="E200" s="116">
        <v>270</v>
      </c>
      <c r="F200" s="116">
        <v>276.05</v>
      </c>
      <c r="G200">
        <v>81185</v>
      </c>
      <c r="H200" s="116"/>
      <c r="I200" s="116"/>
      <c r="L200" s="170">
        <v>42292</v>
      </c>
      <c r="M200" s="116">
        <v>276.35000000000002</v>
      </c>
      <c r="N200" s="116">
        <v>277.25</v>
      </c>
      <c r="O200" s="116">
        <v>270</v>
      </c>
      <c r="P200" s="116">
        <v>271.75</v>
      </c>
      <c r="Q200" s="116">
        <v>276.35000000000002</v>
      </c>
      <c r="R200">
        <v>1072560</v>
      </c>
    </row>
    <row r="201" spans="1:18" x14ac:dyDescent="0.25">
      <c r="A201" s="170">
        <v>42293</v>
      </c>
      <c r="B201" s="116">
        <v>284.39999999999998</v>
      </c>
      <c r="C201" s="116">
        <v>282.10000000000002</v>
      </c>
      <c r="D201" s="116">
        <v>274.2</v>
      </c>
      <c r="E201" s="116">
        <v>277</v>
      </c>
      <c r="F201" s="116">
        <v>282.10000000000002</v>
      </c>
      <c r="G201">
        <v>105922</v>
      </c>
      <c r="H201" s="116"/>
      <c r="I201" s="116"/>
      <c r="L201" s="170">
        <v>42293</v>
      </c>
      <c r="M201" s="116">
        <v>282.39999999999998</v>
      </c>
      <c r="N201" s="116">
        <v>285</v>
      </c>
      <c r="O201" s="116">
        <v>274.2</v>
      </c>
      <c r="P201" s="116">
        <v>277.7</v>
      </c>
      <c r="Q201" s="116">
        <v>282.39999999999998</v>
      </c>
      <c r="R201">
        <v>1297271</v>
      </c>
    </row>
    <row r="202" spans="1:18" x14ac:dyDescent="0.25">
      <c r="A202" s="170">
        <v>42296</v>
      </c>
      <c r="B202" s="116">
        <v>286.89999999999998</v>
      </c>
      <c r="C202" s="116">
        <v>284</v>
      </c>
      <c r="D202" s="116">
        <v>281.5</v>
      </c>
      <c r="E202" s="116">
        <v>281.5</v>
      </c>
      <c r="F202" s="116">
        <v>284</v>
      </c>
      <c r="G202">
        <v>81862</v>
      </c>
      <c r="H202" s="116"/>
      <c r="I202" s="116"/>
      <c r="L202" s="170">
        <v>42296</v>
      </c>
      <c r="M202" s="116">
        <v>284.35000000000002</v>
      </c>
      <c r="N202" s="116">
        <v>286.75</v>
      </c>
      <c r="O202" s="116">
        <v>281.5</v>
      </c>
      <c r="P202" s="116">
        <v>283.7</v>
      </c>
      <c r="Q202" s="116">
        <v>284.35000000000002</v>
      </c>
      <c r="R202">
        <v>953728</v>
      </c>
    </row>
    <row r="203" spans="1:18" x14ac:dyDescent="0.25">
      <c r="A203" s="170">
        <v>42297</v>
      </c>
      <c r="B203" s="116">
        <v>288.7</v>
      </c>
      <c r="C203" s="116">
        <v>281.85000000000002</v>
      </c>
      <c r="D203" s="116">
        <v>281</v>
      </c>
      <c r="E203" s="116">
        <v>283.95</v>
      </c>
      <c r="F203" s="116">
        <v>281.85000000000002</v>
      </c>
      <c r="G203">
        <v>62630</v>
      </c>
      <c r="H203" s="116"/>
      <c r="I203" s="116"/>
      <c r="L203" s="170">
        <v>42297</v>
      </c>
      <c r="M203" s="116">
        <v>282.3</v>
      </c>
      <c r="N203" s="116">
        <v>288.89999999999998</v>
      </c>
      <c r="O203" s="116">
        <v>281.25</v>
      </c>
      <c r="P203" s="116">
        <v>282</v>
      </c>
      <c r="Q203" s="116">
        <v>282.3</v>
      </c>
      <c r="R203">
        <v>848794</v>
      </c>
    </row>
    <row r="204" spans="1:18" x14ac:dyDescent="0.25">
      <c r="A204" s="170">
        <v>42298</v>
      </c>
      <c r="B204" s="116">
        <v>289.5</v>
      </c>
      <c r="C204" s="116">
        <v>287.55</v>
      </c>
      <c r="D204" s="116">
        <v>281.85000000000002</v>
      </c>
      <c r="E204" s="116">
        <v>283.60000000000002</v>
      </c>
      <c r="F204" s="116">
        <v>287.55</v>
      </c>
      <c r="G204">
        <v>84483</v>
      </c>
      <c r="H204" s="116"/>
      <c r="I204" s="116"/>
      <c r="L204" s="170">
        <v>42298</v>
      </c>
      <c r="M204" s="116">
        <v>288.14999999999998</v>
      </c>
      <c r="N204" s="116">
        <v>289.39999999999998</v>
      </c>
      <c r="O204" s="116">
        <v>280.95</v>
      </c>
      <c r="P204" s="116">
        <v>282.89999999999998</v>
      </c>
      <c r="Q204" s="116">
        <v>288.14999999999998</v>
      </c>
      <c r="R204">
        <v>1448857</v>
      </c>
    </row>
    <row r="205" spans="1:18" x14ac:dyDescent="0.25">
      <c r="A205" s="170">
        <v>42300</v>
      </c>
      <c r="B205" s="116">
        <v>292.3</v>
      </c>
      <c r="C205" s="116">
        <v>288.25</v>
      </c>
      <c r="D205" s="116">
        <v>287.55</v>
      </c>
      <c r="E205" s="116">
        <v>291.89999999999998</v>
      </c>
      <c r="F205" s="116">
        <v>288.25</v>
      </c>
      <c r="G205">
        <v>70706</v>
      </c>
      <c r="H205" s="116"/>
      <c r="I205" s="116"/>
      <c r="L205" s="170">
        <v>42300</v>
      </c>
      <c r="M205" s="116">
        <v>289.10000000000002</v>
      </c>
      <c r="N205" s="116">
        <v>292.60000000000002</v>
      </c>
      <c r="O205" s="116">
        <v>288.25</v>
      </c>
      <c r="P205" s="116">
        <v>292.60000000000002</v>
      </c>
      <c r="Q205" s="116">
        <v>289.10000000000002</v>
      </c>
      <c r="R205">
        <v>1108251</v>
      </c>
    </row>
    <row r="206" spans="1:18" x14ac:dyDescent="0.25">
      <c r="A206" s="170">
        <v>42303</v>
      </c>
      <c r="B206" s="116">
        <v>296</v>
      </c>
      <c r="C206" s="116">
        <v>294.64999999999998</v>
      </c>
      <c r="D206" s="116">
        <v>287.55</v>
      </c>
      <c r="E206" s="116">
        <v>292</v>
      </c>
      <c r="F206" s="116">
        <v>294.64999999999998</v>
      </c>
      <c r="G206">
        <v>77944</v>
      </c>
      <c r="H206" s="116"/>
      <c r="I206" s="116"/>
      <c r="L206" s="170">
        <v>42303</v>
      </c>
      <c r="M206" s="116">
        <v>295.39999999999998</v>
      </c>
      <c r="N206" s="116">
        <v>296.95</v>
      </c>
      <c r="O206" s="116">
        <v>287.55</v>
      </c>
      <c r="P206" s="116">
        <v>291.2</v>
      </c>
      <c r="Q206" s="116">
        <v>295.39999999999998</v>
      </c>
      <c r="R206">
        <v>1442385</v>
      </c>
    </row>
    <row r="207" spans="1:18" x14ac:dyDescent="0.25">
      <c r="A207" s="170">
        <v>42304</v>
      </c>
      <c r="B207" s="116">
        <v>297</v>
      </c>
      <c r="C207" s="116">
        <v>290.8</v>
      </c>
      <c r="D207" s="116">
        <v>284</v>
      </c>
      <c r="E207" s="116">
        <v>293</v>
      </c>
      <c r="F207" s="116">
        <v>290.8</v>
      </c>
      <c r="G207">
        <v>182144</v>
      </c>
      <c r="H207" s="116"/>
      <c r="I207" s="116"/>
      <c r="L207" s="170">
        <v>42304</v>
      </c>
      <c r="M207" s="116">
        <v>290.8</v>
      </c>
      <c r="N207" s="116">
        <v>296.7</v>
      </c>
      <c r="O207" s="116">
        <v>283.7</v>
      </c>
      <c r="P207" s="116">
        <v>293</v>
      </c>
      <c r="Q207" s="116">
        <v>290.8</v>
      </c>
      <c r="R207">
        <v>3295659</v>
      </c>
    </row>
    <row r="208" spans="1:18" x14ac:dyDescent="0.25">
      <c r="A208" s="170">
        <v>42305</v>
      </c>
      <c r="B208" s="116">
        <v>294.85000000000002</v>
      </c>
      <c r="C208" s="116">
        <v>292.55</v>
      </c>
      <c r="D208" s="116">
        <v>286.64999999999998</v>
      </c>
      <c r="E208" s="116">
        <v>290</v>
      </c>
      <c r="F208" s="116">
        <v>292.55</v>
      </c>
      <c r="G208">
        <v>136423</v>
      </c>
      <c r="H208" s="116"/>
      <c r="I208" s="116"/>
      <c r="L208" s="170">
        <v>42305</v>
      </c>
      <c r="M208" s="116">
        <v>292.64999999999998</v>
      </c>
      <c r="N208" s="116">
        <v>294.85000000000002</v>
      </c>
      <c r="O208" s="116">
        <v>286.45</v>
      </c>
      <c r="P208" s="116">
        <v>288</v>
      </c>
      <c r="Q208" s="116">
        <v>292.64999999999998</v>
      </c>
      <c r="R208">
        <v>1963391</v>
      </c>
    </row>
    <row r="209" spans="1:18" x14ac:dyDescent="0.25">
      <c r="A209" s="170">
        <v>42306</v>
      </c>
      <c r="B209" s="116">
        <v>299</v>
      </c>
      <c r="C209" s="116">
        <v>296.89999999999998</v>
      </c>
      <c r="D209" s="116">
        <v>289.95</v>
      </c>
      <c r="E209" s="116">
        <v>291.10000000000002</v>
      </c>
      <c r="F209" s="116">
        <v>296.89999999999998</v>
      </c>
      <c r="G209">
        <v>129366</v>
      </c>
      <c r="H209" s="116"/>
      <c r="I209" s="116"/>
      <c r="L209" s="170">
        <v>42306</v>
      </c>
      <c r="M209" s="116">
        <v>297.14999999999998</v>
      </c>
      <c r="N209" s="116">
        <v>299</v>
      </c>
      <c r="O209" s="116">
        <v>289.75</v>
      </c>
      <c r="P209" s="116">
        <v>292.3</v>
      </c>
      <c r="Q209" s="116">
        <v>297.14999999999998</v>
      </c>
      <c r="R209">
        <v>1836362</v>
      </c>
    </row>
    <row r="210" spans="1:18" x14ac:dyDescent="0.25">
      <c r="A210" s="170">
        <v>42307</v>
      </c>
      <c r="B210" s="116">
        <v>295.64999999999998</v>
      </c>
      <c r="C210" s="116">
        <v>283.10000000000002</v>
      </c>
      <c r="D210" s="116">
        <v>280.39999999999998</v>
      </c>
      <c r="E210" s="116">
        <v>295.64999999999998</v>
      </c>
      <c r="F210" s="116">
        <v>283.10000000000002</v>
      </c>
      <c r="G210">
        <v>202042</v>
      </c>
      <c r="H210" s="116"/>
      <c r="I210" s="116"/>
      <c r="L210" s="170">
        <v>42307</v>
      </c>
      <c r="M210" s="116">
        <v>283.45</v>
      </c>
      <c r="N210" s="116">
        <v>296.39999999999998</v>
      </c>
      <c r="O210" s="116">
        <v>280</v>
      </c>
      <c r="P210" s="116">
        <v>296.39999999999998</v>
      </c>
      <c r="Q210" s="116">
        <v>283.45</v>
      </c>
      <c r="R210">
        <v>2441818</v>
      </c>
    </row>
    <row r="211" spans="1:18" x14ac:dyDescent="0.25">
      <c r="A211" s="170">
        <v>42310</v>
      </c>
      <c r="B211" s="116">
        <v>284.5</v>
      </c>
      <c r="C211" s="116">
        <v>277.75</v>
      </c>
      <c r="D211" s="116">
        <v>274.45</v>
      </c>
      <c r="E211" s="116">
        <v>283.89999999999998</v>
      </c>
      <c r="F211" s="116">
        <v>277.75</v>
      </c>
      <c r="G211">
        <v>103092</v>
      </c>
      <c r="H211" s="116"/>
      <c r="I211" s="116"/>
      <c r="L211" s="170">
        <v>42310</v>
      </c>
      <c r="M211" s="116">
        <v>278.25</v>
      </c>
      <c r="N211" s="116">
        <v>284.89999999999998</v>
      </c>
      <c r="O211" s="116">
        <v>274.25</v>
      </c>
      <c r="P211" s="116">
        <v>281</v>
      </c>
      <c r="Q211" s="116">
        <v>278.25</v>
      </c>
      <c r="R211">
        <v>1016176</v>
      </c>
    </row>
    <row r="212" spans="1:18" x14ac:dyDescent="0.25">
      <c r="A212" s="170">
        <v>42311</v>
      </c>
      <c r="B212" s="116">
        <v>286</v>
      </c>
      <c r="C212" s="116">
        <v>284.75</v>
      </c>
      <c r="D212" s="116">
        <v>279</v>
      </c>
      <c r="E212" s="116">
        <v>281</v>
      </c>
      <c r="F212" s="116">
        <v>284.75</v>
      </c>
      <c r="G212">
        <v>71599</v>
      </c>
      <c r="H212" s="116"/>
      <c r="I212" s="116"/>
      <c r="L212" s="170">
        <v>42311</v>
      </c>
      <c r="M212" s="116">
        <v>285.7</v>
      </c>
      <c r="N212" s="116">
        <v>286.5</v>
      </c>
      <c r="O212" s="116">
        <v>278.75</v>
      </c>
      <c r="P212" s="116">
        <v>279.64999999999998</v>
      </c>
      <c r="Q212" s="116">
        <v>285.7</v>
      </c>
      <c r="R212">
        <v>859479</v>
      </c>
    </row>
    <row r="213" spans="1:18" x14ac:dyDescent="0.25">
      <c r="A213" s="170">
        <v>42312</v>
      </c>
      <c r="B213" s="116">
        <v>290</v>
      </c>
      <c r="C213" s="116">
        <v>277.2</v>
      </c>
      <c r="D213" s="116">
        <v>276.10000000000002</v>
      </c>
      <c r="E213" s="116">
        <v>290</v>
      </c>
      <c r="F213" s="116">
        <v>277.2</v>
      </c>
      <c r="G213">
        <v>95355</v>
      </c>
      <c r="H213" s="116"/>
      <c r="I213" s="116"/>
      <c r="L213" s="170">
        <v>42312</v>
      </c>
      <c r="M213" s="116">
        <v>277.45</v>
      </c>
      <c r="N213" s="116">
        <v>288.3</v>
      </c>
      <c r="O213" s="116">
        <v>276.10000000000002</v>
      </c>
      <c r="P213" s="116">
        <v>287.2</v>
      </c>
      <c r="Q213" s="116">
        <v>277.45</v>
      </c>
      <c r="R213">
        <v>780470</v>
      </c>
    </row>
    <row r="214" spans="1:18" x14ac:dyDescent="0.25">
      <c r="A214" s="170">
        <v>42313</v>
      </c>
      <c r="B214" s="116">
        <v>280</v>
      </c>
      <c r="C214" s="116">
        <v>273.3</v>
      </c>
      <c r="D214" s="116">
        <v>271</v>
      </c>
      <c r="E214" s="116">
        <v>277</v>
      </c>
      <c r="F214" s="116">
        <v>273.3</v>
      </c>
      <c r="G214">
        <v>178429</v>
      </c>
      <c r="H214" s="116"/>
      <c r="I214" s="116"/>
      <c r="L214" s="170">
        <v>42313</v>
      </c>
      <c r="M214" s="116">
        <v>274</v>
      </c>
      <c r="N214" s="116">
        <v>279.89999999999998</v>
      </c>
      <c r="O214" s="116">
        <v>271.8</v>
      </c>
      <c r="P214" s="116">
        <v>276.75</v>
      </c>
      <c r="Q214" s="116">
        <v>274</v>
      </c>
      <c r="R214">
        <v>971838</v>
      </c>
    </row>
    <row r="215" spans="1:18" x14ac:dyDescent="0.25">
      <c r="A215" s="170">
        <v>42314</v>
      </c>
      <c r="B215" s="116">
        <v>281</v>
      </c>
      <c r="C215" s="116">
        <v>278.64999999999998</v>
      </c>
      <c r="D215" s="116">
        <v>268</v>
      </c>
      <c r="E215" s="116">
        <v>274.2</v>
      </c>
      <c r="F215" s="116">
        <v>278.64999999999998</v>
      </c>
      <c r="G215">
        <v>353132</v>
      </c>
      <c r="H215" s="116"/>
      <c r="I215" s="116"/>
      <c r="L215" s="170">
        <v>42314</v>
      </c>
      <c r="M215" s="116">
        <v>278.64999999999998</v>
      </c>
      <c r="N215" s="116">
        <v>281.5</v>
      </c>
      <c r="O215" s="116">
        <v>267.10000000000002</v>
      </c>
      <c r="P215" s="116">
        <v>275</v>
      </c>
      <c r="Q215" s="116">
        <v>278.64999999999998</v>
      </c>
      <c r="R215">
        <v>2720370</v>
      </c>
    </row>
    <row r="216" spans="1:18" x14ac:dyDescent="0.25">
      <c r="A216" s="170">
        <v>42317</v>
      </c>
      <c r="B216" s="116">
        <v>277.25</v>
      </c>
      <c r="C216" s="116">
        <v>275.25</v>
      </c>
      <c r="D216" s="116">
        <v>268</v>
      </c>
      <c r="E216" s="116">
        <v>271</v>
      </c>
      <c r="F216" s="116">
        <v>275.25</v>
      </c>
      <c r="G216">
        <v>103699</v>
      </c>
      <c r="H216" s="116"/>
      <c r="I216" s="116"/>
      <c r="L216" s="170">
        <v>42317</v>
      </c>
      <c r="M216" s="116">
        <v>276.25</v>
      </c>
      <c r="N216" s="116">
        <v>278</v>
      </c>
      <c r="O216" s="116">
        <v>267.8</v>
      </c>
      <c r="P216" s="116">
        <v>271</v>
      </c>
      <c r="Q216" s="116">
        <v>276.25</v>
      </c>
      <c r="R216">
        <v>1145166</v>
      </c>
    </row>
    <row r="217" spans="1:18" x14ac:dyDescent="0.25">
      <c r="A217" s="170">
        <v>42318</v>
      </c>
      <c r="B217" s="116">
        <v>278</v>
      </c>
      <c r="C217" s="116">
        <v>265.05</v>
      </c>
      <c r="D217" s="116">
        <v>263.55</v>
      </c>
      <c r="E217" s="116">
        <v>276</v>
      </c>
      <c r="F217" s="116">
        <v>265.05</v>
      </c>
      <c r="G217">
        <v>95706</v>
      </c>
      <c r="H217" s="116"/>
      <c r="I217" s="116"/>
      <c r="L217" s="170">
        <v>42318</v>
      </c>
      <c r="M217" s="116">
        <v>264.8</v>
      </c>
      <c r="N217" s="116">
        <v>278.10000000000002</v>
      </c>
      <c r="O217" s="116">
        <v>263.05</v>
      </c>
      <c r="P217" s="116">
        <v>274.8</v>
      </c>
      <c r="Q217" s="116">
        <v>264.8</v>
      </c>
      <c r="R217">
        <v>1125563</v>
      </c>
    </row>
    <row r="218" spans="1:18" x14ac:dyDescent="0.25">
      <c r="A218" s="170">
        <v>42319</v>
      </c>
      <c r="B218" s="116">
        <v>269.8</v>
      </c>
      <c r="C218" s="116">
        <v>268.7</v>
      </c>
      <c r="D218" s="116">
        <v>265</v>
      </c>
      <c r="E218" s="116">
        <v>265</v>
      </c>
      <c r="F218" s="116">
        <v>268.7</v>
      </c>
      <c r="G218">
        <v>15734</v>
      </c>
      <c r="H218" s="116"/>
      <c r="I218" s="116"/>
      <c r="L218" s="170">
        <v>42319</v>
      </c>
      <c r="M218" s="116">
        <v>268.60000000000002</v>
      </c>
      <c r="N218" s="116">
        <v>269.8</v>
      </c>
      <c r="O218" s="116">
        <v>265.85000000000002</v>
      </c>
      <c r="P218" s="116">
        <v>265.85000000000002</v>
      </c>
      <c r="Q218" s="116">
        <v>268.60000000000002</v>
      </c>
      <c r="R218">
        <v>114484</v>
      </c>
    </row>
    <row r="219" spans="1:18" x14ac:dyDescent="0.25">
      <c r="A219" s="170">
        <v>42321</v>
      </c>
      <c r="B219" s="116">
        <v>270</v>
      </c>
      <c r="C219" s="116">
        <v>259.85000000000002</v>
      </c>
      <c r="D219" s="116">
        <v>256.85000000000002</v>
      </c>
      <c r="E219" s="116">
        <v>270</v>
      </c>
      <c r="F219" s="116">
        <v>259.85000000000002</v>
      </c>
      <c r="G219">
        <v>329957</v>
      </c>
      <c r="H219" s="116"/>
      <c r="I219" s="116"/>
      <c r="L219" s="170">
        <v>42321</v>
      </c>
      <c r="M219" s="116">
        <v>260</v>
      </c>
      <c r="N219" s="116">
        <v>267.8</v>
      </c>
      <c r="O219" s="116">
        <v>256.3</v>
      </c>
      <c r="P219" s="116">
        <v>267.8</v>
      </c>
      <c r="Q219" s="116">
        <v>260</v>
      </c>
      <c r="R219">
        <v>1944786</v>
      </c>
    </row>
    <row r="220" spans="1:18" x14ac:dyDescent="0.25">
      <c r="A220" s="170">
        <v>42324</v>
      </c>
      <c r="B220" s="116">
        <v>263.25</v>
      </c>
      <c r="C220" s="116">
        <v>260.25</v>
      </c>
      <c r="D220" s="116">
        <v>257.5</v>
      </c>
      <c r="E220" s="116">
        <v>259.75</v>
      </c>
      <c r="F220" s="116">
        <v>260.25</v>
      </c>
      <c r="G220">
        <v>81551</v>
      </c>
      <c r="H220" s="116"/>
      <c r="I220" s="116"/>
      <c r="L220" s="170">
        <v>42324</v>
      </c>
      <c r="M220" s="116">
        <v>259.45</v>
      </c>
      <c r="N220" s="116">
        <v>263.75</v>
      </c>
      <c r="O220" s="116">
        <v>257.64999999999998</v>
      </c>
      <c r="P220" s="116">
        <v>259.8</v>
      </c>
      <c r="Q220" s="116">
        <v>259.45</v>
      </c>
      <c r="R220">
        <v>892113</v>
      </c>
    </row>
    <row r="221" spans="1:18" x14ac:dyDescent="0.25">
      <c r="A221" s="170">
        <v>42325</v>
      </c>
      <c r="B221" s="116">
        <v>266.55</v>
      </c>
      <c r="C221" s="116">
        <v>260.25</v>
      </c>
      <c r="D221" s="116">
        <v>258.45</v>
      </c>
      <c r="E221" s="116">
        <v>261.89999999999998</v>
      </c>
      <c r="F221" s="116">
        <v>260.25</v>
      </c>
      <c r="G221">
        <v>133377</v>
      </c>
      <c r="H221" s="116"/>
      <c r="I221" s="116"/>
      <c r="L221" s="170">
        <v>42325</v>
      </c>
      <c r="M221" s="116">
        <v>260.14999999999998</v>
      </c>
      <c r="N221" s="116">
        <v>266.8</v>
      </c>
      <c r="O221" s="116">
        <v>258.05</v>
      </c>
      <c r="P221" s="116">
        <v>260.60000000000002</v>
      </c>
      <c r="Q221" s="116">
        <v>260.14999999999998</v>
      </c>
      <c r="R221">
        <v>1440555</v>
      </c>
    </row>
    <row r="222" spans="1:18" x14ac:dyDescent="0.25">
      <c r="A222" s="170">
        <v>42326</v>
      </c>
      <c r="B222" s="116">
        <v>262.2</v>
      </c>
      <c r="C222" s="116">
        <v>253.7</v>
      </c>
      <c r="D222" s="116">
        <v>252.25</v>
      </c>
      <c r="E222" s="116">
        <v>262</v>
      </c>
      <c r="F222" s="116">
        <v>253.7</v>
      </c>
      <c r="G222">
        <v>103433</v>
      </c>
      <c r="H222" s="116"/>
      <c r="I222" s="116"/>
      <c r="L222" s="170">
        <v>42326</v>
      </c>
      <c r="M222" s="116">
        <v>253.65</v>
      </c>
      <c r="N222" s="116">
        <v>262.45</v>
      </c>
      <c r="O222" s="116">
        <v>252</v>
      </c>
      <c r="P222" s="116">
        <v>260.89999999999998</v>
      </c>
      <c r="Q222" s="116">
        <v>253.65</v>
      </c>
      <c r="R222">
        <v>1175273</v>
      </c>
    </row>
    <row r="223" spans="1:18" x14ac:dyDescent="0.25">
      <c r="A223" s="170">
        <v>42327</v>
      </c>
      <c r="B223" s="116">
        <v>261.95</v>
      </c>
      <c r="C223" s="116">
        <v>259.89999999999998</v>
      </c>
      <c r="D223" s="116">
        <v>256.60000000000002</v>
      </c>
      <c r="E223" s="116">
        <v>258</v>
      </c>
      <c r="F223" s="116">
        <v>259.89999999999998</v>
      </c>
      <c r="G223">
        <v>70606</v>
      </c>
      <c r="H223" s="116"/>
      <c r="I223" s="116"/>
      <c r="L223" s="170">
        <v>42327</v>
      </c>
      <c r="M223" s="116">
        <v>260</v>
      </c>
      <c r="N223" s="116">
        <v>261.95</v>
      </c>
      <c r="O223" s="116">
        <v>256</v>
      </c>
      <c r="P223" s="116">
        <v>256</v>
      </c>
      <c r="Q223" s="116">
        <v>260</v>
      </c>
      <c r="R223">
        <v>1535979</v>
      </c>
    </row>
    <row r="224" spans="1:18" x14ac:dyDescent="0.25">
      <c r="A224" s="170">
        <v>42328</v>
      </c>
      <c r="B224" s="116">
        <v>274.5</v>
      </c>
      <c r="C224" s="116">
        <v>271.64999999999998</v>
      </c>
      <c r="D224" s="116">
        <v>262.89999999999998</v>
      </c>
      <c r="E224" s="116">
        <v>263</v>
      </c>
      <c r="F224" s="116">
        <v>271.64999999999998</v>
      </c>
      <c r="G224">
        <v>245998</v>
      </c>
      <c r="H224" s="116"/>
      <c r="I224" s="116"/>
      <c r="L224" s="170">
        <v>42328</v>
      </c>
      <c r="M224" s="116">
        <v>271.5</v>
      </c>
      <c r="N224" s="116">
        <v>275</v>
      </c>
      <c r="O224" s="116">
        <v>261.5</v>
      </c>
      <c r="P224" s="116">
        <v>261.5</v>
      </c>
      <c r="Q224" s="116">
        <v>271.5</v>
      </c>
      <c r="R224">
        <v>2930930</v>
      </c>
    </row>
    <row r="225" spans="1:18" x14ac:dyDescent="0.25">
      <c r="A225" s="170">
        <v>42331</v>
      </c>
      <c r="B225" s="116">
        <v>273.7</v>
      </c>
      <c r="C225" s="116">
        <v>271.55</v>
      </c>
      <c r="D225" s="116">
        <v>267</v>
      </c>
      <c r="E225" s="116">
        <v>271.89999999999998</v>
      </c>
      <c r="F225" s="116">
        <v>271.55</v>
      </c>
      <c r="G225">
        <v>126158</v>
      </c>
      <c r="H225" s="116"/>
      <c r="I225" s="116"/>
      <c r="L225" s="170">
        <v>42331</v>
      </c>
      <c r="M225" s="116">
        <v>271.7</v>
      </c>
      <c r="N225" s="116">
        <v>273.7</v>
      </c>
      <c r="O225" s="116">
        <v>266.89999999999998</v>
      </c>
      <c r="P225" s="116">
        <v>271.55</v>
      </c>
      <c r="Q225" s="116">
        <v>271.7</v>
      </c>
      <c r="R225">
        <v>1189891</v>
      </c>
    </row>
    <row r="226" spans="1:18" x14ac:dyDescent="0.25">
      <c r="A226" s="170">
        <v>42332</v>
      </c>
      <c r="B226" s="116">
        <v>274</v>
      </c>
      <c r="C226" s="116">
        <v>270.14999999999998</v>
      </c>
      <c r="D226" s="116">
        <v>268.5</v>
      </c>
      <c r="E226" s="116">
        <v>271.75</v>
      </c>
      <c r="F226" s="116">
        <v>270.14999999999998</v>
      </c>
      <c r="G226">
        <v>61463</v>
      </c>
      <c r="H226" s="116"/>
      <c r="I226" s="116"/>
      <c r="L226" s="170">
        <v>42332</v>
      </c>
      <c r="M226" s="116">
        <v>270</v>
      </c>
      <c r="N226" s="116">
        <v>274</v>
      </c>
      <c r="O226" s="116">
        <v>268.35000000000002</v>
      </c>
      <c r="P226" s="116">
        <v>272.10000000000002</v>
      </c>
      <c r="Q226" s="116">
        <v>270</v>
      </c>
      <c r="R226">
        <v>897624</v>
      </c>
    </row>
    <row r="227" spans="1:18" x14ac:dyDescent="0.25">
      <c r="A227" s="170">
        <v>42334</v>
      </c>
      <c r="B227" s="116">
        <v>286</v>
      </c>
      <c r="C227" s="116">
        <v>283.2</v>
      </c>
      <c r="D227" s="116">
        <v>270</v>
      </c>
      <c r="E227" s="116">
        <v>270.05</v>
      </c>
      <c r="F227" s="116">
        <v>283.2</v>
      </c>
      <c r="G227">
        <v>151296</v>
      </c>
      <c r="H227" s="116"/>
      <c r="I227" s="116"/>
      <c r="L227" s="170">
        <v>42334</v>
      </c>
      <c r="M227" s="116">
        <v>285.10000000000002</v>
      </c>
      <c r="N227" s="116">
        <v>289.25</v>
      </c>
      <c r="O227" s="116">
        <v>270</v>
      </c>
      <c r="P227" s="116">
        <v>271</v>
      </c>
      <c r="Q227" s="116">
        <v>285.10000000000002</v>
      </c>
      <c r="R227">
        <v>3304295</v>
      </c>
    </row>
    <row r="228" spans="1:18" x14ac:dyDescent="0.25">
      <c r="A228" s="170">
        <v>42335</v>
      </c>
      <c r="B228" s="116">
        <v>286.3</v>
      </c>
      <c r="C228" s="116">
        <v>282.10000000000002</v>
      </c>
      <c r="D228" s="116">
        <v>280</v>
      </c>
      <c r="E228" s="116">
        <v>286</v>
      </c>
      <c r="F228" s="116">
        <v>282.10000000000002</v>
      </c>
      <c r="G228">
        <v>100790</v>
      </c>
      <c r="H228" s="116"/>
      <c r="I228" s="116"/>
      <c r="L228" s="170">
        <v>42335</v>
      </c>
      <c r="M228" s="116">
        <v>282.7</v>
      </c>
      <c r="N228" s="116">
        <v>285.75</v>
      </c>
      <c r="O228" s="116">
        <v>280</v>
      </c>
      <c r="P228" s="116">
        <v>285.10000000000002</v>
      </c>
      <c r="Q228" s="116">
        <v>282.7</v>
      </c>
      <c r="R228">
        <v>1434734</v>
      </c>
    </row>
    <row r="229" spans="1:18" x14ac:dyDescent="0.25">
      <c r="A229" s="170">
        <v>42338</v>
      </c>
      <c r="B229" s="116">
        <v>289.95</v>
      </c>
      <c r="C229" s="116">
        <v>288.5</v>
      </c>
      <c r="D229" s="116">
        <v>281.3</v>
      </c>
      <c r="E229" s="116">
        <v>283.05</v>
      </c>
      <c r="F229" s="116">
        <v>288.5</v>
      </c>
      <c r="G229">
        <v>103125</v>
      </c>
      <c r="H229" s="116"/>
      <c r="I229" s="116"/>
      <c r="L229" s="170">
        <v>42338</v>
      </c>
      <c r="M229" s="116">
        <v>288.5</v>
      </c>
      <c r="N229" s="116">
        <v>290.75</v>
      </c>
      <c r="O229" s="116">
        <v>281.14999999999998</v>
      </c>
      <c r="P229" s="116">
        <v>283.5</v>
      </c>
      <c r="Q229" s="116">
        <v>288.5</v>
      </c>
      <c r="R229">
        <v>1862628</v>
      </c>
    </row>
    <row r="230" spans="1:18" x14ac:dyDescent="0.25">
      <c r="A230" s="170">
        <v>42339</v>
      </c>
      <c r="B230" s="116">
        <v>294.7</v>
      </c>
      <c r="C230" s="116">
        <v>291.55</v>
      </c>
      <c r="D230" s="116">
        <v>286.2</v>
      </c>
      <c r="E230" s="116">
        <v>289</v>
      </c>
      <c r="F230" s="116">
        <v>291.55</v>
      </c>
      <c r="G230">
        <v>77080</v>
      </c>
      <c r="H230" s="116"/>
      <c r="I230" s="116"/>
      <c r="L230" s="170">
        <v>42339</v>
      </c>
      <c r="M230" s="116">
        <v>292.55</v>
      </c>
      <c r="N230" s="116">
        <v>294.7</v>
      </c>
      <c r="O230" s="116">
        <v>288.60000000000002</v>
      </c>
      <c r="P230" s="116">
        <v>289.60000000000002</v>
      </c>
      <c r="Q230" s="116">
        <v>292.55</v>
      </c>
      <c r="R230">
        <v>1434862</v>
      </c>
    </row>
    <row r="231" spans="1:18" x14ac:dyDescent="0.25">
      <c r="A231" s="170">
        <v>42340</v>
      </c>
      <c r="B231" s="116">
        <v>295.25</v>
      </c>
      <c r="C231" s="116">
        <v>292.14999999999998</v>
      </c>
      <c r="D231" s="116">
        <v>289.8</v>
      </c>
      <c r="E231" s="116">
        <v>293.5</v>
      </c>
      <c r="F231" s="116">
        <v>292.14999999999998</v>
      </c>
      <c r="G231">
        <v>75682</v>
      </c>
      <c r="H231" s="116"/>
      <c r="I231" s="116"/>
      <c r="L231" s="170">
        <v>42340</v>
      </c>
      <c r="M231" s="116">
        <v>293.14999999999998</v>
      </c>
      <c r="N231" s="116">
        <v>295.5</v>
      </c>
      <c r="O231" s="116">
        <v>289.85000000000002</v>
      </c>
      <c r="P231" s="116">
        <v>293.39999999999998</v>
      </c>
      <c r="Q231" s="116">
        <v>293.14999999999998</v>
      </c>
      <c r="R231">
        <v>2057927</v>
      </c>
    </row>
    <row r="232" spans="1:18" x14ac:dyDescent="0.25">
      <c r="A232" s="170">
        <v>42341</v>
      </c>
      <c r="B232" s="116">
        <v>291</v>
      </c>
      <c r="C232" s="116">
        <v>282.95</v>
      </c>
      <c r="D232" s="116">
        <v>278.3</v>
      </c>
      <c r="E232" s="116">
        <v>291</v>
      </c>
      <c r="F232" s="116">
        <v>282.95</v>
      </c>
      <c r="G232">
        <v>126903</v>
      </c>
      <c r="H232" s="116"/>
      <c r="I232" s="116"/>
      <c r="L232" s="170">
        <v>42341</v>
      </c>
      <c r="M232" s="116">
        <v>281.7</v>
      </c>
      <c r="N232" s="116">
        <v>291.5</v>
      </c>
      <c r="O232" s="116">
        <v>277.5</v>
      </c>
      <c r="P232" s="116">
        <v>291.25</v>
      </c>
      <c r="Q232" s="116">
        <v>281.7</v>
      </c>
      <c r="R232">
        <v>2003904</v>
      </c>
    </row>
    <row r="233" spans="1:18" x14ac:dyDescent="0.25">
      <c r="A233" s="170">
        <v>42342</v>
      </c>
      <c r="B233" s="116">
        <v>287.2</v>
      </c>
      <c r="C233" s="116">
        <v>285.60000000000002</v>
      </c>
      <c r="D233" s="116">
        <v>278.85000000000002</v>
      </c>
      <c r="E233" s="116">
        <v>280</v>
      </c>
      <c r="F233" s="116">
        <v>285.60000000000002</v>
      </c>
      <c r="G233">
        <v>83678</v>
      </c>
      <c r="H233" s="116"/>
      <c r="I233" s="116"/>
      <c r="L233" s="170">
        <v>42342</v>
      </c>
      <c r="M233" s="116">
        <v>285.8</v>
      </c>
      <c r="N233" s="116">
        <v>287.3</v>
      </c>
      <c r="O233" s="116">
        <v>278.10000000000002</v>
      </c>
      <c r="P233" s="116">
        <v>278.10000000000002</v>
      </c>
      <c r="Q233" s="116">
        <v>285.8</v>
      </c>
      <c r="R233">
        <v>1116558</v>
      </c>
    </row>
    <row r="234" spans="1:18" x14ac:dyDescent="0.25">
      <c r="A234" s="170">
        <v>42345</v>
      </c>
      <c r="B234" s="116">
        <v>295.89999999999998</v>
      </c>
      <c r="C234" s="116">
        <v>294.55</v>
      </c>
      <c r="D234" s="116">
        <v>286.2</v>
      </c>
      <c r="E234" s="116">
        <v>288.8</v>
      </c>
      <c r="F234" s="116">
        <v>294.55</v>
      </c>
      <c r="G234">
        <v>113795</v>
      </c>
      <c r="H234" s="116"/>
      <c r="I234" s="116"/>
      <c r="L234" s="170">
        <v>42345</v>
      </c>
      <c r="M234" s="116">
        <v>294.75</v>
      </c>
      <c r="N234" s="116">
        <v>295.89999999999998</v>
      </c>
      <c r="O234" s="116">
        <v>286.05</v>
      </c>
      <c r="P234" s="116">
        <v>287.2</v>
      </c>
      <c r="Q234" s="116">
        <v>294.75</v>
      </c>
      <c r="R234">
        <v>1236949</v>
      </c>
    </row>
    <row r="235" spans="1:18" x14ac:dyDescent="0.25">
      <c r="A235" s="170">
        <v>42346</v>
      </c>
      <c r="B235" s="116">
        <v>299</v>
      </c>
      <c r="C235" s="116">
        <v>291.95</v>
      </c>
      <c r="D235" s="116">
        <v>290</v>
      </c>
      <c r="E235" s="116">
        <v>294.64999999999998</v>
      </c>
      <c r="F235" s="116">
        <v>291.95</v>
      </c>
      <c r="G235">
        <v>124853</v>
      </c>
      <c r="H235" s="116"/>
      <c r="I235" s="116"/>
      <c r="L235" s="170">
        <v>42346</v>
      </c>
      <c r="M235" s="116">
        <v>291.95</v>
      </c>
      <c r="N235" s="116">
        <v>298.7</v>
      </c>
      <c r="O235" s="116">
        <v>289.5</v>
      </c>
      <c r="P235" s="116">
        <v>294.75</v>
      </c>
      <c r="Q235" s="116">
        <v>291.95</v>
      </c>
      <c r="R235">
        <v>1733289</v>
      </c>
    </row>
    <row r="236" spans="1:18" x14ac:dyDescent="0.25">
      <c r="A236" s="170">
        <v>42347</v>
      </c>
      <c r="B236" s="116">
        <v>292</v>
      </c>
      <c r="C236" s="116">
        <v>287.10000000000002</v>
      </c>
      <c r="D236" s="116">
        <v>283.75</v>
      </c>
      <c r="E236" s="116">
        <v>290.95</v>
      </c>
      <c r="F236" s="116">
        <v>287.10000000000002</v>
      </c>
      <c r="G236">
        <v>104481</v>
      </c>
      <c r="H236" s="116"/>
      <c r="I236" s="116"/>
      <c r="L236" s="170">
        <v>42347</v>
      </c>
      <c r="M236" s="116">
        <v>286.95</v>
      </c>
      <c r="N236" s="116">
        <v>291.95</v>
      </c>
      <c r="O236" s="116">
        <v>285</v>
      </c>
      <c r="P236" s="116">
        <v>291.95</v>
      </c>
      <c r="Q236" s="116">
        <v>286.95</v>
      </c>
      <c r="R236">
        <v>1159634</v>
      </c>
    </row>
    <row r="237" spans="1:18" x14ac:dyDescent="0.25">
      <c r="A237" s="170">
        <v>42348</v>
      </c>
      <c r="B237" s="116">
        <v>294.14999999999998</v>
      </c>
      <c r="C237" s="116">
        <v>292.75</v>
      </c>
      <c r="D237" s="116">
        <v>280.64999999999998</v>
      </c>
      <c r="E237" s="116">
        <v>286.39999999999998</v>
      </c>
      <c r="F237" s="116">
        <v>292.75</v>
      </c>
      <c r="G237">
        <v>89248</v>
      </c>
      <c r="H237" s="116"/>
      <c r="I237" s="116"/>
      <c r="L237" s="170">
        <v>42348</v>
      </c>
      <c r="M237" s="116">
        <v>293.5</v>
      </c>
      <c r="N237" s="116">
        <v>295.8</v>
      </c>
      <c r="O237" s="116">
        <v>280.5</v>
      </c>
      <c r="P237" s="116">
        <v>286</v>
      </c>
      <c r="Q237" s="116">
        <v>293.5</v>
      </c>
      <c r="R237">
        <v>1216110</v>
      </c>
    </row>
    <row r="238" spans="1:18" x14ac:dyDescent="0.25">
      <c r="A238" s="170">
        <v>42349</v>
      </c>
      <c r="B238" s="116">
        <v>298.89999999999998</v>
      </c>
      <c r="C238" s="116">
        <v>297.95</v>
      </c>
      <c r="D238" s="116">
        <v>290</v>
      </c>
      <c r="E238" s="116">
        <v>290</v>
      </c>
      <c r="F238" s="116">
        <v>297.95</v>
      </c>
      <c r="G238">
        <v>106896</v>
      </c>
      <c r="H238" s="116"/>
      <c r="I238" s="116"/>
      <c r="L238" s="170">
        <v>42349</v>
      </c>
      <c r="M238" s="116">
        <v>298.25</v>
      </c>
      <c r="N238" s="116">
        <v>298.89999999999998</v>
      </c>
      <c r="O238" s="116">
        <v>290</v>
      </c>
      <c r="P238" s="116">
        <v>295</v>
      </c>
      <c r="Q238" s="116">
        <v>298.25</v>
      </c>
      <c r="R238">
        <v>2024088</v>
      </c>
    </row>
    <row r="239" spans="1:18" x14ac:dyDescent="0.25">
      <c r="A239" s="170">
        <v>42352</v>
      </c>
      <c r="B239" s="116">
        <v>300</v>
      </c>
      <c r="C239" s="116">
        <v>292.7</v>
      </c>
      <c r="D239" s="116">
        <v>290.64999999999998</v>
      </c>
      <c r="E239" s="116">
        <v>299.89999999999998</v>
      </c>
      <c r="F239" s="116">
        <v>292.7</v>
      </c>
      <c r="G239">
        <v>118283</v>
      </c>
      <c r="H239" s="116"/>
      <c r="I239" s="116"/>
      <c r="L239" s="170">
        <v>42352</v>
      </c>
      <c r="M239" s="116">
        <v>293</v>
      </c>
      <c r="N239" s="116">
        <v>299.7</v>
      </c>
      <c r="O239" s="116">
        <v>290.7</v>
      </c>
      <c r="P239" s="116">
        <v>299.7</v>
      </c>
      <c r="Q239" s="116">
        <v>293</v>
      </c>
      <c r="R239">
        <v>1704766</v>
      </c>
    </row>
    <row r="240" spans="1:18" x14ac:dyDescent="0.25">
      <c r="A240" s="170">
        <v>42353</v>
      </c>
      <c r="B240" s="116">
        <v>302.75</v>
      </c>
      <c r="C240" s="116">
        <v>300.2</v>
      </c>
      <c r="D240" s="116">
        <v>290.3</v>
      </c>
      <c r="E240" s="116">
        <v>290.89999999999998</v>
      </c>
      <c r="F240" s="116">
        <v>300.2</v>
      </c>
      <c r="G240">
        <v>152349</v>
      </c>
      <c r="H240" s="116"/>
      <c r="I240" s="116"/>
      <c r="L240" s="170">
        <v>42353</v>
      </c>
      <c r="M240" s="116">
        <v>300.85000000000002</v>
      </c>
      <c r="N240" s="116">
        <v>302.5</v>
      </c>
      <c r="O240" s="116">
        <v>289.25</v>
      </c>
      <c r="P240" s="116">
        <v>289.25</v>
      </c>
      <c r="Q240" s="116">
        <v>300.85000000000002</v>
      </c>
      <c r="R240">
        <v>1817074</v>
      </c>
    </row>
    <row r="241" spans="1:18" x14ac:dyDescent="0.25">
      <c r="A241" s="170">
        <v>42354</v>
      </c>
      <c r="B241" s="116">
        <v>307</v>
      </c>
      <c r="C241" s="116">
        <v>305.95</v>
      </c>
      <c r="D241" s="116">
        <v>301.10000000000002</v>
      </c>
      <c r="E241" s="116">
        <v>302.2</v>
      </c>
      <c r="F241" s="116">
        <v>305.95</v>
      </c>
      <c r="G241">
        <v>163420</v>
      </c>
      <c r="H241" s="116"/>
      <c r="I241" s="116"/>
      <c r="L241" s="170">
        <v>42354</v>
      </c>
      <c r="M241" s="116">
        <v>306.5</v>
      </c>
      <c r="N241" s="116">
        <v>307.39999999999998</v>
      </c>
      <c r="O241" s="116">
        <v>301.10000000000002</v>
      </c>
      <c r="P241" s="116">
        <v>302.75</v>
      </c>
      <c r="Q241" s="116">
        <v>306.5</v>
      </c>
      <c r="R241">
        <v>2305867</v>
      </c>
    </row>
    <row r="242" spans="1:18" x14ac:dyDescent="0.25">
      <c r="A242" s="170">
        <v>42355</v>
      </c>
      <c r="B242" s="116">
        <v>305.5</v>
      </c>
      <c r="C242" s="116">
        <v>303.45</v>
      </c>
      <c r="D242" s="116">
        <v>296.85000000000002</v>
      </c>
      <c r="E242" s="116">
        <v>302.05</v>
      </c>
      <c r="F242" s="116">
        <v>303.45</v>
      </c>
      <c r="G242">
        <v>126278</v>
      </c>
      <c r="H242" s="116"/>
      <c r="I242" s="116"/>
      <c r="L242" s="170">
        <v>42355</v>
      </c>
      <c r="M242" s="116">
        <v>303.3</v>
      </c>
      <c r="N242" s="116">
        <v>305.39999999999998</v>
      </c>
      <c r="O242" s="116">
        <v>296.60000000000002</v>
      </c>
      <c r="P242" s="116">
        <v>303.10000000000002</v>
      </c>
      <c r="Q242" s="116">
        <v>303.3</v>
      </c>
      <c r="R242">
        <v>1769757</v>
      </c>
    </row>
    <row r="243" spans="1:18" x14ac:dyDescent="0.25">
      <c r="A243" s="170">
        <v>42356</v>
      </c>
      <c r="B243" s="116">
        <v>306.14999999999998</v>
      </c>
      <c r="C243" s="116">
        <v>303.85000000000002</v>
      </c>
      <c r="D243" s="116">
        <v>299.64999999999998</v>
      </c>
      <c r="E243" s="116">
        <v>300</v>
      </c>
      <c r="F243" s="116">
        <v>303.85000000000002</v>
      </c>
      <c r="G243">
        <v>63314</v>
      </c>
      <c r="H243" s="116"/>
      <c r="I243" s="116"/>
      <c r="L243" s="170">
        <v>42356</v>
      </c>
      <c r="M243" s="116">
        <v>303.25</v>
      </c>
      <c r="N243" s="116">
        <v>306.10000000000002</v>
      </c>
      <c r="O243" s="116">
        <v>298.8</v>
      </c>
      <c r="P243" s="116">
        <v>300.10000000000002</v>
      </c>
      <c r="Q243" s="116">
        <v>303.25</v>
      </c>
      <c r="R243">
        <v>844159</v>
      </c>
    </row>
    <row r="244" spans="1:18" x14ac:dyDescent="0.25">
      <c r="A244" s="170">
        <v>42359</v>
      </c>
      <c r="B244" s="116">
        <v>309.25</v>
      </c>
      <c r="C244" s="116">
        <v>305.2</v>
      </c>
      <c r="D244" s="116">
        <v>303.39999999999998</v>
      </c>
      <c r="E244" s="116">
        <v>304</v>
      </c>
      <c r="F244" s="116">
        <v>305.2</v>
      </c>
      <c r="G244">
        <v>75327</v>
      </c>
      <c r="H244" s="116"/>
      <c r="I244" s="116"/>
      <c r="L244" s="170">
        <v>42359</v>
      </c>
      <c r="M244" s="116">
        <v>305.64999999999998</v>
      </c>
      <c r="N244" s="116">
        <v>309.55</v>
      </c>
      <c r="O244" s="116">
        <v>303.2</v>
      </c>
      <c r="P244" s="116">
        <v>304.05</v>
      </c>
      <c r="Q244" s="116">
        <v>305.64999999999998</v>
      </c>
      <c r="R244">
        <v>1001751</v>
      </c>
    </row>
    <row r="245" spans="1:18" x14ac:dyDescent="0.25">
      <c r="A245" s="170">
        <v>42360</v>
      </c>
      <c r="B245" s="116">
        <v>310.45</v>
      </c>
      <c r="C245" s="116">
        <v>304.10000000000002</v>
      </c>
      <c r="D245" s="116">
        <v>302.5</v>
      </c>
      <c r="E245" s="116">
        <v>306</v>
      </c>
      <c r="F245" s="116">
        <v>304.10000000000002</v>
      </c>
      <c r="G245">
        <v>79560</v>
      </c>
      <c r="H245" s="116"/>
      <c r="I245" s="116"/>
      <c r="L245" s="170">
        <v>42360</v>
      </c>
      <c r="M245" s="116">
        <v>303.60000000000002</v>
      </c>
      <c r="N245" s="116">
        <v>309.95</v>
      </c>
      <c r="O245" s="116">
        <v>302.39999999999998</v>
      </c>
      <c r="P245" s="116">
        <v>305.64999999999998</v>
      </c>
      <c r="Q245" s="116">
        <v>303.60000000000002</v>
      </c>
      <c r="R245">
        <v>882457</v>
      </c>
    </row>
    <row r="246" spans="1:18" x14ac:dyDescent="0.25">
      <c r="A246" s="170">
        <v>42361</v>
      </c>
      <c r="B246" s="116">
        <v>308.60000000000002</v>
      </c>
      <c r="C246" s="116">
        <v>307.2</v>
      </c>
      <c r="D246" s="116">
        <v>305.25</v>
      </c>
      <c r="E246" s="116">
        <v>306.60000000000002</v>
      </c>
      <c r="F246" s="116">
        <v>307.2</v>
      </c>
      <c r="G246">
        <v>65838</v>
      </c>
      <c r="H246" s="116"/>
      <c r="I246" s="116"/>
      <c r="L246" s="170">
        <v>42361</v>
      </c>
      <c r="M246" s="116">
        <v>307.8</v>
      </c>
      <c r="N246" s="116">
        <v>309.45</v>
      </c>
      <c r="O246" s="116">
        <v>304.10000000000002</v>
      </c>
      <c r="P246" s="116">
        <v>304.10000000000002</v>
      </c>
      <c r="Q246" s="116">
        <v>307.8</v>
      </c>
      <c r="R246">
        <v>551644</v>
      </c>
    </row>
    <row r="247" spans="1:18" x14ac:dyDescent="0.25">
      <c r="A247" s="170">
        <v>42362</v>
      </c>
      <c r="B247" s="116">
        <v>312.85000000000002</v>
      </c>
      <c r="C247" s="116">
        <v>312.10000000000002</v>
      </c>
      <c r="D247" s="116">
        <v>306</v>
      </c>
      <c r="E247" s="116">
        <v>308</v>
      </c>
      <c r="F247" s="116">
        <v>312.10000000000002</v>
      </c>
      <c r="G247">
        <v>76600</v>
      </c>
      <c r="H247" s="116"/>
      <c r="I247" s="116"/>
      <c r="L247" s="170">
        <v>42362</v>
      </c>
      <c r="M247" s="116">
        <v>311.55</v>
      </c>
      <c r="N247" s="116">
        <v>312.7</v>
      </c>
      <c r="O247" s="116">
        <v>305.89999999999998</v>
      </c>
      <c r="P247" s="116">
        <v>308</v>
      </c>
      <c r="Q247" s="116">
        <v>311.55</v>
      </c>
      <c r="R247">
        <v>976092</v>
      </c>
    </row>
    <row r="248" spans="1:18" x14ac:dyDescent="0.25">
      <c r="A248" s="170">
        <v>42366</v>
      </c>
      <c r="B248" s="116">
        <v>314.60000000000002</v>
      </c>
      <c r="C248" s="116">
        <v>312.55</v>
      </c>
      <c r="D248" s="116">
        <v>309.39999999999998</v>
      </c>
      <c r="E248" s="116">
        <v>312</v>
      </c>
      <c r="F248" s="116">
        <v>312.55</v>
      </c>
      <c r="G248">
        <v>46968</v>
      </c>
      <c r="H248" s="116"/>
      <c r="I248" s="116"/>
      <c r="L248" s="170">
        <v>42366</v>
      </c>
      <c r="M248" s="116">
        <v>312.60000000000002</v>
      </c>
      <c r="N248" s="116">
        <v>314.75</v>
      </c>
      <c r="O248" s="116">
        <v>309.55</v>
      </c>
      <c r="P248" s="116">
        <v>309.55</v>
      </c>
      <c r="Q248" s="116">
        <v>312.60000000000002</v>
      </c>
      <c r="R248">
        <v>631006</v>
      </c>
    </row>
    <row r="249" spans="1:18" x14ac:dyDescent="0.25">
      <c r="A249" s="170">
        <v>42367</v>
      </c>
      <c r="B249" s="116">
        <v>313.85000000000002</v>
      </c>
      <c r="C249" s="116">
        <v>312.2</v>
      </c>
      <c r="D249" s="116">
        <v>308</v>
      </c>
      <c r="E249" s="116">
        <v>311.5</v>
      </c>
      <c r="F249" s="116">
        <v>312.2</v>
      </c>
      <c r="G249">
        <v>56408</v>
      </c>
      <c r="H249" s="116"/>
      <c r="I249" s="116"/>
      <c r="L249" s="170">
        <v>42367</v>
      </c>
      <c r="M249" s="116">
        <v>311.75</v>
      </c>
      <c r="N249" s="116">
        <v>313</v>
      </c>
      <c r="O249" s="116">
        <v>307.8</v>
      </c>
      <c r="P249" s="116">
        <v>312</v>
      </c>
      <c r="Q249" s="116">
        <v>311.75</v>
      </c>
      <c r="R249">
        <v>913155</v>
      </c>
    </row>
    <row r="250" spans="1:18" x14ac:dyDescent="0.25">
      <c r="A250" s="170">
        <v>42368</v>
      </c>
      <c r="B250" s="116">
        <v>318.5</v>
      </c>
      <c r="C250" s="116">
        <v>316.5</v>
      </c>
      <c r="D250" s="116">
        <v>310.55</v>
      </c>
      <c r="E250" s="116">
        <v>311.60000000000002</v>
      </c>
      <c r="F250" s="116">
        <v>316.5</v>
      </c>
      <c r="G250">
        <v>97795</v>
      </c>
      <c r="H250" s="116"/>
      <c r="I250" s="116"/>
      <c r="L250" s="170">
        <v>42368</v>
      </c>
      <c r="M250" s="116">
        <v>316.7</v>
      </c>
      <c r="N250" s="116">
        <v>318.5</v>
      </c>
      <c r="O250" s="116">
        <v>310</v>
      </c>
      <c r="P250" s="116">
        <v>311</v>
      </c>
      <c r="Q250" s="116">
        <v>316.7</v>
      </c>
      <c r="R250">
        <v>880525</v>
      </c>
    </row>
    <row r="251" spans="1:18" x14ac:dyDescent="0.25">
      <c r="A251" s="170">
        <v>42369</v>
      </c>
      <c r="B251" s="116">
        <v>325</v>
      </c>
      <c r="C251" s="116">
        <v>323.7</v>
      </c>
      <c r="D251" s="116">
        <v>315.3</v>
      </c>
      <c r="E251" s="116">
        <v>317.7</v>
      </c>
      <c r="F251" s="116">
        <v>323.7</v>
      </c>
      <c r="G251">
        <v>92054</v>
      </c>
      <c r="H251" s="116"/>
      <c r="I251" s="116"/>
      <c r="L251" s="170">
        <v>42369</v>
      </c>
      <c r="M251" s="116">
        <v>324.3</v>
      </c>
      <c r="N251" s="116">
        <v>327</v>
      </c>
      <c r="O251" s="116">
        <v>315</v>
      </c>
      <c r="P251" s="116">
        <v>316</v>
      </c>
      <c r="Q251" s="116">
        <v>324.3</v>
      </c>
      <c r="R251">
        <v>1905851</v>
      </c>
    </row>
    <row r="252" spans="1:18" x14ac:dyDescent="0.25">
      <c r="A252" s="170">
        <v>42370</v>
      </c>
      <c r="B252" s="116">
        <v>324.5</v>
      </c>
      <c r="C252" s="116">
        <v>319.55</v>
      </c>
      <c r="D252" s="116">
        <v>317.39999999999998</v>
      </c>
      <c r="E252" s="116">
        <v>324.5</v>
      </c>
      <c r="F252" s="116">
        <v>319.55</v>
      </c>
      <c r="G252">
        <v>76541</v>
      </c>
      <c r="H252" s="116"/>
      <c r="I252" s="116"/>
      <c r="L252" s="170">
        <v>42370</v>
      </c>
      <c r="M252" s="116">
        <v>319.25</v>
      </c>
      <c r="N252" s="116">
        <v>324.5</v>
      </c>
      <c r="O252" s="116">
        <v>316.25</v>
      </c>
      <c r="P252" s="116">
        <v>324</v>
      </c>
      <c r="Q252" s="116">
        <v>319.25</v>
      </c>
      <c r="R252">
        <v>674414</v>
      </c>
    </row>
    <row r="253" spans="1:18" x14ac:dyDescent="0.25">
      <c r="A253" s="170">
        <v>42373</v>
      </c>
      <c r="B253" s="116">
        <v>320</v>
      </c>
      <c r="C253" s="116">
        <v>307.25</v>
      </c>
      <c r="D253" s="116">
        <v>304</v>
      </c>
      <c r="E253" s="116">
        <v>319.5</v>
      </c>
      <c r="F253" s="116">
        <v>307.25</v>
      </c>
      <c r="G253">
        <v>103386</v>
      </c>
      <c r="H253" s="116"/>
      <c r="I253" s="116"/>
      <c r="L253" s="170">
        <v>42373</v>
      </c>
      <c r="M253" s="116">
        <v>307.3</v>
      </c>
      <c r="N253" s="116">
        <v>320</v>
      </c>
      <c r="O253" s="116">
        <v>303.5</v>
      </c>
      <c r="P253" s="116">
        <v>318.5</v>
      </c>
      <c r="Q253" s="116">
        <v>307.3</v>
      </c>
      <c r="R253">
        <v>1083585</v>
      </c>
    </row>
    <row r="254" spans="1:18" x14ac:dyDescent="0.25">
      <c r="A254" s="170">
        <v>42374</v>
      </c>
      <c r="B254" s="116">
        <v>309.89999999999998</v>
      </c>
      <c r="C254" s="116">
        <v>305.8</v>
      </c>
      <c r="D254" s="116">
        <v>303.75</v>
      </c>
      <c r="E254" s="116">
        <v>308.14999999999998</v>
      </c>
      <c r="F254" s="116">
        <v>305.8</v>
      </c>
      <c r="G254">
        <v>58517</v>
      </c>
      <c r="H254" s="116"/>
      <c r="I254" s="116"/>
      <c r="L254" s="170">
        <v>42374</v>
      </c>
      <c r="M254" s="116">
        <v>304.64999999999998</v>
      </c>
      <c r="N254" s="116">
        <v>309.75</v>
      </c>
      <c r="O254" s="116">
        <v>303.14999999999998</v>
      </c>
      <c r="P254" s="116">
        <v>309</v>
      </c>
      <c r="Q254" s="116">
        <v>304.64999999999998</v>
      </c>
      <c r="R254">
        <v>1104220</v>
      </c>
    </row>
    <row r="255" spans="1:18" x14ac:dyDescent="0.25">
      <c r="A255" s="170">
        <v>42375</v>
      </c>
      <c r="B255" s="116">
        <v>309.85000000000002</v>
      </c>
      <c r="C255" s="116">
        <v>305.89999999999998</v>
      </c>
      <c r="D255" s="116">
        <v>301.39999999999998</v>
      </c>
      <c r="E255" s="116">
        <v>305</v>
      </c>
      <c r="F255" s="116">
        <v>305.89999999999998</v>
      </c>
      <c r="G255">
        <v>68731</v>
      </c>
      <c r="H255" s="116"/>
      <c r="I255" s="116"/>
      <c r="L255" s="170">
        <v>42375</v>
      </c>
      <c r="M255" s="116">
        <v>305.7</v>
      </c>
      <c r="N255" s="116">
        <v>309.85000000000002</v>
      </c>
      <c r="O255" s="116">
        <v>301.2</v>
      </c>
      <c r="P255" s="116">
        <v>303.89999999999998</v>
      </c>
      <c r="Q255" s="116">
        <v>305.7</v>
      </c>
      <c r="R255">
        <v>1090119</v>
      </c>
    </row>
    <row r="256" spans="1:18" x14ac:dyDescent="0.25">
      <c r="A256" s="170">
        <v>42376</v>
      </c>
      <c r="B256" s="116">
        <v>304</v>
      </c>
      <c r="C256" s="116">
        <v>289.25</v>
      </c>
      <c r="D256" s="116">
        <v>287.3</v>
      </c>
      <c r="E256" s="116">
        <v>304</v>
      </c>
      <c r="F256" s="116">
        <v>289.25</v>
      </c>
      <c r="G256">
        <v>98444</v>
      </c>
      <c r="H256" s="116"/>
      <c r="I256" s="116"/>
      <c r="L256" s="170">
        <v>42376</v>
      </c>
      <c r="M256" s="116">
        <v>288.14999999999998</v>
      </c>
      <c r="N256" s="116">
        <v>302.45</v>
      </c>
      <c r="O256" s="116">
        <v>286.25</v>
      </c>
      <c r="P256" s="116">
        <v>302.14999999999998</v>
      </c>
      <c r="Q256" s="116">
        <v>288.14999999999998</v>
      </c>
      <c r="R256">
        <v>1851263</v>
      </c>
    </row>
    <row r="257" spans="1:18" x14ac:dyDescent="0.25">
      <c r="A257" s="170">
        <v>42377</v>
      </c>
      <c r="B257" s="116">
        <v>299.75</v>
      </c>
      <c r="C257" s="116">
        <v>297.05</v>
      </c>
      <c r="D257" s="116">
        <v>288.2</v>
      </c>
      <c r="E257" s="116">
        <v>288.2</v>
      </c>
      <c r="F257" s="116">
        <v>297.05</v>
      </c>
      <c r="G257">
        <v>89955</v>
      </c>
      <c r="H257" s="116"/>
      <c r="I257" s="116"/>
      <c r="L257" s="170">
        <v>42377</v>
      </c>
      <c r="M257" s="116">
        <v>296.64999999999998</v>
      </c>
      <c r="N257" s="116">
        <v>299.8</v>
      </c>
      <c r="O257" s="116">
        <v>289.89999999999998</v>
      </c>
      <c r="P257" s="116">
        <v>289.89999999999998</v>
      </c>
      <c r="Q257" s="116">
        <v>296.64999999999998</v>
      </c>
      <c r="R257">
        <v>1362284</v>
      </c>
    </row>
    <row r="258" spans="1:18" x14ac:dyDescent="0.25">
      <c r="A258" s="170">
        <v>42380</v>
      </c>
      <c r="B258" s="116">
        <v>302.35000000000002</v>
      </c>
      <c r="C258" s="116">
        <v>298.25</v>
      </c>
      <c r="D258" s="116">
        <v>287.8</v>
      </c>
      <c r="E258" s="116">
        <v>294.8</v>
      </c>
      <c r="F258" s="116">
        <v>298.25</v>
      </c>
      <c r="G258">
        <v>108213</v>
      </c>
      <c r="H258" s="116"/>
      <c r="I258" s="116"/>
      <c r="L258" s="170">
        <v>42380</v>
      </c>
      <c r="M258" s="116">
        <v>298.39999999999998</v>
      </c>
      <c r="N258" s="116">
        <v>303.10000000000002</v>
      </c>
      <c r="O258" s="116">
        <v>287.35000000000002</v>
      </c>
      <c r="P258" s="116">
        <v>291.85000000000002</v>
      </c>
      <c r="Q258" s="116">
        <v>298.39999999999998</v>
      </c>
      <c r="R258">
        <v>997085</v>
      </c>
    </row>
    <row r="259" spans="1:18" x14ac:dyDescent="0.25">
      <c r="A259" s="170">
        <v>42381</v>
      </c>
      <c r="B259" s="116">
        <v>303.05</v>
      </c>
      <c r="C259" s="116">
        <v>287.5</v>
      </c>
      <c r="D259" s="116">
        <v>285.60000000000002</v>
      </c>
      <c r="E259" s="116">
        <v>295.10000000000002</v>
      </c>
      <c r="F259" s="116">
        <v>287.5</v>
      </c>
      <c r="G259">
        <v>118575</v>
      </c>
      <c r="H259" s="116"/>
      <c r="I259" s="116"/>
      <c r="L259" s="170">
        <v>42381</v>
      </c>
      <c r="M259" s="116">
        <v>287.39999999999998</v>
      </c>
      <c r="N259" s="116">
        <v>302.89999999999998</v>
      </c>
      <c r="O259" s="116">
        <v>285.3</v>
      </c>
      <c r="P259" s="116">
        <v>298.64999999999998</v>
      </c>
      <c r="Q259" s="116">
        <v>287.39999999999998</v>
      </c>
      <c r="R259">
        <v>1420695</v>
      </c>
    </row>
    <row r="260" spans="1:18" x14ac:dyDescent="0.25">
      <c r="A260" s="170">
        <v>42382</v>
      </c>
      <c r="B260" s="116">
        <v>293.75</v>
      </c>
      <c r="C260" s="116">
        <v>287.64999999999998</v>
      </c>
      <c r="D260" s="116">
        <v>276.5</v>
      </c>
      <c r="E260" s="116">
        <v>293.5</v>
      </c>
      <c r="F260" s="116">
        <v>287.64999999999998</v>
      </c>
      <c r="G260">
        <v>125215</v>
      </c>
      <c r="H260" s="116"/>
      <c r="I260" s="116"/>
      <c r="L260" s="170">
        <v>42382</v>
      </c>
      <c r="M260" s="116">
        <v>288.7</v>
      </c>
      <c r="N260" s="116">
        <v>293</v>
      </c>
      <c r="O260" s="116">
        <v>276.45</v>
      </c>
      <c r="P260" s="116">
        <v>289.95</v>
      </c>
      <c r="Q260" s="116">
        <v>288.7</v>
      </c>
      <c r="R260">
        <v>1878302</v>
      </c>
    </row>
    <row r="261" spans="1:18" x14ac:dyDescent="0.25">
      <c r="A261" s="170">
        <v>42383</v>
      </c>
      <c r="B261" s="116">
        <v>293.05</v>
      </c>
      <c r="C261" s="116">
        <v>288.85000000000002</v>
      </c>
      <c r="D261" s="116">
        <v>280.10000000000002</v>
      </c>
      <c r="E261" s="116">
        <v>285</v>
      </c>
      <c r="F261" s="116">
        <v>288.85000000000002</v>
      </c>
      <c r="G261">
        <v>112120</v>
      </c>
      <c r="H261" s="116"/>
      <c r="I261" s="116"/>
      <c r="L261" s="170">
        <v>42383</v>
      </c>
      <c r="M261" s="116">
        <v>288.7</v>
      </c>
      <c r="N261" s="116">
        <v>293.5</v>
      </c>
      <c r="O261" s="116">
        <v>280.14999999999998</v>
      </c>
      <c r="P261" s="116">
        <v>282</v>
      </c>
      <c r="Q261" s="116">
        <v>288.7</v>
      </c>
      <c r="R261">
        <v>1154298</v>
      </c>
    </row>
    <row r="262" spans="1:18" x14ac:dyDescent="0.25">
      <c r="A262" s="170">
        <v>42384</v>
      </c>
      <c r="B262" s="116">
        <v>293.7</v>
      </c>
      <c r="C262" s="116">
        <v>280.25</v>
      </c>
      <c r="D262" s="116">
        <v>278.55</v>
      </c>
      <c r="E262" s="116">
        <v>292</v>
      </c>
      <c r="F262" s="116">
        <v>280.25</v>
      </c>
      <c r="G262">
        <v>71758</v>
      </c>
      <c r="H262" s="116"/>
      <c r="I262" s="116"/>
      <c r="L262" s="170">
        <v>42384</v>
      </c>
      <c r="M262" s="116">
        <v>280.39999999999998</v>
      </c>
      <c r="N262" s="116">
        <v>294</v>
      </c>
      <c r="O262" s="116">
        <v>278</v>
      </c>
      <c r="P262" s="116">
        <v>290</v>
      </c>
      <c r="Q262" s="116">
        <v>280.39999999999998</v>
      </c>
      <c r="R262">
        <v>719592</v>
      </c>
    </row>
    <row r="263" spans="1:18" x14ac:dyDescent="0.25">
      <c r="A263" s="170">
        <v>42387</v>
      </c>
      <c r="B263" s="116">
        <v>281</v>
      </c>
      <c r="C263" s="116">
        <v>272.10000000000002</v>
      </c>
      <c r="D263" s="116">
        <v>260.7</v>
      </c>
      <c r="E263" s="116">
        <v>281</v>
      </c>
      <c r="F263" s="116">
        <v>272.10000000000002</v>
      </c>
      <c r="G263">
        <v>135123</v>
      </c>
      <c r="H263" s="116"/>
      <c r="I263" s="116"/>
      <c r="L263" s="170">
        <v>42387</v>
      </c>
      <c r="M263" s="116">
        <v>271.75</v>
      </c>
      <c r="N263" s="116">
        <v>281</v>
      </c>
      <c r="O263" s="116">
        <v>260.45</v>
      </c>
      <c r="P263" s="116">
        <v>280</v>
      </c>
      <c r="Q263" s="116">
        <v>271.75</v>
      </c>
      <c r="R263">
        <v>1576868</v>
      </c>
    </row>
    <row r="264" spans="1:18" x14ac:dyDescent="0.25">
      <c r="A264" s="170">
        <v>42388</v>
      </c>
      <c r="B264" s="116">
        <v>277.8</v>
      </c>
      <c r="C264" s="116">
        <v>276.95</v>
      </c>
      <c r="D264" s="116">
        <v>267.05</v>
      </c>
      <c r="E264" s="116">
        <v>270.89999999999998</v>
      </c>
      <c r="F264" s="116">
        <v>276.95</v>
      </c>
      <c r="G264">
        <v>99120</v>
      </c>
      <c r="H264" s="116"/>
      <c r="I264" s="116"/>
      <c r="L264" s="170">
        <v>42388</v>
      </c>
      <c r="M264" s="116">
        <v>276.85000000000002</v>
      </c>
      <c r="N264" s="116">
        <v>277.8</v>
      </c>
      <c r="O264" s="116">
        <v>266.8</v>
      </c>
      <c r="P264" s="116">
        <v>272.7</v>
      </c>
      <c r="Q264" s="116">
        <v>276.85000000000002</v>
      </c>
      <c r="R264">
        <v>1336513</v>
      </c>
    </row>
    <row r="265" spans="1:18" x14ac:dyDescent="0.25">
      <c r="A265" s="170">
        <v>42389</v>
      </c>
      <c r="B265" s="116">
        <v>274.89999999999998</v>
      </c>
      <c r="C265" s="116">
        <v>269.8</v>
      </c>
      <c r="D265" s="116">
        <v>258.35000000000002</v>
      </c>
      <c r="E265" s="116">
        <v>274.89999999999998</v>
      </c>
      <c r="F265" s="116">
        <v>269.8</v>
      </c>
      <c r="G265">
        <v>117183</v>
      </c>
      <c r="H265" s="116"/>
      <c r="I265" s="116"/>
      <c r="L265" s="170">
        <v>42389</v>
      </c>
      <c r="M265" s="116">
        <v>269.95</v>
      </c>
      <c r="N265" s="116">
        <v>274.64999999999998</v>
      </c>
      <c r="O265" s="116">
        <v>258.39999999999998</v>
      </c>
      <c r="P265" s="116">
        <v>274.64999999999998</v>
      </c>
      <c r="Q265" s="116">
        <v>269.95</v>
      </c>
      <c r="R265">
        <v>1499500</v>
      </c>
    </row>
    <row r="266" spans="1:18" x14ac:dyDescent="0.25">
      <c r="A266" s="170">
        <v>42390</v>
      </c>
      <c r="B266" s="116">
        <v>279.45</v>
      </c>
      <c r="C266" s="116">
        <v>275.10000000000002</v>
      </c>
      <c r="D266" s="116">
        <v>267.8</v>
      </c>
      <c r="E266" s="116">
        <v>270</v>
      </c>
      <c r="F266" s="116">
        <v>275.10000000000002</v>
      </c>
      <c r="G266">
        <v>166792</v>
      </c>
      <c r="H266" s="116"/>
      <c r="I266" s="116"/>
      <c r="L266" s="170">
        <v>42390</v>
      </c>
      <c r="M266" s="116">
        <v>275.25</v>
      </c>
      <c r="N266" s="116">
        <v>279.60000000000002</v>
      </c>
      <c r="O266" s="116">
        <v>268.10000000000002</v>
      </c>
      <c r="P266" s="116">
        <v>274</v>
      </c>
      <c r="Q266" s="116">
        <v>275.25</v>
      </c>
      <c r="R266">
        <v>1050330</v>
      </c>
    </row>
    <row r="267" spans="1:18" x14ac:dyDescent="0.25">
      <c r="A267" s="170">
        <v>42391</v>
      </c>
      <c r="B267" s="116">
        <v>288.95</v>
      </c>
      <c r="C267" s="116">
        <v>284.35000000000002</v>
      </c>
      <c r="D267" s="116">
        <v>275.25</v>
      </c>
      <c r="E267" s="116">
        <v>275.25</v>
      </c>
      <c r="F267" s="116">
        <v>284.35000000000002</v>
      </c>
      <c r="G267">
        <v>141032</v>
      </c>
      <c r="H267" s="116"/>
      <c r="I267" s="116"/>
      <c r="L267" s="170">
        <v>42391</v>
      </c>
      <c r="M267" s="116">
        <v>284.2</v>
      </c>
      <c r="N267" s="116">
        <v>289</v>
      </c>
      <c r="O267" s="116">
        <v>276.39999999999998</v>
      </c>
      <c r="P267" s="116">
        <v>278.75</v>
      </c>
      <c r="Q267" s="116">
        <v>284.2</v>
      </c>
      <c r="R267">
        <v>1495358</v>
      </c>
    </row>
    <row r="268" spans="1:18" x14ac:dyDescent="0.25">
      <c r="A268" s="170">
        <v>42394</v>
      </c>
      <c r="B268" s="116">
        <v>288.55</v>
      </c>
      <c r="C268" s="116">
        <v>283.05</v>
      </c>
      <c r="D268" s="116">
        <v>279.7</v>
      </c>
      <c r="E268" s="116">
        <v>285.2</v>
      </c>
      <c r="F268" s="116">
        <v>283.05</v>
      </c>
      <c r="G268">
        <v>60394</v>
      </c>
      <c r="H268" s="116"/>
      <c r="I268" s="116"/>
      <c r="L268" s="170">
        <v>42394</v>
      </c>
      <c r="M268" s="116">
        <v>283.5</v>
      </c>
      <c r="N268" s="116">
        <v>288.8</v>
      </c>
      <c r="O268" s="116">
        <v>279.39999999999998</v>
      </c>
      <c r="P268" s="116">
        <v>288.10000000000002</v>
      </c>
      <c r="Q268" s="116">
        <v>283.5</v>
      </c>
      <c r="R268">
        <v>674239</v>
      </c>
    </row>
    <row r="269" spans="1:18" x14ac:dyDescent="0.25">
      <c r="A269" s="170">
        <v>42396</v>
      </c>
      <c r="B269" s="116">
        <v>287.75</v>
      </c>
      <c r="C269" s="116">
        <v>282.75</v>
      </c>
      <c r="D269" s="116">
        <v>281.60000000000002</v>
      </c>
      <c r="E269" s="116">
        <v>284.55</v>
      </c>
      <c r="F269" s="116">
        <v>282.75</v>
      </c>
      <c r="G269">
        <v>24037</v>
      </c>
      <c r="H269" s="116"/>
      <c r="I269" s="116"/>
      <c r="L269" s="170">
        <v>42396</v>
      </c>
      <c r="M269" s="116">
        <v>282.95</v>
      </c>
      <c r="N269" s="116">
        <v>288</v>
      </c>
      <c r="O269" s="116">
        <v>281.5</v>
      </c>
      <c r="P269" s="116">
        <v>285</v>
      </c>
      <c r="Q269" s="116">
        <v>282.95</v>
      </c>
      <c r="R269">
        <v>761309</v>
      </c>
    </row>
    <row r="270" spans="1:18" x14ac:dyDescent="0.25">
      <c r="A270" s="170">
        <v>42397</v>
      </c>
      <c r="B270" s="116">
        <v>287.55</v>
      </c>
      <c r="C270" s="116">
        <v>283.89999999999998</v>
      </c>
      <c r="D270" s="116">
        <v>279.75</v>
      </c>
      <c r="E270" s="116">
        <v>285.25</v>
      </c>
      <c r="F270" s="116">
        <v>283.89999999999998</v>
      </c>
      <c r="G270">
        <v>37559</v>
      </c>
      <c r="H270" s="116"/>
      <c r="I270" s="116"/>
      <c r="L270" s="170">
        <v>42397</v>
      </c>
      <c r="M270" s="116">
        <v>283.55</v>
      </c>
      <c r="N270" s="116">
        <v>287.89999999999998</v>
      </c>
      <c r="O270" s="116">
        <v>279.55</v>
      </c>
      <c r="P270" s="116">
        <v>283</v>
      </c>
      <c r="Q270" s="116">
        <v>283.55</v>
      </c>
      <c r="R270">
        <v>2349938</v>
      </c>
    </row>
    <row r="271" spans="1:18" x14ac:dyDescent="0.25">
      <c r="A271" s="170">
        <v>42398</v>
      </c>
      <c r="B271" s="116">
        <v>288.10000000000002</v>
      </c>
      <c r="C271" s="116">
        <v>286.25</v>
      </c>
      <c r="D271" s="116">
        <v>280.39999999999998</v>
      </c>
      <c r="E271" s="116">
        <v>283</v>
      </c>
      <c r="F271" s="116">
        <v>286.25</v>
      </c>
      <c r="G271">
        <v>48952</v>
      </c>
      <c r="H271" s="116"/>
      <c r="I271" s="116"/>
      <c r="L271" s="170">
        <v>42398</v>
      </c>
      <c r="M271" s="116">
        <v>286.55</v>
      </c>
      <c r="N271" s="116">
        <v>288.2</v>
      </c>
      <c r="O271" s="116">
        <v>279.3</v>
      </c>
      <c r="P271" s="116">
        <v>283.35000000000002</v>
      </c>
      <c r="Q271" s="116">
        <v>286.55</v>
      </c>
      <c r="R271">
        <v>868857</v>
      </c>
    </row>
    <row r="272" spans="1:18" x14ac:dyDescent="0.25">
      <c r="A272" s="170">
        <v>42401</v>
      </c>
      <c r="B272" s="116">
        <v>293</v>
      </c>
      <c r="C272" s="116">
        <v>287.75</v>
      </c>
      <c r="D272" s="116">
        <v>285.5</v>
      </c>
      <c r="E272" s="116">
        <v>289</v>
      </c>
      <c r="F272" s="116">
        <v>287.75</v>
      </c>
      <c r="G272">
        <v>60760</v>
      </c>
      <c r="H272" s="116"/>
      <c r="I272" s="116"/>
      <c r="L272" s="170">
        <v>42401</v>
      </c>
      <c r="M272" s="116">
        <v>286.8</v>
      </c>
      <c r="N272" s="116">
        <v>292.5</v>
      </c>
      <c r="O272" s="116">
        <v>284.64999999999998</v>
      </c>
      <c r="P272" s="116">
        <v>289</v>
      </c>
      <c r="Q272" s="116">
        <v>286.8</v>
      </c>
      <c r="R272">
        <v>773893</v>
      </c>
    </row>
    <row r="273" spans="1:18" x14ac:dyDescent="0.25">
      <c r="A273" s="170">
        <v>42402</v>
      </c>
      <c r="B273" s="116">
        <v>291.2</v>
      </c>
      <c r="C273" s="116">
        <v>282.89999999999998</v>
      </c>
      <c r="D273" s="116">
        <v>281</v>
      </c>
      <c r="E273" s="116">
        <v>289</v>
      </c>
      <c r="F273" s="116">
        <v>282.89999999999998</v>
      </c>
      <c r="G273">
        <v>67734</v>
      </c>
      <c r="H273" s="116"/>
      <c r="I273" s="116"/>
      <c r="L273" s="170">
        <v>42402</v>
      </c>
      <c r="M273" s="116">
        <v>283.10000000000002</v>
      </c>
      <c r="N273" s="116">
        <v>291.2</v>
      </c>
      <c r="O273" s="116">
        <v>281.2</v>
      </c>
      <c r="P273" s="116">
        <v>288</v>
      </c>
      <c r="Q273" s="116">
        <v>283.10000000000002</v>
      </c>
      <c r="R273">
        <v>863037</v>
      </c>
    </row>
    <row r="274" spans="1:18" x14ac:dyDescent="0.25">
      <c r="A274" s="170">
        <v>42403</v>
      </c>
      <c r="B274" s="116">
        <v>279.8</v>
      </c>
      <c r="C274" s="116">
        <v>277.25</v>
      </c>
      <c r="D274" s="116">
        <v>260</v>
      </c>
      <c r="E274" s="116">
        <v>278</v>
      </c>
      <c r="F274" s="116">
        <v>277.25</v>
      </c>
      <c r="G274">
        <v>125032</v>
      </c>
      <c r="H274" s="116"/>
      <c r="I274" s="116"/>
      <c r="L274" s="170">
        <v>42403</v>
      </c>
      <c r="M274" s="116">
        <v>277.14999999999998</v>
      </c>
      <c r="N274" s="116">
        <v>281.2</v>
      </c>
      <c r="O274" s="116">
        <v>257.60000000000002</v>
      </c>
      <c r="P274" s="116">
        <v>279.95</v>
      </c>
      <c r="Q274" s="116">
        <v>277.14999999999998</v>
      </c>
      <c r="R274">
        <v>1165348</v>
      </c>
    </row>
    <row r="275" spans="1:18" x14ac:dyDescent="0.25">
      <c r="A275" s="170">
        <v>42404</v>
      </c>
      <c r="B275" s="116">
        <v>281.89999999999998</v>
      </c>
      <c r="C275" s="116">
        <v>273.75</v>
      </c>
      <c r="D275" s="116">
        <v>269.45</v>
      </c>
      <c r="E275" s="116">
        <v>276.89999999999998</v>
      </c>
      <c r="F275" s="116">
        <v>273.75</v>
      </c>
      <c r="G275">
        <v>76648</v>
      </c>
      <c r="H275" s="116"/>
      <c r="I275" s="116"/>
      <c r="L275" s="170">
        <v>42404</v>
      </c>
      <c r="M275" s="116">
        <v>274.14999999999998</v>
      </c>
      <c r="N275" s="116">
        <v>282.39999999999998</v>
      </c>
      <c r="O275" s="116">
        <v>269.10000000000002</v>
      </c>
      <c r="P275" s="116">
        <v>275.35000000000002</v>
      </c>
      <c r="Q275" s="116">
        <v>274.14999999999998</v>
      </c>
      <c r="R275">
        <v>1253460</v>
      </c>
    </row>
    <row r="276" spans="1:18" x14ac:dyDescent="0.25">
      <c r="A276" s="170">
        <v>42405</v>
      </c>
      <c r="B276" s="116">
        <v>282.5</v>
      </c>
      <c r="C276" s="116">
        <v>279.3</v>
      </c>
      <c r="D276" s="116">
        <v>274.25</v>
      </c>
      <c r="E276" s="116">
        <v>276.14999999999998</v>
      </c>
      <c r="F276" s="116">
        <v>279.3</v>
      </c>
      <c r="G276">
        <v>103465</v>
      </c>
      <c r="H276" s="116"/>
      <c r="I276" s="116"/>
      <c r="L276" s="170">
        <v>42405</v>
      </c>
      <c r="M276" s="116">
        <v>278.95</v>
      </c>
      <c r="N276" s="116">
        <v>281.75</v>
      </c>
      <c r="O276" s="116">
        <v>274.05</v>
      </c>
      <c r="P276" s="116">
        <v>277</v>
      </c>
      <c r="Q276" s="116">
        <v>278.95</v>
      </c>
      <c r="R276">
        <v>823277</v>
      </c>
    </row>
    <row r="277" spans="1:18" x14ac:dyDescent="0.25">
      <c r="A277" s="170">
        <v>42408</v>
      </c>
      <c r="B277" s="116">
        <v>289.39999999999998</v>
      </c>
      <c r="C277" s="116">
        <v>283.05</v>
      </c>
      <c r="D277" s="116">
        <v>279.45</v>
      </c>
      <c r="E277" s="116">
        <v>280.95</v>
      </c>
      <c r="F277" s="116">
        <v>283.05</v>
      </c>
      <c r="G277">
        <v>66137</v>
      </c>
      <c r="H277" s="116"/>
      <c r="I277" s="116"/>
      <c r="L277" s="170">
        <v>42408</v>
      </c>
      <c r="M277" s="116">
        <v>283.39999999999998</v>
      </c>
      <c r="N277" s="116">
        <v>289.7</v>
      </c>
      <c r="O277" s="116">
        <v>279.10000000000002</v>
      </c>
      <c r="P277" s="116">
        <v>281</v>
      </c>
      <c r="Q277" s="116">
        <v>283.39999999999998</v>
      </c>
      <c r="R277">
        <v>932270</v>
      </c>
    </row>
    <row r="278" spans="1:18" x14ac:dyDescent="0.25">
      <c r="A278" s="170">
        <v>42409</v>
      </c>
      <c r="B278" s="116">
        <v>283.85000000000002</v>
      </c>
      <c r="C278" s="116">
        <v>281</v>
      </c>
      <c r="D278" s="116">
        <v>276</v>
      </c>
      <c r="E278" s="116">
        <v>280</v>
      </c>
      <c r="F278" s="116">
        <v>281</v>
      </c>
      <c r="G278">
        <v>55021</v>
      </c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>
        <v>42410</v>
      </c>
      <c r="B279" s="116">
        <v>282.8</v>
      </c>
      <c r="C279" s="116">
        <v>269.2</v>
      </c>
      <c r="D279" s="116">
        <v>266.60000000000002</v>
      </c>
      <c r="E279" s="116">
        <v>282.8</v>
      </c>
      <c r="F279" s="116">
        <v>269.2</v>
      </c>
      <c r="G279">
        <v>809794</v>
      </c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>
        <v>42411</v>
      </c>
      <c r="B280" s="116">
        <v>272.39999999999998</v>
      </c>
      <c r="C280" s="116">
        <v>241.15</v>
      </c>
      <c r="D280" s="116">
        <v>226.35</v>
      </c>
      <c r="E280" s="116">
        <v>266.95</v>
      </c>
      <c r="F280" s="116">
        <v>241.15</v>
      </c>
      <c r="G280">
        <v>431469</v>
      </c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>
        <v>42412</v>
      </c>
      <c r="B281" s="116">
        <v>238.75</v>
      </c>
      <c r="C281" s="116">
        <v>229.35</v>
      </c>
      <c r="D281" s="116">
        <v>211.2</v>
      </c>
      <c r="E281" s="116">
        <v>235.1</v>
      </c>
      <c r="F281" s="116">
        <v>229.35</v>
      </c>
      <c r="G281">
        <v>526741</v>
      </c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>
        <v>42415</v>
      </c>
      <c r="B282" s="116">
        <v>243.3</v>
      </c>
      <c r="C282" s="116">
        <v>237.95</v>
      </c>
      <c r="D282" s="116">
        <v>233.2</v>
      </c>
      <c r="E282" s="116">
        <v>233.7</v>
      </c>
      <c r="F282" s="116">
        <v>237.95</v>
      </c>
      <c r="G282">
        <v>181479</v>
      </c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>
        <v>42416</v>
      </c>
      <c r="B283" s="116">
        <v>239.85</v>
      </c>
      <c r="C283" s="116">
        <v>231.15</v>
      </c>
      <c r="D283" s="116">
        <v>226.2</v>
      </c>
      <c r="E283" s="116">
        <v>239.85</v>
      </c>
      <c r="F283" s="116">
        <v>231.15</v>
      </c>
      <c r="G283">
        <v>140222</v>
      </c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>
        <v>42417</v>
      </c>
      <c r="B284" s="116">
        <v>238</v>
      </c>
      <c r="C284" s="116">
        <v>235.7</v>
      </c>
      <c r="D284" s="116">
        <v>226.6</v>
      </c>
      <c r="E284" s="116">
        <v>233</v>
      </c>
      <c r="F284" s="116">
        <v>235.7</v>
      </c>
      <c r="G284">
        <v>149744</v>
      </c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>
        <v>42418</v>
      </c>
      <c r="B285" s="116">
        <v>244.8</v>
      </c>
      <c r="C285" s="116">
        <v>235.45</v>
      </c>
      <c r="D285" s="116">
        <v>229.25</v>
      </c>
      <c r="E285" s="116">
        <v>238.1</v>
      </c>
      <c r="F285" s="116">
        <v>235.45</v>
      </c>
      <c r="G285">
        <v>129000</v>
      </c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>
        <v>42419</v>
      </c>
      <c r="B286" s="116">
        <v>240</v>
      </c>
      <c r="C286" s="116">
        <v>237.05</v>
      </c>
      <c r="D286" s="116">
        <v>232.4</v>
      </c>
      <c r="E286" s="116">
        <v>240</v>
      </c>
      <c r="F286" s="116">
        <v>237.05</v>
      </c>
      <c r="G286">
        <v>92047</v>
      </c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>
        <v>42422</v>
      </c>
      <c r="B287" s="116">
        <v>241.1</v>
      </c>
      <c r="C287" s="116">
        <v>238.2</v>
      </c>
      <c r="D287" s="116">
        <v>234.35</v>
      </c>
      <c r="E287" s="116">
        <v>239</v>
      </c>
      <c r="F287" s="116">
        <v>238.2</v>
      </c>
      <c r="G287">
        <v>64238</v>
      </c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>
        <v>42423</v>
      </c>
      <c r="B288" s="116">
        <v>244</v>
      </c>
      <c r="C288" s="116">
        <v>230.2</v>
      </c>
      <c r="D288" s="116">
        <v>229.1</v>
      </c>
      <c r="E288" s="116">
        <v>244</v>
      </c>
      <c r="F288" s="116">
        <v>230.2</v>
      </c>
      <c r="G288">
        <v>113106</v>
      </c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>
        <v>42424</v>
      </c>
      <c r="B289" s="116">
        <v>235.95</v>
      </c>
      <c r="C289" s="116">
        <v>233.15</v>
      </c>
      <c r="D289" s="116">
        <v>224</v>
      </c>
      <c r="E289" s="116">
        <v>228</v>
      </c>
      <c r="F289" s="116">
        <v>233.15</v>
      </c>
      <c r="G289">
        <v>100476</v>
      </c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>
        <v>42425</v>
      </c>
      <c r="B290" s="116">
        <v>235.9</v>
      </c>
      <c r="C290" s="116">
        <v>223.5</v>
      </c>
      <c r="D290" s="116">
        <v>217.5</v>
      </c>
      <c r="E290" s="116">
        <v>234</v>
      </c>
      <c r="F290" s="116">
        <v>223.5</v>
      </c>
      <c r="G290">
        <v>149633</v>
      </c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>
        <v>42426</v>
      </c>
      <c r="B291" s="116">
        <v>228.4</v>
      </c>
      <c r="C291" s="116">
        <v>225.6</v>
      </c>
      <c r="D291" s="116">
        <v>222</v>
      </c>
      <c r="E291" s="116">
        <v>228.4</v>
      </c>
      <c r="F291" s="116">
        <v>225.6</v>
      </c>
      <c r="G291">
        <v>83702</v>
      </c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>
        <v>42429</v>
      </c>
      <c r="B292" s="116">
        <v>228.95</v>
      </c>
      <c r="C292" s="116">
        <v>222.55</v>
      </c>
      <c r="D292" s="116">
        <v>221</v>
      </c>
      <c r="E292" s="116">
        <v>226</v>
      </c>
      <c r="F292" s="116">
        <v>222.55</v>
      </c>
      <c r="G292">
        <v>84538</v>
      </c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>
        <v>42430</v>
      </c>
      <c r="B293" s="116">
        <v>233.7</v>
      </c>
      <c r="C293" s="116">
        <v>231.3</v>
      </c>
      <c r="D293" s="116">
        <v>223.7</v>
      </c>
      <c r="E293" s="116">
        <v>225.6</v>
      </c>
      <c r="F293" s="116">
        <v>231.3</v>
      </c>
      <c r="G293">
        <v>123398</v>
      </c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>
        <v>42431</v>
      </c>
      <c r="B294" s="116">
        <v>245.2</v>
      </c>
      <c r="C294" s="116">
        <v>243.9</v>
      </c>
      <c r="D294" s="116">
        <v>236.9</v>
      </c>
      <c r="E294" s="116">
        <v>236.9</v>
      </c>
      <c r="F294" s="116">
        <v>243.9</v>
      </c>
      <c r="G294">
        <v>115417</v>
      </c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>
        <v>42432</v>
      </c>
      <c r="B295" s="116">
        <v>247.2</v>
      </c>
      <c r="C295" s="116">
        <v>244.55</v>
      </c>
      <c r="D295" s="116">
        <v>241.45</v>
      </c>
      <c r="E295" s="116">
        <v>245</v>
      </c>
      <c r="F295" s="116">
        <v>244.55</v>
      </c>
      <c r="G295">
        <v>86278</v>
      </c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>
        <v>42433</v>
      </c>
      <c r="B296" s="116">
        <v>248.95</v>
      </c>
      <c r="C296" s="116">
        <v>245.6</v>
      </c>
      <c r="D296" s="116">
        <v>242.7</v>
      </c>
      <c r="E296" s="116">
        <v>243.8</v>
      </c>
      <c r="F296" s="116">
        <v>245.6</v>
      </c>
      <c r="G296">
        <v>67220</v>
      </c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>
        <v>42437</v>
      </c>
      <c r="B297" s="116">
        <v>249.25</v>
      </c>
      <c r="C297" s="116">
        <v>241.85</v>
      </c>
      <c r="D297" s="116">
        <v>238.95</v>
      </c>
      <c r="E297" s="116">
        <v>247</v>
      </c>
      <c r="F297" s="116">
        <v>241.85</v>
      </c>
      <c r="G297">
        <v>108703</v>
      </c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>
        <v>42438</v>
      </c>
      <c r="B298" s="116">
        <v>245.7</v>
      </c>
      <c r="C298" s="116">
        <v>243.15</v>
      </c>
      <c r="D298" s="116">
        <v>238.2</v>
      </c>
      <c r="E298" s="116">
        <v>241.85</v>
      </c>
      <c r="F298" s="116">
        <v>243.15</v>
      </c>
      <c r="G298">
        <v>92093</v>
      </c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>
        <v>42439</v>
      </c>
      <c r="B299" s="116">
        <v>254</v>
      </c>
      <c r="C299" s="116">
        <v>237.7</v>
      </c>
      <c r="D299" s="116">
        <v>235.9</v>
      </c>
      <c r="E299" s="116">
        <v>254</v>
      </c>
      <c r="F299" s="116">
        <v>237.7</v>
      </c>
      <c r="G299">
        <v>123922</v>
      </c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>
        <v>42440</v>
      </c>
      <c r="B300" s="116">
        <v>248.05</v>
      </c>
      <c r="C300" s="116">
        <v>247.35</v>
      </c>
      <c r="D300" s="116">
        <v>236.25</v>
      </c>
      <c r="E300" s="116">
        <v>238.4</v>
      </c>
      <c r="F300" s="116">
        <v>247.35</v>
      </c>
      <c r="G300">
        <v>207810</v>
      </c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>
        <v>42443</v>
      </c>
      <c r="B301" s="116">
        <v>252.95</v>
      </c>
      <c r="C301" s="116">
        <v>249</v>
      </c>
      <c r="D301" s="116">
        <v>246.7</v>
      </c>
      <c r="E301" s="116">
        <v>251</v>
      </c>
      <c r="F301" s="116">
        <v>249</v>
      </c>
      <c r="G301">
        <v>128405</v>
      </c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>
        <v>42444</v>
      </c>
      <c r="B302" s="116">
        <v>253.2</v>
      </c>
      <c r="C302" s="116">
        <v>248.45</v>
      </c>
      <c r="D302" s="116">
        <v>247.55</v>
      </c>
      <c r="E302" s="116">
        <v>249.1</v>
      </c>
      <c r="F302" s="116">
        <v>248.45</v>
      </c>
      <c r="G302">
        <v>111272</v>
      </c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>
        <v>42445</v>
      </c>
      <c r="B303" s="116">
        <v>251.5</v>
      </c>
      <c r="C303" s="116">
        <v>247.35</v>
      </c>
      <c r="D303" s="116">
        <v>242.25</v>
      </c>
      <c r="E303" s="116">
        <v>250.5</v>
      </c>
      <c r="F303" s="116">
        <v>247.35</v>
      </c>
      <c r="G303">
        <v>122765</v>
      </c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>
        <v>42446</v>
      </c>
      <c r="B304" s="116">
        <v>255.35</v>
      </c>
      <c r="C304" s="116">
        <v>251.5</v>
      </c>
      <c r="D304" s="116">
        <v>249.9</v>
      </c>
      <c r="E304" s="116">
        <v>251</v>
      </c>
      <c r="F304" s="116">
        <v>251.5</v>
      </c>
      <c r="G304">
        <v>103886</v>
      </c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>
        <v>42447</v>
      </c>
      <c r="B305" s="116">
        <v>271.39999999999998</v>
      </c>
      <c r="C305" s="116">
        <v>268.89999999999998</v>
      </c>
      <c r="D305" s="116">
        <v>250.7</v>
      </c>
      <c r="E305" s="116">
        <v>254</v>
      </c>
      <c r="F305" s="116">
        <v>268.89999999999998</v>
      </c>
      <c r="G305">
        <v>266501</v>
      </c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>
        <v>42450</v>
      </c>
      <c r="B306" s="116">
        <v>277.5</v>
      </c>
      <c r="C306" s="116">
        <v>274.7</v>
      </c>
      <c r="D306" s="116">
        <v>267</v>
      </c>
      <c r="E306" s="116">
        <v>271</v>
      </c>
      <c r="F306" s="116">
        <v>274.7</v>
      </c>
      <c r="G306">
        <v>207748</v>
      </c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>
        <v>42451</v>
      </c>
      <c r="B307" s="116">
        <v>277.95</v>
      </c>
      <c r="C307" s="116">
        <v>272.5</v>
      </c>
      <c r="D307" s="116">
        <v>270.2</v>
      </c>
      <c r="E307" s="116">
        <v>275.10000000000002</v>
      </c>
      <c r="F307" s="116">
        <v>272.5</v>
      </c>
      <c r="G307">
        <v>108074</v>
      </c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>
        <v>42452</v>
      </c>
      <c r="B308" s="116">
        <v>276</v>
      </c>
      <c r="C308" s="116">
        <v>269.55</v>
      </c>
      <c r="D308" s="116">
        <v>267.45</v>
      </c>
      <c r="E308" s="116">
        <v>274.3</v>
      </c>
      <c r="F308" s="116">
        <v>269.55</v>
      </c>
      <c r="G308">
        <v>133497</v>
      </c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>
        <v>42457</v>
      </c>
      <c r="B309" s="116">
        <v>274.7</v>
      </c>
      <c r="C309" s="116">
        <v>264.55</v>
      </c>
      <c r="D309" s="116">
        <v>262.25</v>
      </c>
      <c r="E309" s="116">
        <v>274.7</v>
      </c>
      <c r="F309" s="116">
        <v>264.55</v>
      </c>
      <c r="G309">
        <v>101840</v>
      </c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>
        <v>42458</v>
      </c>
      <c r="B310" s="116">
        <v>272</v>
      </c>
      <c r="C310" s="116">
        <v>267.3</v>
      </c>
      <c r="D310" s="116">
        <v>264</v>
      </c>
      <c r="E310" s="116">
        <v>266</v>
      </c>
      <c r="F310" s="116">
        <v>267.3</v>
      </c>
      <c r="G310">
        <v>83237</v>
      </c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>
        <v>42459</v>
      </c>
      <c r="B311" s="116">
        <v>274.45</v>
      </c>
      <c r="C311" s="116">
        <v>273.35000000000002</v>
      </c>
      <c r="D311" s="116">
        <v>267.39999999999998</v>
      </c>
      <c r="E311" s="116">
        <v>270</v>
      </c>
      <c r="F311" s="116">
        <v>273.35000000000002</v>
      </c>
      <c r="G311">
        <v>77442</v>
      </c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>
        <v>42460</v>
      </c>
      <c r="B312" s="116">
        <v>278</v>
      </c>
      <c r="C312" s="116">
        <v>276.95</v>
      </c>
      <c r="D312" s="116">
        <v>269.95</v>
      </c>
      <c r="E312" s="116">
        <v>273.5</v>
      </c>
      <c r="F312" s="116">
        <v>276.95</v>
      </c>
      <c r="G312">
        <v>143455</v>
      </c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>
        <v>42461</v>
      </c>
      <c r="B313" s="116">
        <v>286.64999999999998</v>
      </c>
      <c r="C313" s="116">
        <v>285.10000000000002</v>
      </c>
      <c r="D313" s="116">
        <v>276.14999999999998</v>
      </c>
      <c r="E313" s="116">
        <v>278</v>
      </c>
      <c r="F313" s="116">
        <v>285.10000000000002</v>
      </c>
      <c r="G313">
        <v>135977</v>
      </c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>
        <v>42464</v>
      </c>
      <c r="B314" s="116">
        <v>288.95</v>
      </c>
      <c r="C314" s="116">
        <v>282.25</v>
      </c>
      <c r="D314" s="116">
        <v>281.5</v>
      </c>
      <c r="E314" s="116">
        <v>286.89999999999998</v>
      </c>
      <c r="F314" s="116">
        <v>282.25</v>
      </c>
      <c r="G314">
        <v>102952</v>
      </c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>
        <v>42465</v>
      </c>
      <c r="B315" s="116">
        <v>284.85000000000002</v>
      </c>
      <c r="C315" s="116">
        <v>273.75</v>
      </c>
      <c r="D315" s="116">
        <v>272.5</v>
      </c>
      <c r="E315" s="116">
        <v>282</v>
      </c>
      <c r="F315" s="116">
        <v>273.75</v>
      </c>
      <c r="G315">
        <v>82240</v>
      </c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>
        <v>42466</v>
      </c>
      <c r="B316" s="116">
        <v>279.64999999999998</v>
      </c>
      <c r="C316" s="116">
        <v>277.64999999999998</v>
      </c>
      <c r="D316" s="116">
        <v>272.89999999999998</v>
      </c>
      <c r="E316" s="116">
        <v>275.14999999999998</v>
      </c>
      <c r="F316" s="116">
        <v>277.64999999999998</v>
      </c>
      <c r="G316">
        <v>80294</v>
      </c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>
        <v>42467</v>
      </c>
      <c r="B317" s="116">
        <v>280.55</v>
      </c>
      <c r="C317" s="116">
        <v>271.05</v>
      </c>
      <c r="D317" s="116">
        <v>269.5</v>
      </c>
      <c r="E317" s="116">
        <v>277.75</v>
      </c>
      <c r="F317" s="116">
        <v>271.05</v>
      </c>
      <c r="G317">
        <v>78017</v>
      </c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>
        <v>42468</v>
      </c>
      <c r="B318" s="116">
        <v>273.5</v>
      </c>
      <c r="C318" s="116">
        <v>272</v>
      </c>
      <c r="D318" s="116">
        <v>266.8</v>
      </c>
      <c r="E318" s="116">
        <v>270</v>
      </c>
      <c r="F318" s="116">
        <v>272</v>
      </c>
      <c r="G318">
        <v>89766</v>
      </c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>
        <v>42471</v>
      </c>
      <c r="B319" s="116">
        <v>276.85000000000002</v>
      </c>
      <c r="C319" s="116">
        <v>275.55</v>
      </c>
      <c r="D319" s="116">
        <v>270.8</v>
      </c>
      <c r="E319" s="116">
        <v>272.10000000000002</v>
      </c>
      <c r="F319" s="116">
        <v>275.55</v>
      </c>
      <c r="G319">
        <v>106899</v>
      </c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>
        <v>42472</v>
      </c>
      <c r="B320" s="116">
        <v>281</v>
      </c>
      <c r="C320" s="116">
        <v>277.7</v>
      </c>
      <c r="D320" s="116">
        <v>275.55</v>
      </c>
      <c r="E320" s="116">
        <v>277.75</v>
      </c>
      <c r="F320" s="116">
        <v>277.7</v>
      </c>
      <c r="G320">
        <v>146405</v>
      </c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>
        <v>42473</v>
      </c>
      <c r="B321" s="116">
        <v>284.8</v>
      </c>
      <c r="C321" s="116">
        <v>283.14999999999998</v>
      </c>
      <c r="D321" s="116">
        <v>280</v>
      </c>
      <c r="E321" s="116">
        <v>280</v>
      </c>
      <c r="F321" s="116">
        <v>283.14999999999998</v>
      </c>
      <c r="G321">
        <v>70194</v>
      </c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>
        <v>42478</v>
      </c>
      <c r="B322" s="116">
        <v>295.75</v>
      </c>
      <c r="C322" s="116">
        <v>293.75</v>
      </c>
      <c r="D322" s="116">
        <v>286.5</v>
      </c>
      <c r="E322" s="116">
        <v>287</v>
      </c>
      <c r="F322" s="116">
        <v>293.75</v>
      </c>
      <c r="G322">
        <v>216795</v>
      </c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>
        <v>42480</v>
      </c>
      <c r="B323" s="116">
        <v>305</v>
      </c>
      <c r="C323" s="116">
        <v>302.39999999999998</v>
      </c>
      <c r="D323" s="116">
        <v>295.05</v>
      </c>
      <c r="E323" s="116">
        <v>295.05</v>
      </c>
      <c r="F323" s="116">
        <v>302.39999999999998</v>
      </c>
      <c r="G323">
        <v>307725</v>
      </c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>
        <v>42481</v>
      </c>
      <c r="B324" s="116">
        <v>305.89999999999998</v>
      </c>
      <c r="C324" s="116">
        <v>298.55</v>
      </c>
      <c r="D324" s="116">
        <v>297</v>
      </c>
      <c r="E324" s="116">
        <v>304.10000000000002</v>
      </c>
      <c r="F324" s="116">
        <v>298.55</v>
      </c>
      <c r="G324">
        <v>110653</v>
      </c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>
        <v>42482</v>
      </c>
      <c r="B325" s="116">
        <v>304</v>
      </c>
      <c r="C325" s="116">
        <v>297.75</v>
      </c>
      <c r="D325" s="116">
        <v>296.55</v>
      </c>
      <c r="E325" s="116">
        <v>302</v>
      </c>
      <c r="F325" s="116">
        <v>297.75</v>
      </c>
      <c r="G325">
        <v>176185</v>
      </c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>
        <v>42485</v>
      </c>
      <c r="B326" s="116">
        <v>301.45</v>
      </c>
      <c r="C326" s="116">
        <v>293</v>
      </c>
      <c r="D326" s="116">
        <v>289.75</v>
      </c>
      <c r="E326" s="116">
        <v>297.5</v>
      </c>
      <c r="F326" s="116">
        <v>293</v>
      </c>
      <c r="G326">
        <v>147320</v>
      </c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>
        <v>42486</v>
      </c>
      <c r="B327" s="116">
        <v>297.7</v>
      </c>
      <c r="C327" s="116">
        <v>297.10000000000002</v>
      </c>
      <c r="D327" s="116">
        <v>291.10000000000002</v>
      </c>
      <c r="E327" s="116">
        <v>291.7</v>
      </c>
      <c r="F327" s="116">
        <v>297.10000000000002</v>
      </c>
      <c r="G327">
        <v>147914</v>
      </c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>
        <v>42487</v>
      </c>
      <c r="B328" s="116">
        <v>303.3</v>
      </c>
      <c r="C328" s="116">
        <v>301.85000000000002</v>
      </c>
      <c r="D328" s="116">
        <v>297.25</v>
      </c>
      <c r="E328" s="116">
        <v>300</v>
      </c>
      <c r="F328" s="116">
        <v>301.85000000000002</v>
      </c>
      <c r="G328">
        <v>130904</v>
      </c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>
        <v>42488</v>
      </c>
      <c r="B329" s="116">
        <v>304.95</v>
      </c>
      <c r="C329" s="116">
        <v>295.25</v>
      </c>
      <c r="D329" s="116">
        <v>293.64999999999998</v>
      </c>
      <c r="E329" s="116">
        <v>304.95</v>
      </c>
      <c r="F329" s="116">
        <v>295.25</v>
      </c>
      <c r="G329">
        <v>117501</v>
      </c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>
        <v>42489</v>
      </c>
      <c r="B330" s="116">
        <v>297.89999999999998</v>
      </c>
      <c r="C330" s="116">
        <v>293.2</v>
      </c>
      <c r="D330" s="116">
        <v>289.8</v>
      </c>
      <c r="E330" s="116">
        <v>294.7</v>
      </c>
      <c r="F330" s="116">
        <v>293.2</v>
      </c>
      <c r="G330">
        <v>164782</v>
      </c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>
        <v>42492</v>
      </c>
      <c r="B331" s="116">
        <v>298.5</v>
      </c>
      <c r="C331" s="116">
        <v>296.55</v>
      </c>
      <c r="D331" s="116">
        <v>290.10000000000002</v>
      </c>
      <c r="E331" s="116">
        <v>294.10000000000002</v>
      </c>
      <c r="F331" s="116">
        <v>296.55</v>
      </c>
      <c r="G331">
        <v>70745</v>
      </c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>
        <v>42493</v>
      </c>
      <c r="B332" s="116">
        <v>307.85000000000002</v>
      </c>
      <c r="C332" s="116">
        <v>297.10000000000002</v>
      </c>
      <c r="D332" s="116">
        <v>294.89999999999998</v>
      </c>
      <c r="E332" s="116">
        <v>299.95</v>
      </c>
      <c r="F332" s="116">
        <v>297.10000000000002</v>
      </c>
      <c r="G332">
        <v>192798</v>
      </c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>
        <v>42494</v>
      </c>
      <c r="B333" s="116">
        <v>298.89999999999998</v>
      </c>
      <c r="C333" s="116">
        <v>291.35000000000002</v>
      </c>
      <c r="D333" s="116">
        <v>289</v>
      </c>
      <c r="E333" s="116">
        <v>298.89999999999998</v>
      </c>
      <c r="F333" s="116">
        <v>291.35000000000002</v>
      </c>
      <c r="G333">
        <v>101242</v>
      </c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>
        <v>42495</v>
      </c>
      <c r="B334" s="116">
        <v>295.75</v>
      </c>
      <c r="C334" s="116">
        <v>289.7</v>
      </c>
      <c r="D334" s="116">
        <v>286.25</v>
      </c>
      <c r="E334" s="116">
        <v>286.25</v>
      </c>
      <c r="F334" s="116">
        <v>289.7</v>
      </c>
      <c r="G334">
        <v>124094</v>
      </c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>
        <v>42496</v>
      </c>
      <c r="B335" s="116">
        <v>308</v>
      </c>
      <c r="C335" s="116">
        <v>305.55</v>
      </c>
      <c r="D335" s="116">
        <v>289</v>
      </c>
      <c r="E335" s="116">
        <v>289.85000000000002</v>
      </c>
      <c r="F335" s="116">
        <v>305.55</v>
      </c>
      <c r="G335">
        <v>249982</v>
      </c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>
        <v>42499</v>
      </c>
      <c r="B336" s="116">
        <v>311.8</v>
      </c>
      <c r="C336" s="116">
        <v>310.5</v>
      </c>
      <c r="D336" s="116">
        <v>303.10000000000002</v>
      </c>
      <c r="E336" s="116">
        <v>303.10000000000002</v>
      </c>
      <c r="F336" s="116">
        <v>310.5</v>
      </c>
      <c r="G336">
        <v>160927</v>
      </c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>
        <v>42500</v>
      </c>
      <c r="B337" s="116">
        <v>310.95</v>
      </c>
      <c r="C337" s="116">
        <v>307.3</v>
      </c>
      <c r="D337" s="116">
        <v>304.85000000000002</v>
      </c>
      <c r="E337" s="116">
        <v>310</v>
      </c>
      <c r="F337" s="116">
        <v>307.3</v>
      </c>
      <c r="G337">
        <v>73852</v>
      </c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>
        <v>42501</v>
      </c>
      <c r="B338" s="116">
        <v>320.25</v>
      </c>
      <c r="C338" s="116">
        <v>319.10000000000002</v>
      </c>
      <c r="D338" s="116">
        <v>302</v>
      </c>
      <c r="E338" s="116">
        <v>306.95</v>
      </c>
      <c r="F338" s="116">
        <v>319.10000000000002</v>
      </c>
      <c r="G338">
        <v>268410</v>
      </c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>
        <v>42502</v>
      </c>
      <c r="B339" s="116">
        <v>327.8</v>
      </c>
      <c r="C339" s="116">
        <v>325.25</v>
      </c>
      <c r="D339" s="116">
        <v>321.25</v>
      </c>
      <c r="E339" s="116">
        <v>321.5</v>
      </c>
      <c r="F339" s="116">
        <v>325.25</v>
      </c>
      <c r="G339">
        <v>188510</v>
      </c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>
        <v>42503</v>
      </c>
      <c r="B340" s="116">
        <v>327.7</v>
      </c>
      <c r="C340" s="116">
        <v>324.10000000000002</v>
      </c>
      <c r="D340" s="116">
        <v>321</v>
      </c>
      <c r="E340" s="116">
        <v>326</v>
      </c>
      <c r="F340" s="116">
        <v>324.10000000000002</v>
      </c>
      <c r="G340">
        <v>111117</v>
      </c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>
        <v>42506</v>
      </c>
      <c r="B341" s="116">
        <v>328.2</v>
      </c>
      <c r="C341" s="116">
        <v>325.3</v>
      </c>
      <c r="D341" s="116">
        <v>320.8</v>
      </c>
      <c r="E341" s="116">
        <v>323.89999999999998</v>
      </c>
      <c r="F341" s="116">
        <v>325.3</v>
      </c>
      <c r="G341">
        <v>98476</v>
      </c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>
        <v>42507</v>
      </c>
      <c r="B342" s="116">
        <v>345</v>
      </c>
      <c r="C342" s="116">
        <v>335.05</v>
      </c>
      <c r="D342" s="116">
        <v>316.7</v>
      </c>
      <c r="E342" s="116">
        <v>325.7</v>
      </c>
      <c r="F342" s="116">
        <v>335.05</v>
      </c>
      <c r="G342">
        <v>392141</v>
      </c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>
        <v>42508</v>
      </c>
      <c r="B343" s="116">
        <v>349.1</v>
      </c>
      <c r="C343" s="116">
        <v>331</v>
      </c>
      <c r="D343" s="116">
        <v>326</v>
      </c>
      <c r="E343" s="116">
        <v>348.1</v>
      </c>
      <c r="F343" s="116">
        <v>331</v>
      </c>
      <c r="G343">
        <v>632118</v>
      </c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>
        <v>42509</v>
      </c>
      <c r="B344" s="116">
        <v>336.55</v>
      </c>
      <c r="C344" s="116">
        <v>323.85000000000002</v>
      </c>
      <c r="D344" s="116">
        <v>319.39999999999998</v>
      </c>
      <c r="E344" s="116">
        <v>331</v>
      </c>
      <c r="F344" s="116">
        <v>323.85000000000002</v>
      </c>
      <c r="G344">
        <v>214298</v>
      </c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>
        <v>42510</v>
      </c>
      <c r="B345" s="116">
        <v>333.6</v>
      </c>
      <c r="C345" s="116">
        <v>331.75</v>
      </c>
      <c r="D345" s="116">
        <v>320</v>
      </c>
      <c r="E345" s="116">
        <v>325</v>
      </c>
      <c r="F345" s="116">
        <v>331.75</v>
      </c>
      <c r="G345">
        <v>169146</v>
      </c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>
        <v>42513</v>
      </c>
      <c r="B346" s="116">
        <v>335.8</v>
      </c>
      <c r="C346" s="116">
        <v>328.2</v>
      </c>
      <c r="D346" s="116">
        <v>327.25</v>
      </c>
      <c r="E346" s="116">
        <v>334</v>
      </c>
      <c r="F346" s="116">
        <v>328.2</v>
      </c>
      <c r="G346">
        <v>137600</v>
      </c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>
        <v>42514</v>
      </c>
      <c r="B347" s="116">
        <v>328.7</v>
      </c>
      <c r="C347" s="116">
        <v>326.60000000000002</v>
      </c>
      <c r="D347" s="116">
        <v>324.14999999999998</v>
      </c>
      <c r="E347" s="116">
        <v>327.95</v>
      </c>
      <c r="F347" s="116">
        <v>326.60000000000002</v>
      </c>
      <c r="G347">
        <v>84487</v>
      </c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>
        <v>42515</v>
      </c>
      <c r="B348" s="116">
        <v>339</v>
      </c>
      <c r="C348" s="116">
        <v>337.35</v>
      </c>
      <c r="D348" s="116">
        <v>329.3</v>
      </c>
      <c r="E348" s="116">
        <v>333</v>
      </c>
      <c r="F348" s="116">
        <v>337.35</v>
      </c>
      <c r="G348">
        <v>145368</v>
      </c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>
        <v>42516</v>
      </c>
      <c r="B349" s="116">
        <v>341.05</v>
      </c>
      <c r="C349" s="116">
        <v>338.5</v>
      </c>
      <c r="D349" s="116">
        <v>333.25</v>
      </c>
      <c r="E349" s="116">
        <v>338.6</v>
      </c>
      <c r="F349" s="116">
        <v>338.5</v>
      </c>
      <c r="G349">
        <v>138266</v>
      </c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>
        <v>42517</v>
      </c>
      <c r="B350" s="116">
        <v>342.5</v>
      </c>
      <c r="C350" s="116">
        <v>336.7</v>
      </c>
      <c r="D350" s="116">
        <v>334.4</v>
      </c>
      <c r="E350" s="116">
        <v>339</v>
      </c>
      <c r="F350" s="116">
        <v>336.7</v>
      </c>
      <c r="G350">
        <v>151714</v>
      </c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>
        <v>42520</v>
      </c>
      <c r="B351" s="116">
        <v>342.8</v>
      </c>
      <c r="C351" s="116">
        <v>339.35</v>
      </c>
      <c r="D351" s="116">
        <v>335</v>
      </c>
      <c r="E351" s="116">
        <v>337</v>
      </c>
      <c r="F351" s="116">
        <v>339.35</v>
      </c>
      <c r="G351">
        <v>110894</v>
      </c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>
        <v>42521</v>
      </c>
      <c r="B352" s="116">
        <v>341.15</v>
      </c>
      <c r="C352" s="116">
        <v>335.9</v>
      </c>
      <c r="D352" s="116">
        <v>335.1</v>
      </c>
      <c r="E352" s="116">
        <v>339.9</v>
      </c>
      <c r="F352" s="116">
        <v>335.9</v>
      </c>
      <c r="G352">
        <v>61303</v>
      </c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>
        <v>42522</v>
      </c>
      <c r="B353" s="116">
        <v>342.4</v>
      </c>
      <c r="C353" s="116">
        <v>332.65</v>
      </c>
      <c r="D353" s="116">
        <v>329.6</v>
      </c>
      <c r="E353" s="116">
        <v>336.1</v>
      </c>
      <c r="F353" s="116">
        <v>332.65</v>
      </c>
      <c r="G353">
        <v>150050</v>
      </c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>
        <v>42523</v>
      </c>
      <c r="B354" s="116">
        <v>339.8</v>
      </c>
      <c r="C354" s="116">
        <v>338.05</v>
      </c>
      <c r="D354" s="116">
        <v>332.7</v>
      </c>
      <c r="E354" s="116">
        <v>332.7</v>
      </c>
      <c r="F354" s="116">
        <v>338.05</v>
      </c>
      <c r="G354">
        <v>124966</v>
      </c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>
        <v>42524</v>
      </c>
      <c r="B355" s="116">
        <v>345.4</v>
      </c>
      <c r="C355" s="116">
        <v>334.2</v>
      </c>
      <c r="D355" s="116">
        <v>332.75</v>
      </c>
      <c r="E355" s="116">
        <v>341</v>
      </c>
      <c r="F355" s="116">
        <v>334.2</v>
      </c>
      <c r="G355">
        <v>143506</v>
      </c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>
        <v>42527</v>
      </c>
      <c r="B356" s="116">
        <v>335.9</v>
      </c>
      <c r="C356" s="116">
        <v>333.05</v>
      </c>
      <c r="D356" s="116">
        <v>331</v>
      </c>
      <c r="E356" s="116">
        <v>332.6</v>
      </c>
      <c r="F356" s="116">
        <v>333.05</v>
      </c>
      <c r="G356">
        <v>49247</v>
      </c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>
        <v>42528</v>
      </c>
      <c r="B357" s="116">
        <v>340</v>
      </c>
      <c r="C357" s="116">
        <v>336.6</v>
      </c>
      <c r="D357" s="116">
        <v>331.75</v>
      </c>
      <c r="E357" s="116">
        <v>333.95</v>
      </c>
      <c r="F357" s="116">
        <v>336.6</v>
      </c>
      <c r="G357">
        <v>105581</v>
      </c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>
        <v>42529</v>
      </c>
      <c r="B358" s="116">
        <v>339</v>
      </c>
      <c r="C358" s="116">
        <v>336.45</v>
      </c>
      <c r="D358" s="116">
        <v>334.6</v>
      </c>
      <c r="E358" s="116">
        <v>338</v>
      </c>
      <c r="F358" s="116">
        <v>336.45</v>
      </c>
      <c r="G358">
        <v>89222</v>
      </c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>
        <v>42530</v>
      </c>
      <c r="B359" s="116">
        <v>340.85</v>
      </c>
      <c r="C359" s="116">
        <v>333.9</v>
      </c>
      <c r="D359" s="116">
        <v>333</v>
      </c>
      <c r="E359" s="116">
        <v>338</v>
      </c>
      <c r="F359" s="116">
        <v>333.9</v>
      </c>
      <c r="G359">
        <v>83559</v>
      </c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>
        <v>42531</v>
      </c>
      <c r="B360" s="116">
        <v>333.5</v>
      </c>
      <c r="C360" s="116">
        <v>327</v>
      </c>
      <c r="D360" s="116">
        <v>325.64999999999998</v>
      </c>
      <c r="E360" s="116">
        <v>333.5</v>
      </c>
      <c r="F360" s="116">
        <v>327</v>
      </c>
      <c r="G360">
        <v>135714</v>
      </c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>
        <v>42534</v>
      </c>
      <c r="B361" s="116">
        <v>324</v>
      </c>
      <c r="C361" s="116">
        <v>322.45</v>
      </c>
      <c r="D361" s="116">
        <v>318.55</v>
      </c>
      <c r="E361" s="116">
        <v>324</v>
      </c>
      <c r="F361" s="116">
        <v>322.45</v>
      </c>
      <c r="G361">
        <v>108424</v>
      </c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>
        <v>42535</v>
      </c>
      <c r="B362" s="116">
        <v>331.9</v>
      </c>
      <c r="C362" s="116">
        <v>330.15</v>
      </c>
      <c r="D362" s="116">
        <v>321</v>
      </c>
      <c r="E362" s="116">
        <v>321</v>
      </c>
      <c r="F362" s="116">
        <v>330.15</v>
      </c>
      <c r="G362">
        <v>267692</v>
      </c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>
        <v>42536</v>
      </c>
      <c r="B363" s="116">
        <v>331.8</v>
      </c>
      <c r="C363" s="116">
        <v>330.1</v>
      </c>
      <c r="D363" s="116">
        <v>326.7</v>
      </c>
      <c r="E363" s="116">
        <v>330.15</v>
      </c>
      <c r="F363" s="116">
        <v>330.1</v>
      </c>
      <c r="G363">
        <v>88532</v>
      </c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>
        <v>42537</v>
      </c>
      <c r="B364" s="116">
        <v>333</v>
      </c>
      <c r="C364" s="116">
        <v>323.55</v>
      </c>
      <c r="D364" s="116">
        <v>321.5</v>
      </c>
      <c r="E364" s="116">
        <v>333</v>
      </c>
      <c r="F364" s="116">
        <v>323.55</v>
      </c>
      <c r="G364">
        <v>125605</v>
      </c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>
        <v>42538</v>
      </c>
      <c r="B365" s="116">
        <v>327.9</v>
      </c>
      <c r="C365" s="116">
        <v>319.85000000000002</v>
      </c>
      <c r="D365" s="116">
        <v>317</v>
      </c>
      <c r="E365" s="116">
        <v>327.9</v>
      </c>
      <c r="F365" s="116">
        <v>319.85000000000002</v>
      </c>
      <c r="G365">
        <v>97311</v>
      </c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>
        <v>42541</v>
      </c>
      <c r="B366" s="116">
        <v>322.60000000000002</v>
      </c>
      <c r="C366" s="116">
        <v>321</v>
      </c>
      <c r="D366" s="116">
        <v>314.95</v>
      </c>
      <c r="E366" s="116">
        <v>315.89999999999998</v>
      </c>
      <c r="F366" s="116">
        <v>321</v>
      </c>
      <c r="G366">
        <v>54210</v>
      </c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>
        <v>42542</v>
      </c>
      <c r="B367" s="116">
        <v>325.5</v>
      </c>
      <c r="C367" s="116">
        <v>322.75</v>
      </c>
      <c r="D367" s="116">
        <v>321.7</v>
      </c>
      <c r="E367" s="116">
        <v>324</v>
      </c>
      <c r="F367" s="116">
        <v>322.75</v>
      </c>
      <c r="G367">
        <v>103536</v>
      </c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>
        <v>42543</v>
      </c>
      <c r="B368" s="116">
        <v>326.3</v>
      </c>
      <c r="C368" s="116">
        <v>322.2</v>
      </c>
      <c r="D368" s="116">
        <v>319.85000000000002</v>
      </c>
      <c r="E368" s="116">
        <v>324</v>
      </c>
      <c r="F368" s="116">
        <v>322.2</v>
      </c>
      <c r="G368">
        <v>97465</v>
      </c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>
        <v>42544</v>
      </c>
      <c r="B369" s="116">
        <v>323.10000000000002</v>
      </c>
      <c r="C369" s="116">
        <v>320.5</v>
      </c>
      <c r="D369" s="116">
        <v>318.05</v>
      </c>
      <c r="E369" s="116">
        <v>318.05</v>
      </c>
      <c r="F369" s="116">
        <v>320.5</v>
      </c>
      <c r="G369">
        <v>89696</v>
      </c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>
        <v>42545</v>
      </c>
      <c r="B370" s="116">
        <v>314.89999999999998</v>
      </c>
      <c r="C370" s="116">
        <v>309.35000000000002</v>
      </c>
      <c r="D370" s="116">
        <v>297.85000000000002</v>
      </c>
      <c r="E370" s="116">
        <v>314</v>
      </c>
      <c r="F370" s="116">
        <v>309.35000000000002</v>
      </c>
      <c r="G370">
        <v>177948</v>
      </c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>
        <v>42548</v>
      </c>
      <c r="B371" s="116">
        <v>312.45</v>
      </c>
      <c r="C371" s="116">
        <v>310.85000000000002</v>
      </c>
      <c r="D371" s="116">
        <v>303.10000000000002</v>
      </c>
      <c r="E371" s="116">
        <v>305</v>
      </c>
      <c r="F371" s="116">
        <v>310.85000000000002</v>
      </c>
      <c r="G371">
        <v>78237</v>
      </c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>
        <v>42549</v>
      </c>
      <c r="B372" s="116">
        <v>316</v>
      </c>
      <c r="C372" s="116">
        <v>313.64999999999998</v>
      </c>
      <c r="D372" s="116">
        <v>310</v>
      </c>
      <c r="E372" s="116">
        <v>310</v>
      </c>
      <c r="F372" s="116">
        <v>313.64999999999998</v>
      </c>
      <c r="G372">
        <v>48748</v>
      </c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>
        <v>42550</v>
      </c>
      <c r="B373" s="116">
        <v>323</v>
      </c>
      <c r="C373" s="116">
        <v>319.5</v>
      </c>
      <c r="D373" s="116">
        <v>316</v>
      </c>
      <c r="E373" s="116">
        <v>316</v>
      </c>
      <c r="F373" s="116">
        <v>319.5</v>
      </c>
      <c r="G373">
        <v>108451</v>
      </c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>
        <v>42551</v>
      </c>
      <c r="B374" s="116">
        <v>323.60000000000002</v>
      </c>
      <c r="C374" s="116">
        <v>321.3</v>
      </c>
      <c r="D374" s="116">
        <v>319.25</v>
      </c>
      <c r="E374" s="116">
        <v>322.95</v>
      </c>
      <c r="F374" s="116">
        <v>321.3</v>
      </c>
      <c r="G374">
        <v>74914</v>
      </c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>
        <v>42552</v>
      </c>
      <c r="B375" s="116">
        <v>324.35000000000002</v>
      </c>
      <c r="C375" s="116">
        <v>317.75</v>
      </c>
      <c r="D375" s="116">
        <v>316.95</v>
      </c>
      <c r="E375" s="116">
        <v>322.35000000000002</v>
      </c>
      <c r="F375" s="116">
        <v>317.75</v>
      </c>
      <c r="G375">
        <v>64565</v>
      </c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42555</v>
      </c>
      <c r="B376" s="116">
        <v>323.75</v>
      </c>
      <c r="C376" s="116">
        <v>321</v>
      </c>
      <c r="D376" s="116">
        <v>318</v>
      </c>
      <c r="E376" s="116">
        <v>318.89999999999998</v>
      </c>
      <c r="F376" s="116">
        <v>321</v>
      </c>
      <c r="G376">
        <v>87920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42556</v>
      </c>
      <c r="B377" s="116">
        <v>327.39999999999998</v>
      </c>
      <c r="C377" s="116">
        <v>324.95</v>
      </c>
      <c r="D377" s="116">
        <v>320.89999999999998</v>
      </c>
      <c r="E377" s="116">
        <v>321.39999999999998</v>
      </c>
      <c r="F377" s="116">
        <v>324.95</v>
      </c>
      <c r="G377">
        <v>136839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42558</v>
      </c>
      <c r="B378" s="116">
        <v>328.9</v>
      </c>
      <c r="C378" s="116">
        <v>315.05</v>
      </c>
      <c r="D378" s="116">
        <v>314</v>
      </c>
      <c r="E378" s="116">
        <v>328</v>
      </c>
      <c r="F378" s="116">
        <v>315.05</v>
      </c>
      <c r="G378">
        <v>156152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42559</v>
      </c>
      <c r="B379" s="116">
        <v>324</v>
      </c>
      <c r="C379" s="116">
        <v>314.55</v>
      </c>
      <c r="D379" s="116">
        <v>312</v>
      </c>
      <c r="E379" s="116">
        <v>324</v>
      </c>
      <c r="F379" s="116">
        <v>314.55</v>
      </c>
      <c r="G379">
        <v>116373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42562</v>
      </c>
      <c r="B380" s="116">
        <v>319.39999999999998</v>
      </c>
      <c r="C380" s="116">
        <v>317.35000000000002</v>
      </c>
      <c r="D380" s="116">
        <v>315.05</v>
      </c>
      <c r="E380" s="116">
        <v>315.05</v>
      </c>
      <c r="F380" s="116">
        <v>317.35000000000002</v>
      </c>
      <c r="G380">
        <v>106293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42563</v>
      </c>
      <c r="B381" s="116">
        <v>321.95</v>
      </c>
      <c r="C381" s="116">
        <v>318.25</v>
      </c>
      <c r="D381" s="116">
        <v>317.2</v>
      </c>
      <c r="E381" s="116">
        <v>317.85000000000002</v>
      </c>
      <c r="F381" s="116">
        <v>318.25</v>
      </c>
      <c r="G381">
        <v>118025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42564</v>
      </c>
      <c r="B382" s="116">
        <v>325.2</v>
      </c>
      <c r="C382" s="116">
        <v>323.75</v>
      </c>
      <c r="D382" s="116">
        <v>318.10000000000002</v>
      </c>
      <c r="E382" s="116">
        <v>318.5</v>
      </c>
      <c r="F382" s="116">
        <v>323.75</v>
      </c>
      <c r="G382">
        <v>179889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42565</v>
      </c>
      <c r="B383" s="116">
        <v>329.1</v>
      </c>
      <c r="C383" s="116">
        <v>325.39999999999998</v>
      </c>
      <c r="D383" s="116">
        <v>324</v>
      </c>
      <c r="E383" s="116">
        <v>327.9</v>
      </c>
      <c r="F383" s="116">
        <v>325.39999999999998</v>
      </c>
      <c r="G383">
        <v>92294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42566</v>
      </c>
      <c r="B384" s="116">
        <v>327.75</v>
      </c>
      <c r="C384" s="116">
        <v>325.25</v>
      </c>
      <c r="D384" s="116">
        <v>323.64999999999998</v>
      </c>
      <c r="E384" s="116">
        <v>326.7</v>
      </c>
      <c r="F384" s="116">
        <v>325.25</v>
      </c>
      <c r="G384">
        <v>49346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42569</v>
      </c>
      <c r="B385" s="116">
        <v>329.65</v>
      </c>
      <c r="C385" s="116">
        <v>323.8</v>
      </c>
      <c r="D385" s="116">
        <v>321.10000000000002</v>
      </c>
      <c r="E385" s="116">
        <v>325</v>
      </c>
      <c r="F385" s="116">
        <v>323.8</v>
      </c>
      <c r="G385">
        <v>85332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42570</v>
      </c>
      <c r="B386" s="116">
        <v>327.10000000000002</v>
      </c>
      <c r="C386" s="116">
        <v>325.05</v>
      </c>
      <c r="D386" s="116">
        <v>317.35000000000002</v>
      </c>
      <c r="E386" s="116">
        <v>324.39999999999998</v>
      </c>
      <c r="F386" s="116">
        <v>325.05</v>
      </c>
      <c r="G386">
        <v>91055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42571</v>
      </c>
      <c r="B387" s="116">
        <v>336.05</v>
      </c>
      <c r="C387" s="116">
        <v>334.9</v>
      </c>
      <c r="D387" s="116">
        <v>326</v>
      </c>
      <c r="E387" s="116">
        <v>326</v>
      </c>
      <c r="F387" s="116">
        <v>334.9</v>
      </c>
      <c r="G387">
        <v>231164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42572</v>
      </c>
      <c r="B388" s="116">
        <v>339.8</v>
      </c>
      <c r="C388" s="116">
        <v>334.65</v>
      </c>
      <c r="D388" s="116">
        <v>332.75</v>
      </c>
      <c r="E388" s="116">
        <v>335</v>
      </c>
      <c r="F388" s="116">
        <v>334.65</v>
      </c>
      <c r="G388">
        <v>191126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42573</v>
      </c>
      <c r="B389" s="116">
        <v>338.5</v>
      </c>
      <c r="C389" s="116">
        <v>334.5</v>
      </c>
      <c r="D389" s="116">
        <v>330</v>
      </c>
      <c r="E389" s="116">
        <v>335.65</v>
      </c>
      <c r="F389" s="116">
        <v>334.5</v>
      </c>
      <c r="G389">
        <v>116004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42576</v>
      </c>
      <c r="B390" s="116">
        <v>338</v>
      </c>
      <c r="C390" s="116">
        <v>336.3</v>
      </c>
      <c r="D390" s="116">
        <v>329.2</v>
      </c>
      <c r="E390" s="116">
        <v>338</v>
      </c>
      <c r="F390" s="116">
        <v>336.3</v>
      </c>
      <c r="G390">
        <v>74021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42577</v>
      </c>
      <c r="B391" s="116">
        <v>346.9</v>
      </c>
      <c r="C391" s="116">
        <v>342.1</v>
      </c>
      <c r="D391" s="116">
        <v>336.3</v>
      </c>
      <c r="E391" s="116">
        <v>336.3</v>
      </c>
      <c r="F391" s="116">
        <v>342.1</v>
      </c>
      <c r="G391">
        <v>290730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42578</v>
      </c>
      <c r="B392" s="116">
        <v>349.15</v>
      </c>
      <c r="C392" s="116">
        <v>343.95</v>
      </c>
      <c r="D392" s="116">
        <v>341.6</v>
      </c>
      <c r="E392" s="116">
        <v>345.5</v>
      </c>
      <c r="F392" s="116">
        <v>343.95</v>
      </c>
      <c r="G392">
        <v>114034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42579</v>
      </c>
      <c r="B393" s="116">
        <v>349</v>
      </c>
      <c r="C393" s="116">
        <v>346.75</v>
      </c>
      <c r="D393" s="116">
        <v>341.05</v>
      </c>
      <c r="E393" s="116">
        <v>342.95</v>
      </c>
      <c r="F393" s="116">
        <v>346.75</v>
      </c>
      <c r="G393">
        <v>66495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42580</v>
      </c>
      <c r="B394" s="116">
        <v>354.5</v>
      </c>
      <c r="C394" s="116">
        <v>349.75</v>
      </c>
      <c r="D394" s="116">
        <v>344.75</v>
      </c>
      <c r="E394" s="116">
        <v>346.1</v>
      </c>
      <c r="F394" s="116">
        <v>349.75</v>
      </c>
      <c r="G394">
        <v>100572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42583</v>
      </c>
      <c r="B395" s="116">
        <v>374.7</v>
      </c>
      <c r="C395" s="116">
        <v>370.7</v>
      </c>
      <c r="D395" s="116">
        <v>350</v>
      </c>
      <c r="E395" s="116">
        <v>350</v>
      </c>
      <c r="F395" s="116">
        <v>370.7</v>
      </c>
      <c r="G395">
        <v>282545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42584</v>
      </c>
      <c r="B396" s="116">
        <v>376</v>
      </c>
      <c r="C396" s="116">
        <v>365.25</v>
      </c>
      <c r="D396" s="116">
        <v>359.5</v>
      </c>
      <c r="E396" s="116">
        <v>375.05</v>
      </c>
      <c r="F396" s="116">
        <v>365.25</v>
      </c>
      <c r="G396">
        <v>811709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42585</v>
      </c>
      <c r="B397" s="116">
        <v>360.6</v>
      </c>
      <c r="C397" s="116">
        <v>346.25</v>
      </c>
      <c r="D397" s="116">
        <v>342.55</v>
      </c>
      <c r="E397" s="116">
        <v>360</v>
      </c>
      <c r="F397" s="116">
        <v>346.25</v>
      </c>
      <c r="G397">
        <v>208373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42586</v>
      </c>
      <c r="B398" s="116">
        <v>356.5</v>
      </c>
      <c r="C398" s="116">
        <v>347.1</v>
      </c>
      <c r="D398" s="116">
        <v>343.35</v>
      </c>
      <c r="E398" s="116">
        <v>353.5</v>
      </c>
      <c r="F398" s="116">
        <v>347.1</v>
      </c>
      <c r="G398">
        <v>217096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42587</v>
      </c>
      <c r="B399" s="116">
        <v>352</v>
      </c>
      <c r="C399" s="116">
        <v>348.6</v>
      </c>
      <c r="D399" s="116">
        <v>345.8</v>
      </c>
      <c r="E399" s="116">
        <v>348.1</v>
      </c>
      <c r="F399" s="116">
        <v>348.6</v>
      </c>
      <c r="G399">
        <v>169417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42590</v>
      </c>
      <c r="B400" s="116">
        <v>355.55</v>
      </c>
      <c r="C400" s="116">
        <v>351.75</v>
      </c>
      <c r="D400" s="116">
        <v>349.45</v>
      </c>
      <c r="E400" s="116">
        <v>351.9</v>
      </c>
      <c r="F400" s="116">
        <v>351.75</v>
      </c>
      <c r="G400">
        <v>164990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42591</v>
      </c>
      <c r="B401" s="116">
        <v>352.8</v>
      </c>
      <c r="C401" s="116">
        <v>347</v>
      </c>
      <c r="D401" s="116">
        <v>345.5</v>
      </c>
      <c r="E401" s="116">
        <v>352</v>
      </c>
      <c r="F401" s="116">
        <v>347</v>
      </c>
      <c r="G401">
        <v>138529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42592</v>
      </c>
      <c r="B402" s="116">
        <v>351.9</v>
      </c>
      <c r="C402" s="116">
        <v>347.45</v>
      </c>
      <c r="D402" s="116">
        <v>344</v>
      </c>
      <c r="E402" s="116">
        <v>349.3</v>
      </c>
      <c r="F402" s="116">
        <v>347.45</v>
      </c>
      <c r="G402">
        <v>157591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42593</v>
      </c>
      <c r="B403" s="116">
        <v>362.4</v>
      </c>
      <c r="C403" s="116">
        <v>359.75</v>
      </c>
      <c r="D403" s="116">
        <v>345.8</v>
      </c>
      <c r="E403" s="116">
        <v>349.95</v>
      </c>
      <c r="F403" s="116">
        <v>359.75</v>
      </c>
      <c r="G403">
        <v>310052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42594</v>
      </c>
      <c r="B404" s="116">
        <v>366.5</v>
      </c>
      <c r="C404" s="116">
        <v>364.05</v>
      </c>
      <c r="D404" s="116">
        <v>361.3</v>
      </c>
      <c r="E404" s="116">
        <v>363.4</v>
      </c>
      <c r="F404" s="116">
        <v>364.05</v>
      </c>
      <c r="G404">
        <v>227644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42598</v>
      </c>
      <c r="B405" s="116">
        <v>372.5</v>
      </c>
      <c r="C405" s="116">
        <v>370.55</v>
      </c>
      <c r="D405" s="116">
        <v>363.55</v>
      </c>
      <c r="E405" s="116">
        <v>365.8</v>
      </c>
      <c r="F405" s="116">
        <v>370.55</v>
      </c>
      <c r="G405">
        <v>136787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42599</v>
      </c>
      <c r="B406" s="116">
        <v>373.9</v>
      </c>
      <c r="C406" s="116">
        <v>367.8</v>
      </c>
      <c r="D406" s="116">
        <v>364</v>
      </c>
      <c r="E406" s="116">
        <v>370</v>
      </c>
      <c r="F406" s="116">
        <v>367.8</v>
      </c>
      <c r="G406">
        <v>80449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42600</v>
      </c>
      <c r="B407" s="116">
        <v>369.6</v>
      </c>
      <c r="C407" s="116">
        <v>365.75</v>
      </c>
      <c r="D407" s="116">
        <v>364.5</v>
      </c>
      <c r="E407" s="116">
        <v>369.05</v>
      </c>
      <c r="F407" s="116">
        <v>365.75</v>
      </c>
      <c r="G407">
        <v>70289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42601</v>
      </c>
      <c r="B408" s="116">
        <v>384.25</v>
      </c>
      <c r="C408" s="116">
        <v>381.65</v>
      </c>
      <c r="D408" s="116">
        <v>366.65</v>
      </c>
      <c r="E408" s="116">
        <v>366.65</v>
      </c>
      <c r="F408" s="116">
        <v>381.65</v>
      </c>
      <c r="G408">
        <v>254515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42604</v>
      </c>
      <c r="B409" s="116">
        <v>386</v>
      </c>
      <c r="C409" s="116">
        <v>373.1</v>
      </c>
      <c r="D409" s="116">
        <v>372.4</v>
      </c>
      <c r="E409" s="116">
        <v>384</v>
      </c>
      <c r="F409" s="116">
        <v>373.1</v>
      </c>
      <c r="G409">
        <v>120765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42605</v>
      </c>
      <c r="B410" s="116">
        <v>377.7</v>
      </c>
      <c r="C410" s="116">
        <v>372.25</v>
      </c>
      <c r="D410" s="116">
        <v>369.5</v>
      </c>
      <c r="E410" s="116">
        <v>373.1</v>
      </c>
      <c r="F410" s="116">
        <v>372.25</v>
      </c>
      <c r="G410">
        <v>80887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42606</v>
      </c>
      <c r="B411" s="116">
        <v>389.4</v>
      </c>
      <c r="C411" s="116">
        <v>387.55</v>
      </c>
      <c r="D411" s="116">
        <v>372</v>
      </c>
      <c r="E411" s="116">
        <v>372</v>
      </c>
      <c r="F411" s="116">
        <v>387.55</v>
      </c>
      <c r="G411">
        <v>187317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42607</v>
      </c>
      <c r="B412" s="116">
        <v>391.9</v>
      </c>
      <c r="C412" s="116">
        <v>379.55</v>
      </c>
      <c r="D412" s="116">
        <v>378.1</v>
      </c>
      <c r="E412" s="116">
        <v>391.9</v>
      </c>
      <c r="F412" s="116">
        <v>379.55</v>
      </c>
      <c r="G412">
        <v>166772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42608</v>
      </c>
      <c r="B413" s="116">
        <v>393.9</v>
      </c>
      <c r="C413" s="116">
        <v>391.8</v>
      </c>
      <c r="D413" s="116">
        <v>379.55</v>
      </c>
      <c r="E413" s="116">
        <v>379.55</v>
      </c>
      <c r="F413" s="116">
        <v>391.8</v>
      </c>
      <c r="G413">
        <v>138609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42611</v>
      </c>
      <c r="B414" s="116">
        <v>395</v>
      </c>
      <c r="C414" s="116">
        <v>390.55</v>
      </c>
      <c r="D414" s="116">
        <v>386.3</v>
      </c>
      <c r="E414" s="116">
        <v>392</v>
      </c>
      <c r="F414" s="116">
        <v>390.55</v>
      </c>
      <c r="G414">
        <v>155011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42612</v>
      </c>
      <c r="B415" s="116">
        <v>396</v>
      </c>
      <c r="C415" s="116">
        <v>393.5</v>
      </c>
      <c r="D415" s="116">
        <v>390.75</v>
      </c>
      <c r="E415" s="116">
        <v>391.95</v>
      </c>
      <c r="F415" s="116">
        <v>393.5</v>
      </c>
      <c r="G415">
        <v>168437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42613</v>
      </c>
      <c r="B416" s="116">
        <v>402</v>
      </c>
      <c r="C416" s="116">
        <v>390.6</v>
      </c>
      <c r="D416" s="116">
        <v>389.6</v>
      </c>
      <c r="E416" s="116">
        <v>392</v>
      </c>
      <c r="F416" s="116">
        <v>390.6</v>
      </c>
      <c r="G416">
        <v>118310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42614</v>
      </c>
      <c r="B417" s="116">
        <v>395</v>
      </c>
      <c r="C417" s="116">
        <v>387.6</v>
      </c>
      <c r="D417" s="116">
        <v>385.3</v>
      </c>
      <c r="E417" s="116">
        <v>395</v>
      </c>
      <c r="F417" s="116">
        <v>387.6</v>
      </c>
      <c r="G417">
        <v>103627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42615</v>
      </c>
      <c r="B418" s="116">
        <v>391.7</v>
      </c>
      <c r="C418" s="116">
        <v>390.15</v>
      </c>
      <c r="D418" s="116">
        <v>387.5</v>
      </c>
      <c r="E418" s="116">
        <v>389.5</v>
      </c>
      <c r="F418" s="116">
        <v>390.15</v>
      </c>
      <c r="G418">
        <v>173841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42619</v>
      </c>
      <c r="B419" s="116">
        <v>394.45</v>
      </c>
      <c r="C419" s="116">
        <v>392.1</v>
      </c>
      <c r="D419" s="116">
        <v>389.1</v>
      </c>
      <c r="E419" s="116">
        <v>390</v>
      </c>
      <c r="F419" s="116">
        <v>392.1</v>
      </c>
      <c r="G419">
        <v>66447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42620</v>
      </c>
      <c r="B420" s="116">
        <v>395.8</v>
      </c>
      <c r="C420" s="116">
        <v>390.85</v>
      </c>
      <c r="D420" s="116">
        <v>389.6</v>
      </c>
      <c r="E420" s="116">
        <v>392.1</v>
      </c>
      <c r="F420" s="116">
        <v>390.85</v>
      </c>
      <c r="G420">
        <v>97656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42621</v>
      </c>
      <c r="B421" s="116">
        <v>392</v>
      </c>
      <c r="C421" s="116">
        <v>390.35</v>
      </c>
      <c r="D421" s="116">
        <v>386.35</v>
      </c>
      <c r="E421" s="116">
        <v>392</v>
      </c>
      <c r="F421" s="116">
        <v>390.35</v>
      </c>
      <c r="G421">
        <v>44643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42622</v>
      </c>
      <c r="B422" s="116">
        <v>393.7</v>
      </c>
      <c r="C422" s="116">
        <v>388.75</v>
      </c>
      <c r="D422" s="116">
        <v>386.5</v>
      </c>
      <c r="E422" s="116">
        <v>387</v>
      </c>
      <c r="F422" s="116">
        <v>388.75</v>
      </c>
      <c r="G422">
        <v>88357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42625</v>
      </c>
      <c r="B423" s="116">
        <v>385</v>
      </c>
      <c r="C423" s="116">
        <v>374.2</v>
      </c>
      <c r="D423" s="116">
        <v>372.6</v>
      </c>
      <c r="E423" s="116">
        <v>383</v>
      </c>
      <c r="F423" s="116">
        <v>374.2</v>
      </c>
      <c r="G423">
        <v>87864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42627</v>
      </c>
      <c r="B424" s="116">
        <v>378</v>
      </c>
      <c r="C424" s="116">
        <v>376.1</v>
      </c>
      <c r="D424" s="116">
        <v>368</v>
      </c>
      <c r="E424" s="116">
        <v>375</v>
      </c>
      <c r="F424" s="116">
        <v>376.1</v>
      </c>
      <c r="G424">
        <v>63410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42628</v>
      </c>
      <c r="B425" s="116">
        <v>386</v>
      </c>
      <c r="C425" s="116">
        <v>383.8</v>
      </c>
      <c r="D425" s="116">
        <v>371.5</v>
      </c>
      <c r="E425" s="116">
        <v>374.25</v>
      </c>
      <c r="F425" s="116">
        <v>383.8</v>
      </c>
      <c r="G425">
        <v>65878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42629</v>
      </c>
      <c r="B426" s="116">
        <v>388</v>
      </c>
      <c r="C426" s="116">
        <v>378.65</v>
      </c>
      <c r="D426" s="116">
        <v>374.5</v>
      </c>
      <c r="E426" s="116">
        <v>386.6</v>
      </c>
      <c r="F426" s="116">
        <v>378.65</v>
      </c>
      <c r="G426">
        <v>92250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42632</v>
      </c>
      <c r="B427" s="116">
        <v>393.75</v>
      </c>
      <c r="C427" s="116">
        <v>390.95</v>
      </c>
      <c r="D427" s="116">
        <v>377.75</v>
      </c>
      <c r="E427" s="116">
        <v>380</v>
      </c>
      <c r="F427" s="116">
        <v>390.95</v>
      </c>
      <c r="G427">
        <v>122662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42633</v>
      </c>
      <c r="B428" s="116">
        <v>395.4</v>
      </c>
      <c r="C428" s="116">
        <v>382.7</v>
      </c>
      <c r="D428" s="116">
        <v>381</v>
      </c>
      <c r="E428" s="116">
        <v>395.4</v>
      </c>
      <c r="F428" s="116">
        <v>382.7</v>
      </c>
      <c r="G428">
        <v>76584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42634</v>
      </c>
      <c r="B429" s="116">
        <v>384.4</v>
      </c>
      <c r="C429" s="116">
        <v>378.55</v>
      </c>
      <c r="D429" s="116">
        <v>377.15</v>
      </c>
      <c r="E429" s="116">
        <v>383</v>
      </c>
      <c r="F429" s="116">
        <v>378.55</v>
      </c>
      <c r="G429">
        <v>71445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42635</v>
      </c>
      <c r="B430" s="116">
        <v>385.5</v>
      </c>
      <c r="C430" s="116">
        <v>379.6</v>
      </c>
      <c r="D430" s="116">
        <v>376.05</v>
      </c>
      <c r="E430" s="116">
        <v>381.05</v>
      </c>
      <c r="F430" s="116">
        <v>379.6</v>
      </c>
      <c r="G430">
        <v>93671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42636</v>
      </c>
      <c r="B431" s="116">
        <v>386.5</v>
      </c>
      <c r="C431" s="116">
        <v>382.1</v>
      </c>
      <c r="D431" s="116">
        <v>378.9</v>
      </c>
      <c r="E431" s="116">
        <v>380</v>
      </c>
      <c r="F431" s="116">
        <v>382.1</v>
      </c>
      <c r="G431">
        <v>63765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42639</v>
      </c>
      <c r="B432" s="116">
        <v>383.4</v>
      </c>
      <c r="C432" s="116">
        <v>377.9</v>
      </c>
      <c r="D432" s="116">
        <v>375.75</v>
      </c>
      <c r="E432" s="116">
        <v>383</v>
      </c>
      <c r="F432" s="116">
        <v>377.9</v>
      </c>
      <c r="G432">
        <v>60618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42640</v>
      </c>
      <c r="B433" s="116">
        <v>384.85</v>
      </c>
      <c r="C433" s="116">
        <v>381.25</v>
      </c>
      <c r="D433" s="116">
        <v>379.15</v>
      </c>
      <c r="E433" s="116">
        <v>380</v>
      </c>
      <c r="F433" s="116">
        <v>381.25</v>
      </c>
      <c r="G433">
        <v>65612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42641</v>
      </c>
      <c r="B434" s="116">
        <v>384</v>
      </c>
      <c r="C434" s="116">
        <v>381.3</v>
      </c>
      <c r="D434" s="116">
        <v>378</v>
      </c>
      <c r="E434" s="116">
        <v>381.25</v>
      </c>
      <c r="F434" s="116">
        <v>381.3</v>
      </c>
      <c r="G434">
        <v>65721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42642</v>
      </c>
      <c r="B435" s="116">
        <v>385.05</v>
      </c>
      <c r="C435" s="116">
        <v>368.2</v>
      </c>
      <c r="D435" s="116">
        <v>359.7</v>
      </c>
      <c r="E435" s="116">
        <v>381</v>
      </c>
      <c r="F435" s="116">
        <v>368.2</v>
      </c>
      <c r="G435">
        <v>82386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42643</v>
      </c>
      <c r="B436" s="116">
        <v>380.55</v>
      </c>
      <c r="C436" s="116">
        <v>379.5</v>
      </c>
      <c r="D436" s="116">
        <v>366.45</v>
      </c>
      <c r="E436" s="116">
        <v>370</v>
      </c>
      <c r="F436" s="116">
        <v>379.5</v>
      </c>
      <c r="G436">
        <v>70576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42646</v>
      </c>
      <c r="B437" s="116">
        <v>391</v>
      </c>
      <c r="C437" s="116">
        <v>388.65</v>
      </c>
      <c r="D437" s="116">
        <v>380</v>
      </c>
      <c r="E437" s="116">
        <v>381</v>
      </c>
      <c r="F437" s="116">
        <v>388.65</v>
      </c>
      <c r="G437">
        <v>135636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42647</v>
      </c>
      <c r="B438" s="116">
        <v>399</v>
      </c>
      <c r="C438" s="116">
        <v>396.4</v>
      </c>
      <c r="D438" s="116">
        <v>386.3</v>
      </c>
      <c r="E438" s="116">
        <v>395</v>
      </c>
      <c r="F438" s="116">
        <v>396.4</v>
      </c>
      <c r="G438">
        <v>178482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42648</v>
      </c>
      <c r="B439" s="116">
        <v>404</v>
      </c>
      <c r="C439" s="116">
        <v>395.4</v>
      </c>
      <c r="D439" s="116">
        <v>392.25</v>
      </c>
      <c r="E439" s="116">
        <v>400.3</v>
      </c>
      <c r="F439" s="116">
        <v>395.4</v>
      </c>
      <c r="G439">
        <v>324119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42649</v>
      </c>
      <c r="B440" s="116">
        <v>399.35</v>
      </c>
      <c r="C440" s="116">
        <v>388.8</v>
      </c>
      <c r="D440" s="116">
        <v>385</v>
      </c>
      <c r="E440" s="116">
        <v>395.3</v>
      </c>
      <c r="F440" s="116">
        <v>388.8</v>
      </c>
      <c r="G440">
        <v>130653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42650</v>
      </c>
      <c r="B441" s="116">
        <v>392.45</v>
      </c>
      <c r="C441" s="116">
        <v>388.1</v>
      </c>
      <c r="D441" s="116">
        <v>382</v>
      </c>
      <c r="E441" s="116">
        <v>386.25</v>
      </c>
      <c r="F441" s="116">
        <v>388.1</v>
      </c>
      <c r="G441">
        <v>132803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42653</v>
      </c>
      <c r="B442" s="116">
        <v>394.6</v>
      </c>
      <c r="C442" s="116">
        <v>388.95</v>
      </c>
      <c r="D442" s="116">
        <v>387.75</v>
      </c>
      <c r="E442" s="116">
        <v>392.2</v>
      </c>
      <c r="F442" s="116">
        <v>388.95</v>
      </c>
      <c r="G442">
        <v>112058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42656</v>
      </c>
      <c r="B443" s="116">
        <v>389.5</v>
      </c>
      <c r="C443" s="116">
        <v>380.35</v>
      </c>
      <c r="D443" s="116">
        <v>377</v>
      </c>
      <c r="E443" s="116">
        <v>389.5</v>
      </c>
      <c r="F443" s="116">
        <v>380.35</v>
      </c>
      <c r="G443">
        <v>88167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42657</v>
      </c>
      <c r="B444" s="116">
        <v>399.9</v>
      </c>
      <c r="C444" s="116">
        <v>397</v>
      </c>
      <c r="D444" s="116">
        <v>378</v>
      </c>
      <c r="E444" s="116">
        <v>380</v>
      </c>
      <c r="F444" s="116">
        <v>397</v>
      </c>
      <c r="G444">
        <v>164202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42660</v>
      </c>
      <c r="B445" s="116">
        <v>405</v>
      </c>
      <c r="C445" s="116">
        <v>391.8</v>
      </c>
      <c r="D445" s="116">
        <v>389.4</v>
      </c>
      <c r="E445" s="116">
        <v>397.5</v>
      </c>
      <c r="F445" s="116">
        <v>391.8</v>
      </c>
      <c r="G445">
        <v>175397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42661</v>
      </c>
      <c r="B446" s="116">
        <v>401.95</v>
      </c>
      <c r="C446" s="116">
        <v>399.25</v>
      </c>
      <c r="D446" s="116">
        <v>394.4</v>
      </c>
      <c r="E446" s="116">
        <v>398</v>
      </c>
      <c r="F446" s="116">
        <v>399.25</v>
      </c>
      <c r="G446">
        <v>75246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42662</v>
      </c>
      <c r="B447" s="116">
        <v>406</v>
      </c>
      <c r="C447" s="116">
        <v>402.2</v>
      </c>
      <c r="D447" s="116">
        <v>395.15</v>
      </c>
      <c r="E447" s="116">
        <v>397</v>
      </c>
      <c r="F447" s="116">
        <v>402.2</v>
      </c>
      <c r="G447">
        <v>88590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42663</v>
      </c>
      <c r="B448" s="116">
        <v>406</v>
      </c>
      <c r="C448" s="116">
        <v>396.6</v>
      </c>
      <c r="D448" s="116">
        <v>395.15</v>
      </c>
      <c r="E448" s="116">
        <v>405</v>
      </c>
      <c r="F448" s="116">
        <v>396.6</v>
      </c>
      <c r="G448">
        <v>49670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42664</v>
      </c>
      <c r="B449" s="116">
        <v>398.85</v>
      </c>
      <c r="C449" s="116">
        <v>393.9</v>
      </c>
      <c r="D449" s="116">
        <v>390.5</v>
      </c>
      <c r="E449" s="116">
        <v>396.05</v>
      </c>
      <c r="F449" s="116">
        <v>393.9</v>
      </c>
      <c r="G449">
        <v>56508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42667</v>
      </c>
      <c r="B450" s="116">
        <v>402</v>
      </c>
      <c r="C450" s="116">
        <v>393.45</v>
      </c>
      <c r="D450" s="116">
        <v>391.05</v>
      </c>
      <c r="E450" s="116">
        <v>402</v>
      </c>
      <c r="F450" s="116">
        <v>393.45</v>
      </c>
      <c r="G450">
        <v>95418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42668</v>
      </c>
      <c r="B451" s="116">
        <v>401.85</v>
      </c>
      <c r="C451" s="116">
        <v>397.75</v>
      </c>
      <c r="D451" s="116">
        <v>383.8</v>
      </c>
      <c r="E451" s="116">
        <v>392</v>
      </c>
      <c r="F451" s="116">
        <v>397.75</v>
      </c>
      <c r="G451">
        <v>178990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42669</v>
      </c>
      <c r="B452" s="116">
        <v>397.9</v>
      </c>
      <c r="C452" s="116">
        <v>385</v>
      </c>
      <c r="D452" s="116">
        <v>381</v>
      </c>
      <c r="E452" s="116">
        <v>395.5</v>
      </c>
      <c r="F452" s="116">
        <v>385</v>
      </c>
      <c r="G452">
        <v>88729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42670</v>
      </c>
      <c r="B453" s="116">
        <v>388.25</v>
      </c>
      <c r="C453" s="116">
        <v>381.55</v>
      </c>
      <c r="D453" s="116">
        <v>378</v>
      </c>
      <c r="E453" s="116">
        <v>383</v>
      </c>
      <c r="F453" s="116">
        <v>381.55</v>
      </c>
      <c r="G453">
        <v>65718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42671</v>
      </c>
      <c r="B454" s="116">
        <v>389</v>
      </c>
      <c r="C454" s="116">
        <v>387.45</v>
      </c>
      <c r="D454" s="116">
        <v>381.75</v>
      </c>
      <c r="E454" s="116">
        <v>388.8</v>
      </c>
      <c r="F454" s="116">
        <v>387.45</v>
      </c>
      <c r="G454">
        <v>58075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42673</v>
      </c>
      <c r="B455" s="116">
        <v>394</v>
      </c>
      <c r="C455" s="116">
        <v>387.15</v>
      </c>
      <c r="D455" s="116">
        <v>384.95</v>
      </c>
      <c r="E455" s="116">
        <v>389.9</v>
      </c>
      <c r="F455" s="116">
        <v>387.15</v>
      </c>
      <c r="G455">
        <v>10580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42675</v>
      </c>
      <c r="B456" s="116">
        <v>387.75</v>
      </c>
      <c r="C456" s="116">
        <v>385.1</v>
      </c>
      <c r="D456" s="116">
        <v>381.6</v>
      </c>
      <c r="E456" s="116">
        <v>385</v>
      </c>
      <c r="F456" s="116">
        <v>385.1</v>
      </c>
      <c r="G456">
        <v>54484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42676</v>
      </c>
      <c r="B457" s="116">
        <v>380</v>
      </c>
      <c r="C457" s="116">
        <v>373.15</v>
      </c>
      <c r="D457" s="116">
        <v>370.95</v>
      </c>
      <c r="E457" s="116">
        <v>380</v>
      </c>
      <c r="F457" s="116">
        <v>373.15</v>
      </c>
      <c r="G457">
        <v>43734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42677</v>
      </c>
      <c r="B458" s="116">
        <v>372.7</v>
      </c>
      <c r="C458" s="116">
        <v>364.4</v>
      </c>
      <c r="D458" s="116">
        <v>362.1</v>
      </c>
      <c r="E458" s="116">
        <v>370</v>
      </c>
      <c r="F458" s="116">
        <v>364.4</v>
      </c>
      <c r="G458">
        <v>56106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42678</v>
      </c>
      <c r="B459" s="116">
        <v>370.75</v>
      </c>
      <c r="C459" s="116">
        <v>359.75</v>
      </c>
      <c r="D459" s="116">
        <v>357.5</v>
      </c>
      <c r="E459" s="116">
        <v>367.85</v>
      </c>
      <c r="F459" s="116">
        <v>359.75</v>
      </c>
      <c r="G459">
        <v>126927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42681</v>
      </c>
      <c r="B460" s="116">
        <v>374</v>
      </c>
      <c r="C460" s="116">
        <v>358.85</v>
      </c>
      <c r="D460" s="116">
        <v>356.25</v>
      </c>
      <c r="E460" s="116">
        <v>374</v>
      </c>
      <c r="F460" s="116">
        <v>358.85</v>
      </c>
      <c r="G460">
        <v>55074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42682</v>
      </c>
      <c r="B461" s="116">
        <v>361.75</v>
      </c>
      <c r="C461" s="116">
        <v>357.4</v>
      </c>
      <c r="D461" s="116">
        <v>351.5</v>
      </c>
      <c r="E461" s="116">
        <v>360</v>
      </c>
      <c r="F461" s="116">
        <v>357.4</v>
      </c>
      <c r="G461">
        <v>47923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42683</v>
      </c>
      <c r="B462" s="116">
        <v>350</v>
      </c>
      <c r="C462" s="116">
        <v>338.9</v>
      </c>
      <c r="D462" s="116">
        <v>321.85000000000002</v>
      </c>
      <c r="E462" s="116">
        <v>350</v>
      </c>
      <c r="F462" s="116">
        <v>338.9</v>
      </c>
      <c r="G462">
        <v>125574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42684</v>
      </c>
      <c r="B463" s="116">
        <v>357.45</v>
      </c>
      <c r="C463" s="116">
        <v>350.1</v>
      </c>
      <c r="D463" s="116">
        <v>346.25</v>
      </c>
      <c r="E463" s="116">
        <v>346.65</v>
      </c>
      <c r="F463" s="116">
        <v>350.1</v>
      </c>
      <c r="G463">
        <v>66313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42685</v>
      </c>
      <c r="B464" s="116">
        <v>355.35</v>
      </c>
      <c r="C464" s="116">
        <v>333.45</v>
      </c>
      <c r="D464" s="116">
        <v>329</v>
      </c>
      <c r="E464" s="116">
        <v>355.35</v>
      </c>
      <c r="F464" s="116">
        <v>333.45</v>
      </c>
      <c r="G464">
        <v>136497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42689</v>
      </c>
      <c r="B465" s="116">
        <v>342</v>
      </c>
      <c r="C465" s="116">
        <v>321.39999999999998</v>
      </c>
      <c r="D465" s="116">
        <v>311.25</v>
      </c>
      <c r="E465" s="116">
        <v>342</v>
      </c>
      <c r="F465" s="116">
        <v>321.39999999999998</v>
      </c>
      <c r="G465">
        <v>100692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42690</v>
      </c>
      <c r="B466" s="116">
        <v>353</v>
      </c>
      <c r="C466" s="116">
        <v>328.25</v>
      </c>
      <c r="D466" s="116">
        <v>315.89999999999998</v>
      </c>
      <c r="E466" s="116">
        <v>353</v>
      </c>
      <c r="F466" s="116">
        <v>328.25</v>
      </c>
      <c r="G466">
        <v>170750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42691</v>
      </c>
      <c r="B467" s="116">
        <v>326.89999999999998</v>
      </c>
      <c r="C467" s="116">
        <v>302.64999999999998</v>
      </c>
      <c r="D467" s="116">
        <v>297.75</v>
      </c>
      <c r="E467" s="116">
        <v>326.89999999999998</v>
      </c>
      <c r="F467" s="116">
        <v>302.64999999999998</v>
      </c>
      <c r="G467">
        <v>505033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42692</v>
      </c>
      <c r="B468" s="116">
        <v>302</v>
      </c>
      <c r="C468" s="116">
        <v>293</v>
      </c>
      <c r="D468" s="116">
        <v>291.39999999999998</v>
      </c>
      <c r="E468" s="116">
        <v>302</v>
      </c>
      <c r="F468" s="116">
        <v>293</v>
      </c>
      <c r="G468">
        <v>249845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42695</v>
      </c>
      <c r="B469" s="116">
        <v>303.95</v>
      </c>
      <c r="C469" s="116">
        <v>295.7</v>
      </c>
      <c r="D469" s="116">
        <v>292.2</v>
      </c>
      <c r="E469" s="116">
        <v>292.55</v>
      </c>
      <c r="F469" s="116">
        <v>295.7</v>
      </c>
      <c r="G469">
        <v>216020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42696</v>
      </c>
      <c r="B470" s="116">
        <v>305</v>
      </c>
      <c r="C470" s="116">
        <v>301.7</v>
      </c>
      <c r="D470" s="116">
        <v>287</v>
      </c>
      <c r="E470" s="116">
        <v>299</v>
      </c>
      <c r="F470" s="116">
        <v>301.7</v>
      </c>
      <c r="G470">
        <v>193340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42697</v>
      </c>
      <c r="B471" s="116">
        <v>308.45</v>
      </c>
      <c r="C471" s="116">
        <v>299</v>
      </c>
      <c r="D471" s="116">
        <v>295.60000000000002</v>
      </c>
      <c r="E471" s="116">
        <v>308.45</v>
      </c>
      <c r="F471" s="116">
        <v>299</v>
      </c>
      <c r="G471">
        <v>132330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42698</v>
      </c>
      <c r="B472" s="116">
        <v>301.75</v>
      </c>
      <c r="C472" s="116">
        <v>299.10000000000002</v>
      </c>
      <c r="D472" s="116">
        <v>293.64999999999998</v>
      </c>
      <c r="E472" s="116">
        <v>298.95</v>
      </c>
      <c r="F472" s="116">
        <v>299.10000000000002</v>
      </c>
      <c r="G472">
        <v>82648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42699</v>
      </c>
      <c r="B473" s="116">
        <v>302.89999999999998</v>
      </c>
      <c r="C473" s="116">
        <v>300.3</v>
      </c>
      <c r="D473" s="116">
        <v>296.3</v>
      </c>
      <c r="E473" s="116">
        <v>300.60000000000002</v>
      </c>
      <c r="F473" s="116">
        <v>300.3</v>
      </c>
      <c r="G473">
        <v>86120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42702</v>
      </c>
      <c r="B474" s="116">
        <v>305.8</v>
      </c>
      <c r="C474" s="116">
        <v>300.55</v>
      </c>
      <c r="D474" s="116">
        <v>297.85000000000002</v>
      </c>
      <c r="E474" s="116">
        <v>301</v>
      </c>
      <c r="F474" s="116">
        <v>300.55</v>
      </c>
      <c r="G474">
        <v>99724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42703</v>
      </c>
      <c r="B475" s="116">
        <v>311.25</v>
      </c>
      <c r="C475" s="116">
        <v>307.35000000000002</v>
      </c>
      <c r="D475" s="116">
        <v>300.25</v>
      </c>
      <c r="E475" s="116">
        <v>301.25</v>
      </c>
      <c r="F475" s="116">
        <v>307.35000000000002</v>
      </c>
      <c r="G475">
        <v>114570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42704</v>
      </c>
      <c r="B476" s="116">
        <v>316</v>
      </c>
      <c r="C476" s="116">
        <v>314.5</v>
      </c>
      <c r="D476" s="116">
        <v>309.85000000000002</v>
      </c>
      <c r="E476" s="116">
        <v>312.3</v>
      </c>
      <c r="F476" s="116">
        <v>314.5</v>
      </c>
      <c r="G476">
        <v>100994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42705</v>
      </c>
      <c r="B477" s="116">
        <v>319.89999999999998</v>
      </c>
      <c r="C477" s="116">
        <v>307.8</v>
      </c>
      <c r="D477" s="116">
        <v>306.25</v>
      </c>
      <c r="E477" s="116">
        <v>319.85000000000002</v>
      </c>
      <c r="F477" s="116">
        <v>307.8</v>
      </c>
      <c r="G477">
        <v>95464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42706</v>
      </c>
      <c r="B478" s="116">
        <v>310.35000000000002</v>
      </c>
      <c r="C478" s="116">
        <v>306.14999999999998</v>
      </c>
      <c r="D478" s="116">
        <v>303.14999999999998</v>
      </c>
      <c r="E478" s="116">
        <v>307.8</v>
      </c>
      <c r="F478" s="116">
        <v>306.14999999999998</v>
      </c>
      <c r="G478">
        <v>105336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42709</v>
      </c>
      <c r="B479" s="116">
        <v>310.10000000000002</v>
      </c>
      <c r="C479" s="116">
        <v>304.64999999999998</v>
      </c>
      <c r="D479" s="116">
        <v>303.85000000000002</v>
      </c>
      <c r="E479" s="116">
        <v>308.45</v>
      </c>
      <c r="F479" s="116">
        <v>304.64999999999998</v>
      </c>
      <c r="G479">
        <v>38883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42710</v>
      </c>
      <c r="B480" s="116">
        <v>310</v>
      </c>
      <c r="C480" s="116">
        <v>304.60000000000002</v>
      </c>
      <c r="D480" s="116">
        <v>300.39999999999998</v>
      </c>
      <c r="E480" s="116">
        <v>306</v>
      </c>
      <c r="F480" s="116">
        <v>304.60000000000002</v>
      </c>
      <c r="G480">
        <v>72034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42711</v>
      </c>
      <c r="B481" s="116">
        <v>312.5</v>
      </c>
      <c r="C481" s="116">
        <v>310.39999999999998</v>
      </c>
      <c r="D481" s="116">
        <v>300.7</v>
      </c>
      <c r="E481" s="116">
        <v>306.10000000000002</v>
      </c>
      <c r="F481" s="116">
        <v>310.39999999999998</v>
      </c>
      <c r="G481">
        <v>120048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42712</v>
      </c>
      <c r="B482" s="116">
        <v>327.9</v>
      </c>
      <c r="C482" s="116">
        <v>323.45</v>
      </c>
      <c r="D482" s="116">
        <v>314.95</v>
      </c>
      <c r="E482" s="116">
        <v>315.2</v>
      </c>
      <c r="F482" s="116">
        <v>323.45</v>
      </c>
      <c r="G482">
        <v>251736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42713</v>
      </c>
      <c r="B483" s="116">
        <v>329.8</v>
      </c>
      <c r="C483" s="116">
        <v>326.14999999999998</v>
      </c>
      <c r="D483" s="116">
        <v>320.89999999999998</v>
      </c>
      <c r="E483" s="116">
        <v>323.05</v>
      </c>
      <c r="F483" s="116">
        <v>326.14999999999998</v>
      </c>
      <c r="G483">
        <v>86416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42716</v>
      </c>
      <c r="B484" s="116">
        <v>326.39999999999998</v>
      </c>
      <c r="C484" s="116">
        <v>317.95</v>
      </c>
      <c r="D484" s="116">
        <v>316.2</v>
      </c>
      <c r="E484" s="116">
        <v>323</v>
      </c>
      <c r="F484" s="116">
        <v>317.95</v>
      </c>
      <c r="G484">
        <v>64319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42717</v>
      </c>
      <c r="B485" s="116">
        <v>324</v>
      </c>
      <c r="C485" s="116">
        <v>320.55</v>
      </c>
      <c r="D485" s="116">
        <v>317.60000000000002</v>
      </c>
      <c r="E485" s="116">
        <v>324</v>
      </c>
      <c r="F485" s="116">
        <v>320.55</v>
      </c>
      <c r="G485">
        <v>37038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42718</v>
      </c>
      <c r="B486" s="116">
        <v>325.2</v>
      </c>
      <c r="C486" s="116">
        <v>321.89999999999998</v>
      </c>
      <c r="D486" s="116">
        <v>319.5</v>
      </c>
      <c r="E486" s="116">
        <v>320</v>
      </c>
      <c r="F486" s="116">
        <v>321.89999999999998</v>
      </c>
      <c r="G486">
        <v>108712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42719</v>
      </c>
      <c r="B487" s="116">
        <v>325.5</v>
      </c>
      <c r="C487" s="116">
        <v>323.75</v>
      </c>
      <c r="D487" s="116">
        <v>317</v>
      </c>
      <c r="E487" s="116">
        <v>317</v>
      </c>
      <c r="F487" s="116">
        <v>323.75</v>
      </c>
      <c r="G487">
        <v>1068185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42720</v>
      </c>
      <c r="B488" s="116">
        <v>326.75</v>
      </c>
      <c r="C488" s="116">
        <v>319.05</v>
      </c>
      <c r="D488" s="116">
        <v>316.55</v>
      </c>
      <c r="E488" s="116">
        <v>320.7</v>
      </c>
      <c r="F488" s="116">
        <v>319.05</v>
      </c>
      <c r="G488">
        <v>27644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42723</v>
      </c>
      <c r="B489" s="116">
        <v>320.3</v>
      </c>
      <c r="C489" s="116">
        <v>317.8</v>
      </c>
      <c r="D489" s="116">
        <v>315.60000000000002</v>
      </c>
      <c r="E489" s="116">
        <v>317</v>
      </c>
      <c r="F489" s="116">
        <v>317.8</v>
      </c>
      <c r="G489">
        <v>25856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42724</v>
      </c>
      <c r="B490" s="116">
        <v>318.3</v>
      </c>
      <c r="C490" s="116">
        <v>308.10000000000002</v>
      </c>
      <c r="D490" s="116">
        <v>307.10000000000002</v>
      </c>
      <c r="E490" s="116">
        <v>318.05</v>
      </c>
      <c r="F490" s="116">
        <v>308.10000000000002</v>
      </c>
      <c r="G490">
        <v>70554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42725</v>
      </c>
      <c r="B491" s="116">
        <v>311.60000000000002</v>
      </c>
      <c r="C491" s="116">
        <v>309.5</v>
      </c>
      <c r="D491" s="116">
        <v>304.2</v>
      </c>
      <c r="E491" s="116">
        <v>308.10000000000002</v>
      </c>
      <c r="F491" s="116">
        <v>309.5</v>
      </c>
      <c r="G491">
        <v>45264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42726</v>
      </c>
      <c r="B492" s="116">
        <v>313.2</v>
      </c>
      <c r="C492" s="116">
        <v>310.64999999999998</v>
      </c>
      <c r="D492" s="116">
        <v>305.8</v>
      </c>
      <c r="E492" s="116">
        <v>310</v>
      </c>
      <c r="F492" s="116">
        <v>310.64999999999998</v>
      </c>
      <c r="G492">
        <v>51017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42727</v>
      </c>
      <c r="B493" s="116">
        <v>320</v>
      </c>
      <c r="C493" s="116">
        <v>315.45</v>
      </c>
      <c r="D493" s="116">
        <v>301</v>
      </c>
      <c r="E493" s="116">
        <v>312</v>
      </c>
      <c r="F493" s="116">
        <v>315.45</v>
      </c>
      <c r="G493">
        <v>109746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42730</v>
      </c>
      <c r="B494" s="116">
        <v>315.89999999999998</v>
      </c>
      <c r="C494" s="116">
        <v>309.75</v>
      </c>
      <c r="D494" s="116">
        <v>306.14999999999998</v>
      </c>
      <c r="E494" s="116">
        <v>315</v>
      </c>
      <c r="F494" s="116">
        <v>309.75</v>
      </c>
      <c r="G494">
        <v>66948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42731</v>
      </c>
      <c r="B495" s="116">
        <v>318</v>
      </c>
      <c r="C495" s="116">
        <v>317.35000000000002</v>
      </c>
      <c r="D495" s="116">
        <v>306</v>
      </c>
      <c r="E495" s="116">
        <v>308.89999999999998</v>
      </c>
      <c r="F495" s="116">
        <v>317.35000000000002</v>
      </c>
      <c r="G495">
        <v>58826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42732</v>
      </c>
      <c r="B496" s="116">
        <v>321.8</v>
      </c>
      <c r="C496" s="116">
        <v>316.64999999999998</v>
      </c>
      <c r="D496" s="116">
        <v>315.2</v>
      </c>
      <c r="E496" s="116">
        <v>318.39999999999998</v>
      </c>
      <c r="F496" s="116">
        <v>316.64999999999998</v>
      </c>
      <c r="G496">
        <v>50680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42733</v>
      </c>
      <c r="B497" s="116">
        <v>334</v>
      </c>
      <c r="C497" s="116">
        <v>328.65</v>
      </c>
      <c r="D497" s="116">
        <v>318</v>
      </c>
      <c r="E497" s="116">
        <v>318.8</v>
      </c>
      <c r="F497" s="116">
        <v>328.65</v>
      </c>
      <c r="G497">
        <v>89319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42734</v>
      </c>
      <c r="B498" s="116">
        <v>330.9</v>
      </c>
      <c r="C498" s="116">
        <v>328.25</v>
      </c>
      <c r="D498" s="116">
        <v>322.60000000000002</v>
      </c>
      <c r="E498" s="116">
        <v>329.8</v>
      </c>
      <c r="F498" s="116">
        <v>328.25</v>
      </c>
      <c r="G498">
        <v>88880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42737</v>
      </c>
      <c r="B499" s="116">
        <v>331.5</v>
      </c>
      <c r="C499" s="116">
        <v>328.75</v>
      </c>
      <c r="D499" s="116">
        <v>324.7</v>
      </c>
      <c r="E499" s="116">
        <v>325</v>
      </c>
      <c r="F499" s="116">
        <v>328.75</v>
      </c>
      <c r="G499">
        <v>75933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42738</v>
      </c>
      <c r="B500" s="116">
        <v>335.4</v>
      </c>
      <c r="C500" s="116">
        <v>332.15</v>
      </c>
      <c r="D500" s="116">
        <v>326.89999999999998</v>
      </c>
      <c r="E500" s="116">
        <v>329</v>
      </c>
      <c r="F500" s="116">
        <v>332.15</v>
      </c>
      <c r="G500">
        <v>80674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42739</v>
      </c>
      <c r="B501" s="116">
        <v>341</v>
      </c>
      <c r="C501" s="116">
        <v>334.7</v>
      </c>
      <c r="D501" s="116">
        <v>331.55</v>
      </c>
      <c r="E501" s="116">
        <v>338</v>
      </c>
      <c r="F501" s="116">
        <v>334.7</v>
      </c>
      <c r="G501">
        <v>140056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42740</v>
      </c>
      <c r="B502" s="116">
        <v>344.5</v>
      </c>
      <c r="C502" s="116">
        <v>343</v>
      </c>
      <c r="D502" s="116">
        <v>338.35</v>
      </c>
      <c r="E502" s="116">
        <v>338.35</v>
      </c>
      <c r="F502" s="116">
        <v>343</v>
      </c>
      <c r="G502">
        <v>56810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42741</v>
      </c>
      <c r="B503" s="116">
        <v>347.9</v>
      </c>
      <c r="C503" s="116">
        <v>336.2</v>
      </c>
      <c r="D503" s="116">
        <v>335.1</v>
      </c>
      <c r="E503" s="116">
        <v>345</v>
      </c>
      <c r="F503" s="116">
        <v>336.2</v>
      </c>
      <c r="G503">
        <v>62243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42744</v>
      </c>
      <c r="B504" s="116">
        <v>339.5</v>
      </c>
      <c r="C504" s="116">
        <v>337.4</v>
      </c>
      <c r="D504" s="116">
        <v>332.35</v>
      </c>
      <c r="E504" s="116">
        <v>337.9</v>
      </c>
      <c r="F504" s="116">
        <v>337.4</v>
      </c>
      <c r="G504">
        <v>1122315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42745</v>
      </c>
      <c r="B505" s="116">
        <v>347</v>
      </c>
      <c r="C505" s="116">
        <v>344</v>
      </c>
      <c r="D505" s="116">
        <v>337.1</v>
      </c>
      <c r="E505" s="116">
        <v>338.05</v>
      </c>
      <c r="F505" s="116">
        <v>344</v>
      </c>
      <c r="G505">
        <v>146485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42746</v>
      </c>
      <c r="B506" s="116">
        <v>349.5</v>
      </c>
      <c r="C506" s="116">
        <v>343.35</v>
      </c>
      <c r="D506" s="116">
        <v>341.35</v>
      </c>
      <c r="E506" s="116">
        <v>344</v>
      </c>
      <c r="F506" s="116">
        <v>343.35</v>
      </c>
      <c r="G506">
        <v>106116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42747</v>
      </c>
      <c r="B507" s="116">
        <v>344.4</v>
      </c>
      <c r="C507" s="116">
        <v>339.85</v>
      </c>
      <c r="D507" s="116">
        <v>339</v>
      </c>
      <c r="E507" s="116">
        <v>344.35</v>
      </c>
      <c r="F507" s="116">
        <v>339.85</v>
      </c>
      <c r="G507">
        <v>46662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42748</v>
      </c>
      <c r="B508" s="116">
        <v>345</v>
      </c>
      <c r="C508" s="116">
        <v>343.65</v>
      </c>
      <c r="D508" s="116">
        <v>341.2</v>
      </c>
      <c r="E508" s="116">
        <v>342</v>
      </c>
      <c r="F508" s="116">
        <v>343.65</v>
      </c>
      <c r="G508">
        <v>114002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42751</v>
      </c>
      <c r="B509" s="116">
        <v>347</v>
      </c>
      <c r="C509" s="116">
        <v>344.6</v>
      </c>
      <c r="D509" s="116">
        <v>340</v>
      </c>
      <c r="E509" s="116">
        <v>343.65</v>
      </c>
      <c r="F509" s="116">
        <v>344.6</v>
      </c>
      <c r="G509">
        <v>121172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42752</v>
      </c>
      <c r="B510" s="116">
        <v>348.2</v>
      </c>
      <c r="C510" s="116">
        <v>344.2</v>
      </c>
      <c r="D510" s="116">
        <v>342.35</v>
      </c>
      <c r="E510" s="116">
        <v>344.6</v>
      </c>
      <c r="F510" s="116">
        <v>344.2</v>
      </c>
      <c r="G510">
        <v>57968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42753</v>
      </c>
      <c r="B511" s="116">
        <v>351.75</v>
      </c>
      <c r="C511" s="116">
        <v>348.65</v>
      </c>
      <c r="D511" s="116">
        <v>343.5</v>
      </c>
      <c r="E511" s="116">
        <v>345</v>
      </c>
      <c r="F511" s="116">
        <v>348.65</v>
      </c>
      <c r="G511">
        <v>100095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42754</v>
      </c>
      <c r="B512" s="116">
        <v>355.85</v>
      </c>
      <c r="C512" s="116">
        <v>351.9</v>
      </c>
      <c r="D512" s="116">
        <v>350.35</v>
      </c>
      <c r="E512" s="116">
        <v>351</v>
      </c>
      <c r="F512" s="116">
        <v>351.9</v>
      </c>
      <c r="G512">
        <v>91226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42755</v>
      </c>
      <c r="B513" s="116">
        <v>354.55</v>
      </c>
      <c r="C513" s="116">
        <v>342.6</v>
      </c>
      <c r="D513" s="116">
        <v>341.65</v>
      </c>
      <c r="E513" s="116">
        <v>353.5</v>
      </c>
      <c r="F513" s="116">
        <v>342.6</v>
      </c>
      <c r="G513">
        <v>48302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42758</v>
      </c>
      <c r="B514" s="116">
        <v>344.55</v>
      </c>
      <c r="C514" s="116">
        <v>338.5</v>
      </c>
      <c r="D514" s="116">
        <v>337</v>
      </c>
      <c r="E514" s="116">
        <v>342</v>
      </c>
      <c r="F514" s="116">
        <v>338.5</v>
      </c>
      <c r="G514">
        <v>33887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42759</v>
      </c>
      <c r="B515" s="116">
        <v>338.4</v>
      </c>
      <c r="C515" s="116">
        <v>325.14999999999998</v>
      </c>
      <c r="D515" s="116">
        <v>324.10000000000002</v>
      </c>
      <c r="E515" s="116">
        <v>338</v>
      </c>
      <c r="F515" s="116">
        <v>325.14999999999998</v>
      </c>
      <c r="G515">
        <v>148343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42760</v>
      </c>
      <c r="B516" s="116">
        <v>326.7</v>
      </c>
      <c r="C516" s="116">
        <v>326</v>
      </c>
      <c r="D516" s="116">
        <v>321.3</v>
      </c>
      <c r="E516" s="116">
        <v>325</v>
      </c>
      <c r="F516" s="116">
        <v>326</v>
      </c>
      <c r="G516">
        <v>82548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42762</v>
      </c>
      <c r="B517" s="116">
        <v>339.9</v>
      </c>
      <c r="C517" s="116">
        <v>337</v>
      </c>
      <c r="D517" s="116">
        <v>327.9</v>
      </c>
      <c r="E517" s="116">
        <v>327.9</v>
      </c>
      <c r="F517" s="116">
        <v>337</v>
      </c>
      <c r="G517">
        <v>526343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42765</v>
      </c>
      <c r="B518" s="116">
        <v>342</v>
      </c>
      <c r="C518" s="116">
        <v>336.65</v>
      </c>
      <c r="D518" s="116">
        <v>334.85</v>
      </c>
      <c r="E518" s="116">
        <v>337</v>
      </c>
      <c r="F518" s="116">
        <v>336.65</v>
      </c>
      <c r="G518">
        <v>121831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42766</v>
      </c>
      <c r="B519" s="116">
        <v>337</v>
      </c>
      <c r="C519" s="116">
        <v>327.5</v>
      </c>
      <c r="D519" s="116">
        <v>325.8</v>
      </c>
      <c r="E519" s="116">
        <v>337</v>
      </c>
      <c r="F519" s="116">
        <v>327.5</v>
      </c>
      <c r="G519">
        <v>69615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42767</v>
      </c>
      <c r="B520" s="116">
        <v>335</v>
      </c>
      <c r="C520" s="116">
        <v>334.25</v>
      </c>
      <c r="D520" s="116">
        <v>321.10000000000002</v>
      </c>
      <c r="E520" s="116">
        <v>328.1</v>
      </c>
      <c r="F520" s="116">
        <v>334.25</v>
      </c>
      <c r="G520">
        <v>118523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42768</v>
      </c>
      <c r="B521" s="116">
        <v>334.1</v>
      </c>
      <c r="C521" s="116">
        <v>331.3</v>
      </c>
      <c r="D521" s="116">
        <v>327.64999999999998</v>
      </c>
      <c r="E521" s="116">
        <v>334.1</v>
      </c>
      <c r="F521" s="116">
        <v>331.3</v>
      </c>
      <c r="G521">
        <v>54360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42769</v>
      </c>
      <c r="B522" s="116">
        <v>332.5</v>
      </c>
      <c r="C522" s="116">
        <v>331.05</v>
      </c>
      <c r="D522" s="116">
        <v>326.55</v>
      </c>
      <c r="E522" s="116">
        <v>331.3</v>
      </c>
      <c r="F522" s="116">
        <v>331.05</v>
      </c>
      <c r="G522">
        <v>107318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42772</v>
      </c>
      <c r="B523" s="116">
        <v>338.2</v>
      </c>
      <c r="C523" s="116">
        <v>336.15</v>
      </c>
      <c r="D523" s="116">
        <v>331</v>
      </c>
      <c r="E523" s="116">
        <v>331</v>
      </c>
      <c r="F523" s="116">
        <v>336.15</v>
      </c>
      <c r="G523">
        <v>204354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42773</v>
      </c>
      <c r="B524" s="116">
        <v>337.95</v>
      </c>
      <c r="C524" s="116">
        <v>331.3</v>
      </c>
      <c r="D524" s="116">
        <v>329.7</v>
      </c>
      <c r="E524" s="116">
        <v>336</v>
      </c>
      <c r="F524" s="116">
        <v>331.3</v>
      </c>
      <c r="G524">
        <v>80220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42774</v>
      </c>
      <c r="B525" s="116">
        <v>336.4</v>
      </c>
      <c r="C525" s="116">
        <v>334.4</v>
      </c>
      <c r="D525" s="116">
        <v>330.75</v>
      </c>
      <c r="E525" s="116">
        <v>332.05</v>
      </c>
      <c r="F525" s="116">
        <v>334.4</v>
      </c>
      <c r="G525">
        <v>59740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42775</v>
      </c>
      <c r="B526" s="116">
        <v>345</v>
      </c>
      <c r="C526" s="116">
        <v>342.95</v>
      </c>
      <c r="D526" s="116">
        <v>336.15</v>
      </c>
      <c r="E526" s="116">
        <v>337</v>
      </c>
      <c r="F526" s="116">
        <v>342.95</v>
      </c>
      <c r="G526">
        <v>205088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42776</v>
      </c>
      <c r="B527" s="116">
        <v>349.9</v>
      </c>
      <c r="C527" s="116">
        <v>345.55</v>
      </c>
      <c r="D527" s="116">
        <v>344.65</v>
      </c>
      <c r="E527" s="116">
        <v>346.1</v>
      </c>
      <c r="F527" s="116">
        <v>345.55</v>
      </c>
      <c r="G527">
        <v>103618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42779</v>
      </c>
      <c r="B528" s="116">
        <v>348.6</v>
      </c>
      <c r="C528" s="116">
        <v>339.6</v>
      </c>
      <c r="D528" s="116">
        <v>333.3</v>
      </c>
      <c r="E528" s="116">
        <v>347.15</v>
      </c>
      <c r="F528" s="116">
        <v>339.6</v>
      </c>
      <c r="G528">
        <v>51867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42780</v>
      </c>
      <c r="B529" s="116">
        <v>344</v>
      </c>
      <c r="C529" s="116">
        <v>342</v>
      </c>
      <c r="D529" s="116">
        <v>336.3</v>
      </c>
      <c r="E529" s="116">
        <v>339.65</v>
      </c>
      <c r="F529" s="116">
        <v>342</v>
      </c>
      <c r="G529">
        <v>35119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42781</v>
      </c>
      <c r="B530" s="116">
        <v>353.5</v>
      </c>
      <c r="C530" s="116">
        <v>337.65</v>
      </c>
      <c r="D530" s="116">
        <v>336.5</v>
      </c>
      <c r="E530" s="116">
        <v>353.15</v>
      </c>
      <c r="F530" s="116">
        <v>337.65</v>
      </c>
      <c r="G530">
        <v>245669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42782</v>
      </c>
      <c r="B531" s="116">
        <v>346</v>
      </c>
      <c r="C531" s="116">
        <v>344.65</v>
      </c>
      <c r="D531" s="116">
        <v>337.5</v>
      </c>
      <c r="E531" s="116">
        <v>340</v>
      </c>
      <c r="F531" s="116">
        <v>344.65</v>
      </c>
      <c r="G531">
        <v>75995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42783</v>
      </c>
      <c r="B532" s="116">
        <v>349.8</v>
      </c>
      <c r="C532" s="116">
        <v>346.5</v>
      </c>
      <c r="D532" s="116">
        <v>343.15</v>
      </c>
      <c r="E532" s="116">
        <v>346.2</v>
      </c>
      <c r="F532" s="116">
        <v>346.5</v>
      </c>
      <c r="G532">
        <v>90017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42786</v>
      </c>
      <c r="B533" s="116">
        <v>350</v>
      </c>
      <c r="C533" s="116">
        <v>348.65</v>
      </c>
      <c r="D533" s="116">
        <v>345</v>
      </c>
      <c r="E533" s="116">
        <v>349.95</v>
      </c>
      <c r="F533" s="116">
        <v>348.65</v>
      </c>
      <c r="G533">
        <v>103208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42787</v>
      </c>
      <c r="B534" s="116">
        <v>363.9</v>
      </c>
      <c r="C534" s="116">
        <v>362.5</v>
      </c>
      <c r="D534" s="116">
        <v>350</v>
      </c>
      <c r="E534" s="116">
        <v>350</v>
      </c>
      <c r="F534" s="116">
        <v>362.5</v>
      </c>
      <c r="G534">
        <v>275865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42788</v>
      </c>
      <c r="B535" s="116">
        <v>366.55</v>
      </c>
      <c r="C535" s="116">
        <v>354.85</v>
      </c>
      <c r="D535" s="116">
        <v>352.45</v>
      </c>
      <c r="E535" s="116">
        <v>365.2</v>
      </c>
      <c r="F535" s="116">
        <v>354.85</v>
      </c>
      <c r="G535">
        <v>152362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42789</v>
      </c>
      <c r="B536" s="116">
        <v>363.45</v>
      </c>
      <c r="C536" s="116">
        <v>356.8</v>
      </c>
      <c r="D536" s="116">
        <v>354.8</v>
      </c>
      <c r="E536" s="116">
        <v>356</v>
      </c>
      <c r="F536" s="116">
        <v>356.8</v>
      </c>
      <c r="G536">
        <v>91463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42793</v>
      </c>
      <c r="B537" s="116">
        <v>372.3</v>
      </c>
      <c r="C537" s="116">
        <v>365.15</v>
      </c>
      <c r="D537" s="116">
        <v>358</v>
      </c>
      <c r="E537" s="116">
        <v>358</v>
      </c>
      <c r="F537" s="116">
        <v>365.15</v>
      </c>
      <c r="G537">
        <v>183760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42794</v>
      </c>
      <c r="B538" s="116">
        <v>372.95</v>
      </c>
      <c r="C538" s="116">
        <v>372</v>
      </c>
      <c r="D538" s="116">
        <v>364.2</v>
      </c>
      <c r="E538" s="116">
        <v>365.15</v>
      </c>
      <c r="F538" s="116">
        <v>372</v>
      </c>
      <c r="G538">
        <v>146987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42795</v>
      </c>
      <c r="B539" s="116">
        <v>380.7</v>
      </c>
      <c r="C539" s="116">
        <v>377.35</v>
      </c>
      <c r="D539" s="116">
        <v>373</v>
      </c>
      <c r="E539" s="116">
        <v>374.9</v>
      </c>
      <c r="F539" s="116">
        <v>377.35</v>
      </c>
      <c r="G539">
        <v>132233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42796</v>
      </c>
      <c r="B540" s="116">
        <v>382</v>
      </c>
      <c r="C540" s="116">
        <v>370.4</v>
      </c>
      <c r="D540" s="116">
        <v>369.05</v>
      </c>
      <c r="E540" s="116">
        <v>381</v>
      </c>
      <c r="F540" s="116">
        <v>370.4</v>
      </c>
      <c r="G540">
        <v>100419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42797</v>
      </c>
      <c r="B541" s="116">
        <v>373</v>
      </c>
      <c r="C541" s="116">
        <v>371.9</v>
      </c>
      <c r="D541" s="116">
        <v>366.6</v>
      </c>
      <c r="E541" s="116">
        <v>370</v>
      </c>
      <c r="F541" s="116">
        <v>371.9</v>
      </c>
      <c r="G541">
        <v>54915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42800</v>
      </c>
      <c r="B542" s="116">
        <v>384</v>
      </c>
      <c r="C542" s="116">
        <v>383.5</v>
      </c>
      <c r="D542" s="116">
        <v>367.9</v>
      </c>
      <c r="E542" s="116">
        <v>372</v>
      </c>
      <c r="F542" s="116">
        <v>383.5</v>
      </c>
      <c r="G542">
        <v>194571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42801</v>
      </c>
      <c r="B543" s="116">
        <v>389</v>
      </c>
      <c r="C543" s="116">
        <v>386.4</v>
      </c>
      <c r="D543" s="116">
        <v>381.25</v>
      </c>
      <c r="E543" s="116">
        <v>385</v>
      </c>
      <c r="F543" s="116">
        <v>386.4</v>
      </c>
      <c r="G543">
        <v>139702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42802</v>
      </c>
      <c r="B544" s="116">
        <v>387.95</v>
      </c>
      <c r="C544" s="116">
        <v>385.4</v>
      </c>
      <c r="D544" s="116">
        <v>376.55</v>
      </c>
      <c r="E544" s="116">
        <v>386</v>
      </c>
      <c r="F544" s="116">
        <v>385.4</v>
      </c>
      <c r="G544">
        <v>89958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42803</v>
      </c>
      <c r="B545" s="116">
        <v>388.85</v>
      </c>
      <c r="C545" s="116">
        <v>385.25</v>
      </c>
      <c r="D545" s="116">
        <v>382.3</v>
      </c>
      <c r="E545" s="116">
        <v>383.25</v>
      </c>
      <c r="F545" s="116">
        <v>385.25</v>
      </c>
      <c r="G545">
        <v>48214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42804</v>
      </c>
      <c r="B546" s="116">
        <v>387</v>
      </c>
      <c r="C546" s="116">
        <v>381.75</v>
      </c>
      <c r="D546" s="116">
        <v>380.2</v>
      </c>
      <c r="E546" s="116">
        <v>385</v>
      </c>
      <c r="F546" s="116">
        <v>381.75</v>
      </c>
      <c r="G546">
        <v>67995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42808</v>
      </c>
      <c r="B547" s="116">
        <v>389</v>
      </c>
      <c r="C547" s="116">
        <v>384.45</v>
      </c>
      <c r="D547" s="116">
        <v>382.3</v>
      </c>
      <c r="E547" s="116">
        <v>389</v>
      </c>
      <c r="F547" s="116">
        <v>384.45</v>
      </c>
      <c r="G547">
        <v>65059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42809</v>
      </c>
      <c r="B548" s="116">
        <v>393.25</v>
      </c>
      <c r="C548" s="116">
        <v>389.85</v>
      </c>
      <c r="D548" s="116">
        <v>384.3</v>
      </c>
      <c r="E548" s="116">
        <v>386</v>
      </c>
      <c r="F548" s="116">
        <v>389.85</v>
      </c>
      <c r="G548">
        <v>153437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42810</v>
      </c>
      <c r="B549" s="116">
        <v>394</v>
      </c>
      <c r="C549" s="116">
        <v>390</v>
      </c>
      <c r="D549" s="116">
        <v>388.05</v>
      </c>
      <c r="E549" s="116">
        <v>390</v>
      </c>
      <c r="F549" s="116">
        <v>390</v>
      </c>
      <c r="G549">
        <v>122139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42811</v>
      </c>
      <c r="B550" s="116">
        <v>392.85</v>
      </c>
      <c r="C550" s="116">
        <v>388.65</v>
      </c>
      <c r="D550" s="116">
        <v>385.2</v>
      </c>
      <c r="E550" s="116">
        <v>392</v>
      </c>
      <c r="F550" s="116">
        <v>388.65</v>
      </c>
      <c r="G550">
        <v>63704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42814</v>
      </c>
      <c r="B551" s="116">
        <v>392.8</v>
      </c>
      <c r="C551" s="116">
        <v>390.3</v>
      </c>
      <c r="D551" s="116">
        <v>387</v>
      </c>
      <c r="E551" s="116">
        <v>388</v>
      </c>
      <c r="F551" s="116">
        <v>390.3</v>
      </c>
      <c r="G551">
        <v>56949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42815</v>
      </c>
      <c r="B552" s="116">
        <v>394.7</v>
      </c>
      <c r="C552" s="116">
        <v>388.35</v>
      </c>
      <c r="D552" s="116">
        <v>386.8</v>
      </c>
      <c r="E552" s="116">
        <v>391</v>
      </c>
      <c r="F552" s="116">
        <v>388.35</v>
      </c>
      <c r="G552">
        <v>117731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42816</v>
      </c>
      <c r="B553" s="116">
        <v>386.6</v>
      </c>
      <c r="C553" s="116">
        <v>384.5</v>
      </c>
      <c r="D553" s="116">
        <v>382</v>
      </c>
      <c r="E553" s="116">
        <v>385.1</v>
      </c>
      <c r="F553" s="116">
        <v>384.5</v>
      </c>
      <c r="G553">
        <v>50091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42817</v>
      </c>
      <c r="B554" s="116">
        <v>388.15</v>
      </c>
      <c r="C554" s="116">
        <v>386.4</v>
      </c>
      <c r="D554" s="116">
        <v>383.25</v>
      </c>
      <c r="E554" s="116">
        <v>386.4</v>
      </c>
      <c r="F554" s="116">
        <v>386.4</v>
      </c>
      <c r="G554">
        <v>45023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42818</v>
      </c>
      <c r="B555" s="116">
        <v>391.9</v>
      </c>
      <c r="C555" s="116">
        <v>388.7</v>
      </c>
      <c r="D555" s="116">
        <v>386.95</v>
      </c>
      <c r="E555" s="116">
        <v>387</v>
      </c>
      <c r="F555" s="116">
        <v>388.7</v>
      </c>
      <c r="G555">
        <v>64839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42821</v>
      </c>
      <c r="B556" s="116">
        <v>391.6</v>
      </c>
      <c r="C556" s="116">
        <v>388.25</v>
      </c>
      <c r="D556" s="116">
        <v>384.1</v>
      </c>
      <c r="E556" s="116">
        <v>388</v>
      </c>
      <c r="F556" s="116">
        <v>388.25</v>
      </c>
      <c r="G556">
        <v>85630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42822</v>
      </c>
      <c r="B557" s="116">
        <v>393.6</v>
      </c>
      <c r="C557" s="116">
        <v>391.55</v>
      </c>
      <c r="D557" s="116">
        <v>387.65</v>
      </c>
      <c r="E557" s="116">
        <v>390</v>
      </c>
      <c r="F557" s="116">
        <v>391.55</v>
      </c>
      <c r="G557">
        <v>60375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42823</v>
      </c>
      <c r="B558" s="116">
        <v>414.3</v>
      </c>
      <c r="C558" s="116">
        <v>412.85</v>
      </c>
      <c r="D558" s="116">
        <v>393.05</v>
      </c>
      <c r="E558" s="116">
        <v>394</v>
      </c>
      <c r="F558" s="116">
        <v>412.85</v>
      </c>
      <c r="G558">
        <v>472200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42824</v>
      </c>
      <c r="B559" s="116">
        <v>424.9</v>
      </c>
      <c r="C559" s="116">
        <v>413.55</v>
      </c>
      <c r="D559" s="116">
        <v>411.7</v>
      </c>
      <c r="E559" s="116">
        <v>420</v>
      </c>
      <c r="F559" s="116">
        <v>413.55</v>
      </c>
      <c r="G559">
        <v>469923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42825</v>
      </c>
      <c r="B560" s="116">
        <v>416.7</v>
      </c>
      <c r="C560" s="116">
        <v>412.15</v>
      </c>
      <c r="D560" s="116">
        <v>410.45</v>
      </c>
      <c r="E560" s="116">
        <v>416.7</v>
      </c>
      <c r="F560" s="116">
        <v>412.15</v>
      </c>
      <c r="G560">
        <v>229409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42828</v>
      </c>
      <c r="B561" s="116">
        <v>418.4</v>
      </c>
      <c r="C561" s="116">
        <v>414.35</v>
      </c>
      <c r="D561" s="116">
        <v>413.15</v>
      </c>
      <c r="E561" s="116">
        <v>413.5</v>
      </c>
      <c r="F561" s="116">
        <v>414.35</v>
      </c>
      <c r="G561">
        <v>119950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42830</v>
      </c>
      <c r="B562" s="116">
        <v>419.6</v>
      </c>
      <c r="C562" s="116">
        <v>415.45</v>
      </c>
      <c r="D562" s="116">
        <v>414.1</v>
      </c>
      <c r="E562" s="116">
        <v>416</v>
      </c>
      <c r="F562" s="116">
        <v>415.45</v>
      </c>
      <c r="G562">
        <v>86557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42831</v>
      </c>
      <c r="B563" s="116">
        <v>414.8</v>
      </c>
      <c r="C563" s="116">
        <v>412.9</v>
      </c>
      <c r="D563" s="116">
        <v>410</v>
      </c>
      <c r="E563" s="116">
        <v>414.4</v>
      </c>
      <c r="F563" s="116">
        <v>412.9</v>
      </c>
      <c r="G563">
        <v>56559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42832</v>
      </c>
      <c r="B564" s="116">
        <v>416.65</v>
      </c>
      <c r="C564" s="116">
        <v>409.85</v>
      </c>
      <c r="D564" s="116">
        <v>408.6</v>
      </c>
      <c r="E564" s="116">
        <v>416</v>
      </c>
      <c r="F564" s="116">
        <v>409.85</v>
      </c>
      <c r="G564">
        <v>135322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42835</v>
      </c>
      <c r="B565" s="116">
        <v>420</v>
      </c>
      <c r="C565" s="116">
        <v>411.65</v>
      </c>
      <c r="D565" s="116">
        <v>407.85</v>
      </c>
      <c r="E565" s="116">
        <v>411</v>
      </c>
      <c r="F565" s="116">
        <v>411.65</v>
      </c>
      <c r="G565">
        <v>58177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42836</v>
      </c>
      <c r="B566" s="116">
        <v>416.9</v>
      </c>
      <c r="C566" s="116">
        <v>413.6</v>
      </c>
      <c r="D566" s="116">
        <v>410.65</v>
      </c>
      <c r="E566" s="116">
        <v>412.5</v>
      </c>
      <c r="F566" s="116">
        <v>413.6</v>
      </c>
      <c r="G566">
        <v>92243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42837</v>
      </c>
      <c r="B567" s="116">
        <v>415.7</v>
      </c>
      <c r="C567" s="116">
        <v>409.6</v>
      </c>
      <c r="D567" s="116">
        <v>406</v>
      </c>
      <c r="E567" s="116">
        <v>413.3</v>
      </c>
      <c r="F567" s="116">
        <v>409.6</v>
      </c>
      <c r="G567">
        <v>81707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42838</v>
      </c>
      <c r="B568" s="116">
        <v>410.4</v>
      </c>
      <c r="C568" s="116">
        <v>405.35</v>
      </c>
      <c r="D568" s="116">
        <v>404.1</v>
      </c>
      <c r="E568" s="116">
        <v>408.85</v>
      </c>
      <c r="F568" s="116">
        <v>405.35</v>
      </c>
      <c r="G568">
        <v>81521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42842</v>
      </c>
      <c r="B569" s="116">
        <v>411.05</v>
      </c>
      <c r="C569" s="116">
        <v>408.15</v>
      </c>
      <c r="D569" s="116">
        <v>401.25</v>
      </c>
      <c r="E569" s="116">
        <v>404</v>
      </c>
      <c r="F569" s="116">
        <v>408.15</v>
      </c>
      <c r="G569">
        <v>54677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42843</v>
      </c>
      <c r="B570" s="116">
        <v>415.35</v>
      </c>
      <c r="C570" s="116">
        <v>408</v>
      </c>
      <c r="D570" s="116">
        <v>406.5</v>
      </c>
      <c r="E570" s="116">
        <v>413.95</v>
      </c>
      <c r="F570" s="116">
        <v>408</v>
      </c>
      <c r="G570">
        <v>150584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42844</v>
      </c>
      <c r="B571" s="116">
        <v>415.05</v>
      </c>
      <c r="C571" s="116">
        <v>413.2</v>
      </c>
      <c r="D571" s="116">
        <v>401.3</v>
      </c>
      <c r="E571" s="116">
        <v>401.3</v>
      </c>
      <c r="F571" s="116">
        <v>413.2</v>
      </c>
      <c r="G571">
        <v>143389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42845</v>
      </c>
      <c r="B572" s="116">
        <v>420.35</v>
      </c>
      <c r="C572" s="116">
        <v>418.8</v>
      </c>
      <c r="D572" s="116">
        <v>412.75</v>
      </c>
      <c r="E572" s="116">
        <v>417</v>
      </c>
      <c r="F572" s="116">
        <v>418.8</v>
      </c>
      <c r="G572">
        <v>145015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42846</v>
      </c>
      <c r="B573" s="116">
        <v>424</v>
      </c>
      <c r="C573" s="116">
        <v>414.4</v>
      </c>
      <c r="D573" s="116">
        <v>411.25</v>
      </c>
      <c r="E573" s="116">
        <v>419.4</v>
      </c>
      <c r="F573" s="116">
        <v>414.4</v>
      </c>
      <c r="G573">
        <v>146590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42849</v>
      </c>
      <c r="B574" s="116">
        <v>417.5</v>
      </c>
      <c r="C574" s="116">
        <v>414.6</v>
      </c>
      <c r="D574" s="116">
        <v>412.4</v>
      </c>
      <c r="E574" s="116">
        <v>414.2</v>
      </c>
      <c r="F574" s="116">
        <v>414.6</v>
      </c>
      <c r="G574">
        <v>71208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42850</v>
      </c>
      <c r="B575" s="116">
        <v>421</v>
      </c>
      <c r="C575" s="116">
        <v>417.05</v>
      </c>
      <c r="D575" s="116">
        <v>415</v>
      </c>
      <c r="E575" s="116">
        <v>415</v>
      </c>
      <c r="F575" s="116">
        <v>417.05</v>
      </c>
      <c r="G575">
        <v>79628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42851</v>
      </c>
      <c r="B576" s="116">
        <v>419.5</v>
      </c>
      <c r="C576" s="116">
        <v>412</v>
      </c>
      <c r="D576" s="116">
        <v>407</v>
      </c>
      <c r="E576" s="116">
        <v>417.45</v>
      </c>
      <c r="F576" s="116">
        <v>412</v>
      </c>
      <c r="G576">
        <v>77736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42852</v>
      </c>
      <c r="B577" s="116">
        <v>415.25</v>
      </c>
      <c r="C577" s="116">
        <v>409.5</v>
      </c>
      <c r="D577" s="116">
        <v>408</v>
      </c>
      <c r="E577" s="116">
        <v>410</v>
      </c>
      <c r="F577" s="116">
        <v>409.5</v>
      </c>
      <c r="G577">
        <v>57659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42853</v>
      </c>
      <c r="B578" s="116">
        <v>413.5</v>
      </c>
      <c r="C578" s="116">
        <v>410.45</v>
      </c>
      <c r="D578" s="116">
        <v>409.4</v>
      </c>
      <c r="E578" s="116">
        <v>410</v>
      </c>
      <c r="F578" s="116">
        <v>410.45</v>
      </c>
      <c r="G578">
        <v>60015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42857</v>
      </c>
      <c r="B579" s="116">
        <v>419</v>
      </c>
      <c r="C579" s="116">
        <v>413.95</v>
      </c>
      <c r="D579" s="116">
        <v>410</v>
      </c>
      <c r="E579" s="116">
        <v>416</v>
      </c>
      <c r="F579" s="116">
        <v>413.95</v>
      </c>
      <c r="G579">
        <v>102812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42858</v>
      </c>
      <c r="B580" s="116">
        <v>418.45</v>
      </c>
      <c r="C580" s="116">
        <v>415.7</v>
      </c>
      <c r="D580" s="116">
        <v>413.55</v>
      </c>
      <c r="E580" s="116">
        <v>414</v>
      </c>
      <c r="F580" s="116">
        <v>415.7</v>
      </c>
      <c r="G580">
        <v>46429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42859</v>
      </c>
      <c r="B581" s="116">
        <v>427.8</v>
      </c>
      <c r="C581" s="116">
        <v>425.2</v>
      </c>
      <c r="D581" s="116">
        <v>416.5</v>
      </c>
      <c r="E581" s="116">
        <v>417</v>
      </c>
      <c r="F581" s="116">
        <v>425.2</v>
      </c>
      <c r="G581">
        <v>254530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42860</v>
      </c>
      <c r="B582" s="116">
        <v>429</v>
      </c>
      <c r="C582" s="116">
        <v>418.05</v>
      </c>
      <c r="D582" s="116">
        <v>416.35</v>
      </c>
      <c r="E582" s="116">
        <v>427</v>
      </c>
      <c r="F582" s="116">
        <v>418.05</v>
      </c>
      <c r="G582">
        <v>209791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42863</v>
      </c>
      <c r="B583" s="116">
        <v>425.7</v>
      </c>
      <c r="C583" s="116">
        <v>423.5</v>
      </c>
      <c r="D583" s="116">
        <v>419.9</v>
      </c>
      <c r="E583" s="116">
        <v>420.55</v>
      </c>
      <c r="F583" s="116">
        <v>423.5</v>
      </c>
      <c r="G583">
        <v>57706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42864</v>
      </c>
      <c r="B584" s="116">
        <v>433.4</v>
      </c>
      <c r="C584" s="116">
        <v>427.8</v>
      </c>
      <c r="D584" s="116">
        <v>425.05</v>
      </c>
      <c r="E584" s="116">
        <v>427.8</v>
      </c>
      <c r="F584" s="116">
        <v>427.8</v>
      </c>
      <c r="G584">
        <v>176815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42865</v>
      </c>
      <c r="B585" s="116">
        <v>443</v>
      </c>
      <c r="C585" s="116">
        <v>440.4</v>
      </c>
      <c r="D585" s="116">
        <v>429.9</v>
      </c>
      <c r="E585" s="116">
        <v>430</v>
      </c>
      <c r="F585" s="116">
        <v>440.4</v>
      </c>
      <c r="G585">
        <v>190087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42866</v>
      </c>
      <c r="B586" s="116">
        <v>446.2</v>
      </c>
      <c r="C586" s="116">
        <v>439.35</v>
      </c>
      <c r="D586" s="116">
        <v>438</v>
      </c>
      <c r="E586" s="116">
        <v>442</v>
      </c>
      <c r="F586" s="116">
        <v>439.35</v>
      </c>
      <c r="G586">
        <v>98598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42867</v>
      </c>
      <c r="B587" s="116">
        <v>442.55</v>
      </c>
      <c r="C587" s="116">
        <v>434.3</v>
      </c>
      <c r="D587" s="116">
        <v>432.55</v>
      </c>
      <c r="E587" s="116">
        <v>440.05</v>
      </c>
      <c r="F587" s="116">
        <v>434.3</v>
      </c>
      <c r="G587">
        <v>140935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42870</v>
      </c>
      <c r="B588" s="116">
        <v>437.25</v>
      </c>
      <c r="C588" s="116">
        <v>432.45</v>
      </c>
      <c r="D588" s="116">
        <v>430.55</v>
      </c>
      <c r="E588" s="116">
        <v>435</v>
      </c>
      <c r="F588" s="116">
        <v>432.45</v>
      </c>
      <c r="G588">
        <v>70320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42871</v>
      </c>
      <c r="B589" s="116">
        <v>438.3</v>
      </c>
      <c r="C589" s="116">
        <v>433.5</v>
      </c>
      <c r="D589" s="116">
        <v>431.2</v>
      </c>
      <c r="E589" s="116">
        <v>433.05</v>
      </c>
      <c r="F589" s="116">
        <v>433.5</v>
      </c>
      <c r="G589">
        <v>63704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42872</v>
      </c>
      <c r="B590" s="116">
        <v>433.85</v>
      </c>
      <c r="C590" s="116">
        <v>430.3</v>
      </c>
      <c r="D590" s="116">
        <v>427.95</v>
      </c>
      <c r="E590" s="116">
        <v>433</v>
      </c>
      <c r="F590" s="116">
        <v>430.3</v>
      </c>
      <c r="G590">
        <v>87577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42873</v>
      </c>
      <c r="B591" s="116">
        <v>435</v>
      </c>
      <c r="C591" s="116">
        <v>414.3</v>
      </c>
      <c r="D591" s="116">
        <v>413.15</v>
      </c>
      <c r="E591" s="116">
        <v>435</v>
      </c>
      <c r="F591" s="116">
        <v>414.3</v>
      </c>
      <c r="G591">
        <v>80872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42874</v>
      </c>
      <c r="B592" s="116">
        <v>420.65</v>
      </c>
      <c r="C592" s="116">
        <v>415.65</v>
      </c>
      <c r="D592" s="116">
        <v>411.6</v>
      </c>
      <c r="E592" s="116">
        <v>415</v>
      </c>
      <c r="F592" s="116">
        <v>415.65</v>
      </c>
      <c r="G592">
        <v>63495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42877</v>
      </c>
      <c r="B593" s="116">
        <v>419.55</v>
      </c>
      <c r="C593" s="116">
        <v>414.7</v>
      </c>
      <c r="D593" s="116">
        <v>413.35</v>
      </c>
      <c r="E593" s="116">
        <v>418.2</v>
      </c>
      <c r="F593" s="116">
        <v>414.7</v>
      </c>
      <c r="G593">
        <v>51197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42878</v>
      </c>
      <c r="B594" s="116">
        <v>419.6</v>
      </c>
      <c r="C594" s="116">
        <v>409.75</v>
      </c>
      <c r="D594" s="116">
        <v>403.5</v>
      </c>
      <c r="E594" s="116">
        <v>418</v>
      </c>
      <c r="F594" s="116">
        <v>409.75</v>
      </c>
      <c r="G594">
        <v>113631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42879</v>
      </c>
      <c r="B595" s="116">
        <v>451.25</v>
      </c>
      <c r="C595" s="116">
        <v>447.55</v>
      </c>
      <c r="D595" s="116">
        <v>421.4</v>
      </c>
      <c r="E595" s="116">
        <v>421.4</v>
      </c>
      <c r="F595" s="116">
        <v>447.55</v>
      </c>
      <c r="G595">
        <v>1319660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42880</v>
      </c>
      <c r="B596" s="116">
        <v>484</v>
      </c>
      <c r="C596" s="116">
        <v>475.5</v>
      </c>
      <c r="D596" s="116">
        <v>443.25</v>
      </c>
      <c r="E596" s="116">
        <v>450</v>
      </c>
      <c r="F596" s="116">
        <v>475.5</v>
      </c>
      <c r="G596">
        <v>679081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42881</v>
      </c>
      <c r="B597" s="116">
        <v>501.05</v>
      </c>
      <c r="C597" s="116">
        <v>498.6</v>
      </c>
      <c r="D597" s="116">
        <v>470.9</v>
      </c>
      <c r="E597" s="116">
        <v>472.45</v>
      </c>
      <c r="F597" s="116">
        <v>498.6</v>
      </c>
      <c r="G597">
        <v>640946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42884</v>
      </c>
      <c r="B598" s="116">
        <v>498.6</v>
      </c>
      <c r="C598" s="116">
        <v>484.8</v>
      </c>
      <c r="D598" s="116">
        <v>482.5</v>
      </c>
      <c r="E598" s="116">
        <v>498.6</v>
      </c>
      <c r="F598" s="116">
        <v>484.8</v>
      </c>
      <c r="G598">
        <v>129314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42885</v>
      </c>
      <c r="B599" s="116">
        <v>491</v>
      </c>
      <c r="C599" s="116">
        <v>486.3</v>
      </c>
      <c r="D599" s="116">
        <v>478.1</v>
      </c>
      <c r="E599" s="116">
        <v>479.75</v>
      </c>
      <c r="F599" s="116">
        <v>486.3</v>
      </c>
      <c r="G599">
        <v>84314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42886</v>
      </c>
      <c r="B600" s="116">
        <v>494</v>
      </c>
      <c r="C600" s="116">
        <v>486.4</v>
      </c>
      <c r="D600" s="116">
        <v>483.35</v>
      </c>
      <c r="E600" s="116">
        <v>486.4</v>
      </c>
      <c r="F600" s="116">
        <v>486.4</v>
      </c>
      <c r="G600">
        <v>76337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42887</v>
      </c>
      <c r="B601" s="116">
        <v>512.20000000000005</v>
      </c>
      <c r="C601" s="116">
        <v>508.9</v>
      </c>
      <c r="D601" s="116">
        <v>484</v>
      </c>
      <c r="E601" s="116">
        <v>485.7</v>
      </c>
      <c r="F601" s="116">
        <v>508.9</v>
      </c>
      <c r="G601">
        <v>314303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42888</v>
      </c>
      <c r="B602" s="116">
        <v>514.65</v>
      </c>
      <c r="C602" s="116">
        <v>500.55</v>
      </c>
      <c r="D602" s="116">
        <v>498.4</v>
      </c>
      <c r="E602" s="116">
        <v>514.65</v>
      </c>
      <c r="F602" s="116">
        <v>500.55</v>
      </c>
      <c r="G602">
        <v>193716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42891</v>
      </c>
      <c r="B603" s="116">
        <v>503</v>
      </c>
      <c r="C603" s="116">
        <v>495</v>
      </c>
      <c r="D603" s="116">
        <v>493.35</v>
      </c>
      <c r="E603" s="116">
        <v>501</v>
      </c>
      <c r="F603" s="116">
        <v>495</v>
      </c>
      <c r="G603">
        <v>98804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42892</v>
      </c>
      <c r="B604" s="116">
        <v>497.45</v>
      </c>
      <c r="C604" s="116">
        <v>487.25</v>
      </c>
      <c r="D604" s="116">
        <v>485.75</v>
      </c>
      <c r="E604" s="116">
        <v>497.45</v>
      </c>
      <c r="F604" s="116">
        <v>487.25</v>
      </c>
      <c r="G604">
        <v>170516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42893</v>
      </c>
      <c r="B605" s="116">
        <v>489</v>
      </c>
      <c r="C605" s="116">
        <v>483.35</v>
      </c>
      <c r="D605" s="116">
        <v>480.4</v>
      </c>
      <c r="E605" s="116">
        <v>489</v>
      </c>
      <c r="F605" s="116">
        <v>483.35</v>
      </c>
      <c r="G605">
        <v>125385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42894</v>
      </c>
      <c r="B606" s="116">
        <v>497.05</v>
      </c>
      <c r="C606" s="116">
        <v>487</v>
      </c>
      <c r="D606" s="116">
        <v>484.5</v>
      </c>
      <c r="E606" s="116">
        <v>484.5</v>
      </c>
      <c r="F606" s="116">
        <v>487</v>
      </c>
      <c r="G606">
        <v>134339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42895</v>
      </c>
      <c r="B607" s="116">
        <v>494.3</v>
      </c>
      <c r="C607" s="116">
        <v>492.1</v>
      </c>
      <c r="D607" s="116">
        <v>483.3</v>
      </c>
      <c r="E607" s="116">
        <v>487.05</v>
      </c>
      <c r="F607" s="116">
        <v>492.1</v>
      </c>
      <c r="G607">
        <v>123129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42898</v>
      </c>
      <c r="B608" s="116">
        <v>492.2</v>
      </c>
      <c r="C608" s="116">
        <v>486.1</v>
      </c>
      <c r="D608" s="116">
        <v>483.85</v>
      </c>
      <c r="E608" s="116">
        <v>492.2</v>
      </c>
      <c r="F608" s="116">
        <v>486.1</v>
      </c>
      <c r="G608">
        <v>51940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42899</v>
      </c>
      <c r="B609" s="116">
        <v>492.8</v>
      </c>
      <c r="C609" s="116">
        <v>491.5</v>
      </c>
      <c r="D609" s="116">
        <v>484.3</v>
      </c>
      <c r="E609" s="116">
        <v>488.7</v>
      </c>
      <c r="F609" s="116">
        <v>491.5</v>
      </c>
      <c r="G609">
        <v>61141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42900</v>
      </c>
      <c r="B610" s="116">
        <v>494.5</v>
      </c>
      <c r="C610" s="116">
        <v>491.9</v>
      </c>
      <c r="D610" s="116">
        <v>483</v>
      </c>
      <c r="E610" s="116">
        <v>490.9</v>
      </c>
      <c r="F610" s="116">
        <v>491.9</v>
      </c>
      <c r="G610">
        <v>49581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42901</v>
      </c>
      <c r="B611" s="116">
        <v>496</v>
      </c>
      <c r="C611" s="116">
        <v>493.8</v>
      </c>
      <c r="D611" s="116">
        <v>486.25</v>
      </c>
      <c r="E611" s="116">
        <v>491</v>
      </c>
      <c r="F611" s="116">
        <v>493.8</v>
      </c>
      <c r="G611">
        <v>62592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42902</v>
      </c>
      <c r="B612" s="116">
        <v>501.5</v>
      </c>
      <c r="C612" s="116">
        <v>489</v>
      </c>
      <c r="D612" s="116">
        <v>486</v>
      </c>
      <c r="E612" s="116">
        <v>496.65</v>
      </c>
      <c r="F612" s="116">
        <v>489</v>
      </c>
      <c r="G612">
        <v>258374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42905</v>
      </c>
      <c r="B613" s="116">
        <v>491.4</v>
      </c>
      <c r="C613" s="116">
        <v>473.8</v>
      </c>
      <c r="D613" s="116">
        <v>471.4</v>
      </c>
      <c r="E613" s="116">
        <v>490</v>
      </c>
      <c r="F613" s="116">
        <v>473.8</v>
      </c>
      <c r="G613">
        <v>105712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42906</v>
      </c>
      <c r="B614" s="116">
        <v>476</v>
      </c>
      <c r="C614" s="116">
        <v>470.55</v>
      </c>
      <c r="D614" s="116">
        <v>466.8</v>
      </c>
      <c r="E614" s="116">
        <v>476</v>
      </c>
      <c r="F614" s="116">
        <v>470.55</v>
      </c>
      <c r="G614">
        <v>80514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42907</v>
      </c>
      <c r="B615" s="116">
        <v>474.9</v>
      </c>
      <c r="C615" s="116">
        <v>468.05</v>
      </c>
      <c r="D615" s="116">
        <v>464.9</v>
      </c>
      <c r="E615" s="116">
        <v>470.5</v>
      </c>
      <c r="F615" s="116">
        <v>468.05</v>
      </c>
      <c r="G615">
        <v>78793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42908</v>
      </c>
      <c r="B616" s="116">
        <v>471.55</v>
      </c>
      <c r="C616" s="116">
        <v>465.15</v>
      </c>
      <c r="D616" s="116">
        <v>463.45</v>
      </c>
      <c r="E616" s="116">
        <v>465</v>
      </c>
      <c r="F616" s="116">
        <v>465.15</v>
      </c>
      <c r="G616">
        <v>50106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42909</v>
      </c>
      <c r="B617" s="116">
        <v>465.85</v>
      </c>
      <c r="C617" s="116">
        <v>454.15</v>
      </c>
      <c r="D617" s="116">
        <v>450</v>
      </c>
      <c r="E617" s="116">
        <v>465</v>
      </c>
      <c r="F617" s="116">
        <v>454.15</v>
      </c>
      <c r="G617">
        <v>69316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42913</v>
      </c>
      <c r="B618" s="116">
        <v>457.25</v>
      </c>
      <c r="C618" s="116">
        <v>446.6</v>
      </c>
      <c r="D618" s="116">
        <v>442.8</v>
      </c>
      <c r="E618" s="116">
        <v>451.5</v>
      </c>
      <c r="F618" s="116">
        <v>446.6</v>
      </c>
      <c r="G618">
        <v>51543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42914</v>
      </c>
      <c r="B619" s="116">
        <v>451.75</v>
      </c>
      <c r="C619" s="116">
        <v>449.75</v>
      </c>
      <c r="D619" s="116">
        <v>440.8</v>
      </c>
      <c r="E619" s="116">
        <v>446.6</v>
      </c>
      <c r="F619" s="116">
        <v>449.75</v>
      </c>
      <c r="G619">
        <v>59873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42915</v>
      </c>
      <c r="B620" s="116">
        <v>460.6</v>
      </c>
      <c r="C620" s="116">
        <v>454.2</v>
      </c>
      <c r="D620" s="116">
        <v>449.85</v>
      </c>
      <c r="E620" s="116">
        <v>452</v>
      </c>
      <c r="F620" s="116">
        <v>454.2</v>
      </c>
      <c r="G620">
        <v>85165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42916</v>
      </c>
      <c r="B621" s="116">
        <v>460.85</v>
      </c>
      <c r="C621" s="116">
        <v>457.85</v>
      </c>
      <c r="D621" s="116">
        <v>450.2</v>
      </c>
      <c r="E621" s="116">
        <v>454</v>
      </c>
      <c r="F621" s="116">
        <v>457.85</v>
      </c>
      <c r="G621">
        <v>71544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42919</v>
      </c>
      <c r="B622" s="116">
        <v>470.1</v>
      </c>
      <c r="C622" s="116">
        <v>469.25</v>
      </c>
      <c r="D622" s="116">
        <v>445.15</v>
      </c>
      <c r="E622" s="116">
        <v>445.15</v>
      </c>
      <c r="F622" s="116">
        <v>469.25</v>
      </c>
      <c r="G622">
        <v>65176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42920</v>
      </c>
      <c r="B623" s="116">
        <v>470</v>
      </c>
      <c r="C623" s="116">
        <v>462.3</v>
      </c>
      <c r="D623" s="116">
        <v>460.15</v>
      </c>
      <c r="E623" s="116">
        <v>470</v>
      </c>
      <c r="F623" s="116">
        <v>462.3</v>
      </c>
      <c r="G623">
        <v>63631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42921</v>
      </c>
      <c r="B624" s="116">
        <v>478.75</v>
      </c>
      <c r="C624" s="116">
        <v>475.25</v>
      </c>
      <c r="D624" s="116">
        <v>461.8</v>
      </c>
      <c r="E624" s="116">
        <v>463.95</v>
      </c>
      <c r="F624" s="116">
        <v>475.25</v>
      </c>
      <c r="G624">
        <v>68207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42922</v>
      </c>
      <c r="B625" s="116">
        <v>481</v>
      </c>
      <c r="C625" s="116">
        <v>469.95</v>
      </c>
      <c r="D625" s="116">
        <v>468.15</v>
      </c>
      <c r="E625" s="116">
        <v>481</v>
      </c>
      <c r="F625" s="116">
        <v>469.95</v>
      </c>
      <c r="G625">
        <v>61056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42923</v>
      </c>
      <c r="B626" s="116">
        <v>473.95</v>
      </c>
      <c r="C626" s="116">
        <v>467</v>
      </c>
      <c r="D626" s="116">
        <v>464.6</v>
      </c>
      <c r="E626" s="116">
        <v>473.95</v>
      </c>
      <c r="F626" s="116">
        <v>467</v>
      </c>
      <c r="G626">
        <v>62683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42926</v>
      </c>
      <c r="B627" s="116">
        <v>474.95</v>
      </c>
      <c r="C627" s="116">
        <v>466.8</v>
      </c>
      <c r="D627" s="116">
        <v>463.1</v>
      </c>
      <c r="E627" s="116">
        <v>465</v>
      </c>
      <c r="F627" s="116">
        <v>466.8</v>
      </c>
      <c r="G627">
        <v>80290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42927</v>
      </c>
      <c r="B628" s="116">
        <v>471.5</v>
      </c>
      <c r="C628" s="116">
        <v>462.85</v>
      </c>
      <c r="D628" s="116">
        <v>461</v>
      </c>
      <c r="E628" s="116">
        <v>469.35</v>
      </c>
      <c r="F628" s="116">
        <v>462.85</v>
      </c>
      <c r="G628">
        <v>44169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42928</v>
      </c>
      <c r="B629" s="116">
        <v>475</v>
      </c>
      <c r="C629" s="116">
        <v>473.5</v>
      </c>
      <c r="D629" s="116">
        <v>462.85</v>
      </c>
      <c r="E629" s="116">
        <v>462.85</v>
      </c>
      <c r="F629" s="116">
        <v>473.5</v>
      </c>
      <c r="G629">
        <v>86714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42929</v>
      </c>
      <c r="B630" s="116">
        <v>487.4</v>
      </c>
      <c r="C630" s="116">
        <v>484.75</v>
      </c>
      <c r="D630" s="116">
        <v>472.4</v>
      </c>
      <c r="E630" s="116">
        <v>475.35</v>
      </c>
      <c r="F630" s="116">
        <v>484.75</v>
      </c>
      <c r="G630">
        <v>182617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42930</v>
      </c>
      <c r="B631" s="116">
        <v>488.7</v>
      </c>
      <c r="C631" s="116">
        <v>483.25</v>
      </c>
      <c r="D631" s="116">
        <v>480.15</v>
      </c>
      <c r="E631" s="116">
        <v>487.7</v>
      </c>
      <c r="F631" s="116">
        <v>483.25</v>
      </c>
      <c r="G631">
        <v>104861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42933</v>
      </c>
      <c r="B632" s="116">
        <v>486.6</v>
      </c>
      <c r="C632" s="116">
        <v>483.6</v>
      </c>
      <c r="D632" s="116">
        <v>480.5</v>
      </c>
      <c r="E632" s="116">
        <v>485</v>
      </c>
      <c r="F632" s="116">
        <v>483.6</v>
      </c>
      <c r="G632">
        <v>117989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42934</v>
      </c>
      <c r="B633" s="116">
        <v>490.35</v>
      </c>
      <c r="C633" s="116">
        <v>484.5</v>
      </c>
      <c r="D633" s="116">
        <v>481.2</v>
      </c>
      <c r="E633" s="116">
        <v>484</v>
      </c>
      <c r="F633" s="116">
        <v>484.5</v>
      </c>
      <c r="G633">
        <v>74987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42935</v>
      </c>
      <c r="B634" s="116">
        <v>495</v>
      </c>
      <c r="C634" s="116">
        <v>493.95</v>
      </c>
      <c r="D634" s="116">
        <v>484.5</v>
      </c>
      <c r="E634" s="116">
        <v>484.6</v>
      </c>
      <c r="F634" s="116">
        <v>493.95</v>
      </c>
      <c r="G634">
        <v>114162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42936</v>
      </c>
      <c r="B635" s="116">
        <v>495.1</v>
      </c>
      <c r="C635" s="116">
        <v>491.3</v>
      </c>
      <c r="D635" s="116">
        <v>489</v>
      </c>
      <c r="E635" s="116">
        <v>495</v>
      </c>
      <c r="F635" s="116">
        <v>491.3</v>
      </c>
      <c r="G635">
        <v>30966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42937</v>
      </c>
      <c r="B636" s="116">
        <v>501</v>
      </c>
      <c r="C636" s="116">
        <v>498.25</v>
      </c>
      <c r="D636" s="116">
        <v>489.8</v>
      </c>
      <c r="E636" s="116">
        <v>490.65</v>
      </c>
      <c r="F636" s="116">
        <v>498.25</v>
      </c>
      <c r="G636">
        <v>295108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42940</v>
      </c>
      <c r="B637" s="116">
        <v>504.8</v>
      </c>
      <c r="C637" s="116">
        <v>500.3</v>
      </c>
      <c r="D637" s="116">
        <v>494.25</v>
      </c>
      <c r="E637" s="116">
        <v>498.25</v>
      </c>
      <c r="F637" s="116">
        <v>500.3</v>
      </c>
      <c r="G637">
        <v>65936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42941</v>
      </c>
      <c r="B638" s="116">
        <v>507</v>
      </c>
      <c r="C638" s="116">
        <v>503.8</v>
      </c>
      <c r="D638" s="116">
        <v>498.4</v>
      </c>
      <c r="E638" s="116">
        <v>503.5</v>
      </c>
      <c r="F638" s="116">
        <v>503.8</v>
      </c>
      <c r="G638">
        <v>67217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42942</v>
      </c>
      <c r="B639" s="116">
        <v>506.3</v>
      </c>
      <c r="C639" s="116">
        <v>497.55</v>
      </c>
      <c r="D639" s="116">
        <v>491</v>
      </c>
      <c r="E639" s="116">
        <v>503.8</v>
      </c>
      <c r="F639" s="116">
        <v>497.55</v>
      </c>
      <c r="G639">
        <v>48184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42943</v>
      </c>
      <c r="B640" s="116">
        <v>520</v>
      </c>
      <c r="C640" s="116">
        <v>516.15</v>
      </c>
      <c r="D640" s="116">
        <v>498.1</v>
      </c>
      <c r="E640" s="116">
        <v>506</v>
      </c>
      <c r="F640" s="116">
        <v>516.15</v>
      </c>
      <c r="G640">
        <v>117535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42944</v>
      </c>
      <c r="B641" s="116">
        <v>516.5</v>
      </c>
      <c r="C641" s="116">
        <v>510.35</v>
      </c>
      <c r="D641" s="116">
        <v>506.95</v>
      </c>
      <c r="E641" s="116">
        <v>515</v>
      </c>
      <c r="F641" s="116">
        <v>510.35</v>
      </c>
      <c r="G641">
        <v>110813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42947</v>
      </c>
      <c r="B642" s="116">
        <v>512</v>
      </c>
      <c r="C642" s="116">
        <v>503.75</v>
      </c>
      <c r="D642" s="116">
        <v>502.8</v>
      </c>
      <c r="E642" s="116">
        <v>510.95</v>
      </c>
      <c r="F642" s="116">
        <v>503.75</v>
      </c>
      <c r="G642">
        <v>30982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42948</v>
      </c>
      <c r="B643" s="116">
        <v>534.79999999999995</v>
      </c>
      <c r="C643" s="116">
        <v>532.70000000000005</v>
      </c>
      <c r="D643" s="116">
        <v>504</v>
      </c>
      <c r="E643" s="116">
        <v>504</v>
      </c>
      <c r="F643" s="116">
        <v>532.70000000000005</v>
      </c>
      <c r="G643">
        <v>242749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42949</v>
      </c>
      <c r="B644" s="116">
        <v>554.5</v>
      </c>
      <c r="C644" s="116">
        <v>540.15</v>
      </c>
      <c r="D644" s="116">
        <v>522.4</v>
      </c>
      <c r="E644" s="116">
        <v>536.1</v>
      </c>
      <c r="F644" s="116">
        <v>540.15</v>
      </c>
      <c r="G644">
        <v>449908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42950</v>
      </c>
      <c r="B645" s="116">
        <v>550</v>
      </c>
      <c r="C645" s="116">
        <v>536.79999999999995</v>
      </c>
      <c r="D645" s="116">
        <v>533</v>
      </c>
      <c r="E645" s="116">
        <v>545</v>
      </c>
      <c r="F645" s="116">
        <v>536.79999999999995</v>
      </c>
      <c r="G645">
        <v>133481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42951</v>
      </c>
      <c r="B646" s="116">
        <v>543.5</v>
      </c>
      <c r="C646" s="116">
        <v>541.20000000000005</v>
      </c>
      <c r="D646" s="116">
        <v>530</v>
      </c>
      <c r="E646" s="116">
        <v>537.4</v>
      </c>
      <c r="F646" s="116">
        <v>541.20000000000005</v>
      </c>
      <c r="G646">
        <v>42240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42954</v>
      </c>
      <c r="B647" s="116">
        <v>545.70000000000005</v>
      </c>
      <c r="C647" s="116">
        <v>536.95000000000005</v>
      </c>
      <c r="D647" s="116">
        <v>534.25</v>
      </c>
      <c r="E647" s="116">
        <v>540</v>
      </c>
      <c r="F647" s="116">
        <v>536.95000000000005</v>
      </c>
      <c r="G647">
        <v>53420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42955</v>
      </c>
      <c r="B648" s="116">
        <v>542.25</v>
      </c>
      <c r="C648" s="116">
        <v>536.04999999999995</v>
      </c>
      <c r="D648" s="116">
        <v>528.29999999999995</v>
      </c>
      <c r="E648" s="116">
        <v>535.95000000000005</v>
      </c>
      <c r="F648" s="116">
        <v>536.04999999999995</v>
      </c>
      <c r="G648">
        <v>111542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42956</v>
      </c>
      <c r="B649" s="116">
        <v>537.25</v>
      </c>
      <c r="C649" s="116">
        <v>527.54999999999995</v>
      </c>
      <c r="D649" s="116">
        <v>523.70000000000005</v>
      </c>
      <c r="E649" s="116">
        <v>535</v>
      </c>
      <c r="F649" s="116">
        <v>527.54999999999995</v>
      </c>
      <c r="G649">
        <v>70713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42957</v>
      </c>
      <c r="B650" s="116">
        <v>531</v>
      </c>
      <c r="C650" s="116">
        <v>520.20000000000005</v>
      </c>
      <c r="D650" s="116">
        <v>513.79999999999995</v>
      </c>
      <c r="E650" s="116">
        <v>527.54999999999995</v>
      </c>
      <c r="F650" s="116">
        <v>520.20000000000005</v>
      </c>
      <c r="G650">
        <v>64303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42958</v>
      </c>
      <c r="B651" s="116">
        <v>522</v>
      </c>
      <c r="C651" s="116">
        <v>516.54999999999995</v>
      </c>
      <c r="D651" s="116">
        <v>505.85</v>
      </c>
      <c r="E651" s="116">
        <v>510.55</v>
      </c>
      <c r="F651" s="116">
        <v>516.54999999999995</v>
      </c>
      <c r="G651">
        <v>52030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42961</v>
      </c>
      <c r="B652" s="116">
        <v>555.70000000000005</v>
      </c>
      <c r="C652" s="116">
        <v>553.25</v>
      </c>
      <c r="D652" s="116">
        <v>517</v>
      </c>
      <c r="E652" s="116">
        <v>517</v>
      </c>
      <c r="F652" s="116">
        <v>553.25</v>
      </c>
      <c r="G652">
        <v>140400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42963</v>
      </c>
      <c r="B653" s="116">
        <v>553.35</v>
      </c>
      <c r="C653" s="116">
        <v>541.6</v>
      </c>
      <c r="D653" s="116">
        <v>540.54999999999995</v>
      </c>
      <c r="E653" s="116">
        <v>553.35</v>
      </c>
      <c r="F653" s="116">
        <v>541.6</v>
      </c>
      <c r="G653">
        <v>83780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42964</v>
      </c>
      <c r="B654" s="116">
        <v>552.75</v>
      </c>
      <c r="C654" s="116">
        <v>542.79999999999995</v>
      </c>
      <c r="D654" s="116">
        <v>540.04999999999995</v>
      </c>
      <c r="E654" s="116">
        <v>543.79999999999995</v>
      </c>
      <c r="F654" s="116">
        <v>542.79999999999995</v>
      </c>
      <c r="G654">
        <v>65849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42965</v>
      </c>
      <c r="B655" s="116">
        <v>543.95000000000005</v>
      </c>
      <c r="C655" s="116">
        <v>537.04999999999995</v>
      </c>
      <c r="D655" s="116">
        <v>530.35</v>
      </c>
      <c r="E655" s="116">
        <v>543.95000000000005</v>
      </c>
      <c r="F655" s="116">
        <v>537.04999999999995</v>
      </c>
      <c r="G655">
        <v>62173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42968</v>
      </c>
      <c r="B656" s="116">
        <v>544.85</v>
      </c>
      <c r="C656" s="116">
        <v>531.65</v>
      </c>
      <c r="D656" s="116">
        <v>529</v>
      </c>
      <c r="E656" s="116">
        <v>539.95000000000005</v>
      </c>
      <c r="F656" s="116">
        <v>531.65</v>
      </c>
      <c r="G656">
        <v>37473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42969</v>
      </c>
      <c r="B657" s="116">
        <v>533.1</v>
      </c>
      <c r="C657" s="116">
        <v>524.70000000000005</v>
      </c>
      <c r="D657" s="116">
        <v>522.65</v>
      </c>
      <c r="E657" s="116">
        <v>531</v>
      </c>
      <c r="F657" s="116">
        <v>524.70000000000005</v>
      </c>
      <c r="G657">
        <v>61908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42970</v>
      </c>
      <c r="B658" s="116">
        <v>527.04999999999995</v>
      </c>
      <c r="C658" s="116">
        <v>521.75</v>
      </c>
      <c r="D658" s="116">
        <v>516</v>
      </c>
      <c r="E658" s="116">
        <v>525</v>
      </c>
      <c r="F658" s="116">
        <v>521.75</v>
      </c>
      <c r="G658">
        <v>67058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42971</v>
      </c>
      <c r="B659" s="116">
        <v>525</v>
      </c>
      <c r="C659" s="116">
        <v>520.79999999999995</v>
      </c>
      <c r="D659" s="116">
        <v>518.85</v>
      </c>
      <c r="E659" s="116">
        <v>525</v>
      </c>
      <c r="F659" s="116">
        <v>520.79999999999995</v>
      </c>
      <c r="G659">
        <v>87346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42975</v>
      </c>
      <c r="B660" s="116">
        <v>542.4</v>
      </c>
      <c r="C660" s="116">
        <v>538.04999999999995</v>
      </c>
      <c r="D660" s="116">
        <v>522.6</v>
      </c>
      <c r="E660" s="116">
        <v>522.6</v>
      </c>
      <c r="F660" s="116">
        <v>538.04999999999995</v>
      </c>
      <c r="G660">
        <v>103474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42976</v>
      </c>
      <c r="B661" s="116">
        <v>539</v>
      </c>
      <c r="C661" s="116">
        <v>521.04999999999995</v>
      </c>
      <c r="D661" s="116">
        <v>519.35</v>
      </c>
      <c r="E661" s="116">
        <v>539</v>
      </c>
      <c r="F661" s="116">
        <v>521.04999999999995</v>
      </c>
      <c r="G661">
        <v>50465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42977</v>
      </c>
      <c r="B662" s="116">
        <v>528.70000000000005</v>
      </c>
      <c r="C662" s="116">
        <v>522.75</v>
      </c>
      <c r="D662" s="116">
        <v>520.4</v>
      </c>
      <c r="E662" s="116">
        <v>525.45000000000005</v>
      </c>
      <c r="F662" s="116">
        <v>522.75</v>
      </c>
      <c r="G662">
        <v>30759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42978</v>
      </c>
      <c r="B663" s="116">
        <v>528.85</v>
      </c>
      <c r="C663" s="116">
        <v>524.35</v>
      </c>
      <c r="D663" s="116">
        <v>518.04999999999995</v>
      </c>
      <c r="E663" s="116">
        <v>518.04999999999995</v>
      </c>
      <c r="F663" s="116">
        <v>524.35</v>
      </c>
      <c r="G663">
        <v>37472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42979</v>
      </c>
      <c r="B664" s="116">
        <v>532.35</v>
      </c>
      <c r="C664" s="116">
        <v>526.20000000000005</v>
      </c>
      <c r="D664" s="116">
        <v>524.15</v>
      </c>
      <c r="E664" s="116">
        <v>527.45000000000005</v>
      </c>
      <c r="F664" s="116">
        <v>526.20000000000005</v>
      </c>
      <c r="G664">
        <v>41482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42982</v>
      </c>
      <c r="B665" s="116">
        <v>526.79999999999995</v>
      </c>
      <c r="C665" s="116">
        <v>519.35</v>
      </c>
      <c r="D665" s="116">
        <v>510</v>
      </c>
      <c r="E665" s="116">
        <v>526.79999999999995</v>
      </c>
      <c r="F665" s="116">
        <v>519.35</v>
      </c>
      <c r="G665">
        <v>63062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42983</v>
      </c>
      <c r="B666" s="116">
        <v>526.70000000000005</v>
      </c>
      <c r="C666" s="116">
        <v>521.85</v>
      </c>
      <c r="D666" s="116">
        <v>519.25</v>
      </c>
      <c r="E666" s="116">
        <v>520.15</v>
      </c>
      <c r="F666" s="116">
        <v>521.85</v>
      </c>
      <c r="G666">
        <v>41147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42984</v>
      </c>
      <c r="B667" s="116">
        <v>528.4</v>
      </c>
      <c r="C667" s="116">
        <v>525.95000000000005</v>
      </c>
      <c r="D667" s="116">
        <v>517</v>
      </c>
      <c r="E667" s="116">
        <v>518.85</v>
      </c>
      <c r="F667" s="116">
        <v>525.95000000000005</v>
      </c>
      <c r="G667">
        <v>40508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42985</v>
      </c>
      <c r="B668" s="116">
        <v>539</v>
      </c>
      <c r="C668" s="116">
        <v>532.04999999999995</v>
      </c>
      <c r="D668" s="116">
        <v>516.35</v>
      </c>
      <c r="E668" s="116">
        <v>530.20000000000005</v>
      </c>
      <c r="F668" s="116">
        <v>532.04999999999995</v>
      </c>
      <c r="G668">
        <v>68146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42986</v>
      </c>
      <c r="B669" s="116">
        <v>543.79999999999995</v>
      </c>
      <c r="C669" s="116">
        <v>535.6</v>
      </c>
      <c r="D669" s="116">
        <v>533.54999999999995</v>
      </c>
      <c r="E669" s="116">
        <v>536</v>
      </c>
      <c r="F669" s="116">
        <v>535.6</v>
      </c>
      <c r="G669">
        <v>81776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42989</v>
      </c>
      <c r="B670" s="116">
        <v>539.85</v>
      </c>
      <c r="C670" s="116">
        <v>535.20000000000005</v>
      </c>
      <c r="D670" s="116">
        <v>529.9</v>
      </c>
      <c r="E670" s="116">
        <v>537</v>
      </c>
      <c r="F670" s="116">
        <v>535.20000000000005</v>
      </c>
      <c r="G670">
        <v>19096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42990</v>
      </c>
      <c r="B671" s="116">
        <v>563.75</v>
      </c>
      <c r="C671" s="116">
        <v>561.29999999999995</v>
      </c>
      <c r="D671" s="116">
        <v>535.75</v>
      </c>
      <c r="E671" s="116">
        <v>535.75</v>
      </c>
      <c r="F671" s="116">
        <v>561.29999999999995</v>
      </c>
      <c r="G671">
        <v>196997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42991</v>
      </c>
      <c r="B672" s="116">
        <v>564.95000000000005</v>
      </c>
      <c r="C672" s="116">
        <v>549.04999999999995</v>
      </c>
      <c r="D672" s="116">
        <v>547.04999999999995</v>
      </c>
      <c r="E672" s="116">
        <v>561.29999999999995</v>
      </c>
      <c r="F672" s="116">
        <v>549.04999999999995</v>
      </c>
      <c r="G672">
        <v>141683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42992</v>
      </c>
      <c r="B673" s="116">
        <v>555</v>
      </c>
      <c r="C673" s="116">
        <v>543.95000000000005</v>
      </c>
      <c r="D673" s="116">
        <v>542.20000000000005</v>
      </c>
      <c r="E673" s="116">
        <v>550.20000000000005</v>
      </c>
      <c r="F673" s="116">
        <v>543.95000000000005</v>
      </c>
      <c r="G673">
        <v>128912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42993</v>
      </c>
      <c r="B674" s="116">
        <v>546.20000000000005</v>
      </c>
      <c r="C674" s="116">
        <v>543.1</v>
      </c>
      <c r="D674" s="116">
        <v>533.4</v>
      </c>
      <c r="E674" s="116">
        <v>540</v>
      </c>
      <c r="F674" s="116">
        <v>543.1</v>
      </c>
      <c r="G674">
        <v>78453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42996</v>
      </c>
      <c r="B675" s="116">
        <v>557.79999999999995</v>
      </c>
      <c r="C675" s="116">
        <v>551.4</v>
      </c>
      <c r="D675" s="116">
        <v>547</v>
      </c>
      <c r="E675" s="116">
        <v>547</v>
      </c>
      <c r="F675" s="116">
        <v>551.4</v>
      </c>
      <c r="G675">
        <v>86229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42997</v>
      </c>
      <c r="B676" s="116">
        <v>554.85</v>
      </c>
      <c r="C676" s="116">
        <v>547.95000000000005</v>
      </c>
      <c r="D676" s="116">
        <v>546.04999999999995</v>
      </c>
      <c r="E676" s="116">
        <v>551.04999999999995</v>
      </c>
      <c r="F676" s="116">
        <v>547.95000000000005</v>
      </c>
      <c r="G676">
        <v>101652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42998</v>
      </c>
      <c r="B677" s="116">
        <v>553.6</v>
      </c>
      <c r="C677" s="116">
        <v>548.1</v>
      </c>
      <c r="D677" s="116">
        <v>545.5</v>
      </c>
      <c r="E677" s="116">
        <v>550.85</v>
      </c>
      <c r="F677" s="116">
        <v>548.1</v>
      </c>
      <c r="G677">
        <v>93099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42999</v>
      </c>
      <c r="B678" s="116">
        <v>551</v>
      </c>
      <c r="C678" s="116">
        <v>534.79999999999995</v>
      </c>
      <c r="D678" s="116">
        <v>532.04999999999995</v>
      </c>
      <c r="E678" s="116">
        <v>548.9</v>
      </c>
      <c r="F678" s="116">
        <v>534.79999999999995</v>
      </c>
      <c r="G678">
        <v>49787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43000</v>
      </c>
      <c r="B679" s="116">
        <v>534</v>
      </c>
      <c r="C679" s="116">
        <v>514.15</v>
      </c>
      <c r="D679" s="116">
        <v>512.20000000000005</v>
      </c>
      <c r="E679" s="116">
        <v>534</v>
      </c>
      <c r="F679" s="116">
        <v>514.15</v>
      </c>
      <c r="G679">
        <v>40342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43003</v>
      </c>
      <c r="B680" s="116">
        <v>516.54999999999995</v>
      </c>
      <c r="C680" s="116">
        <v>509.75</v>
      </c>
      <c r="D680" s="116">
        <v>496.75</v>
      </c>
      <c r="E680" s="116">
        <v>510</v>
      </c>
      <c r="F680" s="116">
        <v>509.75</v>
      </c>
      <c r="G680">
        <v>198630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43004</v>
      </c>
      <c r="B681" s="116">
        <v>519.9</v>
      </c>
      <c r="C681" s="116">
        <v>518.54999999999995</v>
      </c>
      <c r="D681" s="116">
        <v>503.25</v>
      </c>
      <c r="E681" s="116">
        <v>509.6</v>
      </c>
      <c r="F681" s="116">
        <v>518.54999999999995</v>
      </c>
      <c r="G681">
        <v>55004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43005</v>
      </c>
      <c r="B682" s="116">
        <v>525.20000000000005</v>
      </c>
      <c r="C682" s="116">
        <v>510.85</v>
      </c>
      <c r="D682" s="116">
        <v>508.1</v>
      </c>
      <c r="E682" s="116">
        <v>522.5</v>
      </c>
      <c r="F682" s="116">
        <v>510.85</v>
      </c>
      <c r="G682">
        <v>70383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43006</v>
      </c>
      <c r="B683" s="116">
        <v>513.70000000000005</v>
      </c>
      <c r="C683" s="116">
        <v>501.1</v>
      </c>
      <c r="D683" s="116">
        <v>494.15</v>
      </c>
      <c r="E683" s="116">
        <v>513.70000000000005</v>
      </c>
      <c r="F683" s="116">
        <v>501.1</v>
      </c>
      <c r="G683">
        <v>50085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43007</v>
      </c>
      <c r="B684" s="116">
        <v>510.25</v>
      </c>
      <c r="C684" s="116">
        <v>504.7</v>
      </c>
      <c r="D684" s="116">
        <v>500.1</v>
      </c>
      <c r="E684" s="116">
        <v>500.1</v>
      </c>
      <c r="F684" s="116">
        <v>504.7</v>
      </c>
      <c r="G684">
        <v>39865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43011</v>
      </c>
      <c r="B685" s="116">
        <v>525</v>
      </c>
      <c r="C685" s="116">
        <v>522.20000000000005</v>
      </c>
      <c r="D685" s="116">
        <v>508</v>
      </c>
      <c r="E685" s="116">
        <v>508</v>
      </c>
      <c r="F685" s="116">
        <v>522.20000000000005</v>
      </c>
      <c r="G685">
        <v>58889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43012</v>
      </c>
      <c r="B686" s="116">
        <v>526.85</v>
      </c>
      <c r="C686" s="116">
        <v>519.75</v>
      </c>
      <c r="D686" s="116">
        <v>517.6</v>
      </c>
      <c r="E686" s="116">
        <v>518</v>
      </c>
      <c r="F686" s="116">
        <v>519.75</v>
      </c>
      <c r="G686">
        <v>39486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43013</v>
      </c>
      <c r="B687" s="116">
        <v>526.5</v>
      </c>
      <c r="C687" s="116">
        <v>518.45000000000005</v>
      </c>
      <c r="D687" s="116">
        <v>515.25</v>
      </c>
      <c r="E687" s="116">
        <v>520.54999999999995</v>
      </c>
      <c r="F687" s="116">
        <v>518.45000000000005</v>
      </c>
      <c r="G687">
        <v>18305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43014</v>
      </c>
      <c r="B688" s="116">
        <v>534</v>
      </c>
      <c r="C688" s="116">
        <v>528.15</v>
      </c>
      <c r="D688" s="116">
        <v>519.5</v>
      </c>
      <c r="E688" s="116">
        <v>521.45000000000005</v>
      </c>
      <c r="F688" s="116">
        <v>528.15</v>
      </c>
      <c r="G688">
        <v>55256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43017</v>
      </c>
      <c r="B689" s="116">
        <v>529.35</v>
      </c>
      <c r="C689" s="116">
        <v>520.29999999999995</v>
      </c>
      <c r="D689" s="116">
        <v>515.5</v>
      </c>
      <c r="E689" s="116">
        <v>528.15</v>
      </c>
      <c r="F689" s="116">
        <v>520.29999999999995</v>
      </c>
      <c r="G689">
        <v>27247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43018</v>
      </c>
      <c r="B690" s="116">
        <v>533.04999999999995</v>
      </c>
      <c r="C690" s="116">
        <v>528.4</v>
      </c>
      <c r="D690" s="116">
        <v>522</v>
      </c>
      <c r="E690" s="116">
        <v>523</v>
      </c>
      <c r="F690" s="116">
        <v>528.4</v>
      </c>
      <c r="G690">
        <v>55301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43019</v>
      </c>
      <c r="B691" s="116">
        <v>541</v>
      </c>
      <c r="C691" s="116">
        <v>522.75</v>
      </c>
      <c r="D691" s="116">
        <v>516.29999999999995</v>
      </c>
      <c r="E691" s="116">
        <v>530</v>
      </c>
      <c r="F691" s="116">
        <v>522.75</v>
      </c>
      <c r="G691">
        <v>96522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43020</v>
      </c>
      <c r="B692" s="116">
        <v>536.5</v>
      </c>
      <c r="C692" s="116">
        <v>535.20000000000005</v>
      </c>
      <c r="D692" s="116">
        <v>521.95000000000005</v>
      </c>
      <c r="E692" s="116">
        <v>530</v>
      </c>
      <c r="F692" s="116">
        <v>535.20000000000005</v>
      </c>
      <c r="G692">
        <v>70580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43021</v>
      </c>
      <c r="B693" s="116">
        <v>539.4</v>
      </c>
      <c r="C693" s="116">
        <v>531.79999999999995</v>
      </c>
      <c r="D693" s="116">
        <v>529.75</v>
      </c>
      <c r="E693" s="116">
        <v>531</v>
      </c>
      <c r="F693" s="116">
        <v>531.79999999999995</v>
      </c>
      <c r="G693">
        <v>72442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43024</v>
      </c>
      <c r="B694" s="116">
        <v>536.15</v>
      </c>
      <c r="C694" s="116">
        <v>530.45000000000005</v>
      </c>
      <c r="D694" s="116">
        <v>529</v>
      </c>
      <c r="E694" s="116">
        <v>535</v>
      </c>
      <c r="F694" s="116">
        <v>530.45000000000005</v>
      </c>
      <c r="G694">
        <v>50168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43025</v>
      </c>
      <c r="B695" s="116">
        <v>543.4</v>
      </c>
      <c r="C695" s="116">
        <v>538.04999999999995</v>
      </c>
      <c r="D695" s="116">
        <v>530</v>
      </c>
      <c r="E695" s="116">
        <v>531.6</v>
      </c>
      <c r="F695" s="116">
        <v>538.04999999999995</v>
      </c>
      <c r="G695">
        <v>67320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43026</v>
      </c>
      <c r="B696" s="116">
        <v>545.5</v>
      </c>
      <c r="C696" s="116">
        <v>538.65</v>
      </c>
      <c r="D696" s="116">
        <v>536.95000000000005</v>
      </c>
      <c r="E696" s="116">
        <v>538.9</v>
      </c>
      <c r="F696" s="116">
        <v>538.65</v>
      </c>
      <c r="G696">
        <v>19911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43027</v>
      </c>
      <c r="B697" s="116">
        <v>540</v>
      </c>
      <c r="C697" s="116">
        <v>533.79999999999995</v>
      </c>
      <c r="D697" s="116">
        <v>531.15</v>
      </c>
      <c r="E697" s="116">
        <v>540</v>
      </c>
      <c r="F697" s="116">
        <v>533.79999999999995</v>
      </c>
      <c r="G697">
        <v>11566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43031</v>
      </c>
      <c r="B698" s="116">
        <v>545</v>
      </c>
      <c r="C698" s="116">
        <v>543</v>
      </c>
      <c r="D698" s="116">
        <v>533</v>
      </c>
      <c r="E698" s="116">
        <v>533</v>
      </c>
      <c r="F698" s="116">
        <v>543</v>
      </c>
      <c r="G698">
        <v>49422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43032</v>
      </c>
      <c r="B699" s="116">
        <v>545</v>
      </c>
      <c r="C699" s="116">
        <v>538.6</v>
      </c>
      <c r="D699" s="116">
        <v>532.35</v>
      </c>
      <c r="E699" s="116">
        <v>543</v>
      </c>
      <c r="F699" s="116">
        <v>538.6</v>
      </c>
      <c r="G699">
        <v>29240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43033</v>
      </c>
      <c r="B700" s="116">
        <v>546.95000000000005</v>
      </c>
      <c r="C700" s="116">
        <v>535</v>
      </c>
      <c r="D700" s="116">
        <v>528.85</v>
      </c>
      <c r="E700" s="116">
        <v>546.95000000000005</v>
      </c>
      <c r="F700" s="116">
        <v>535</v>
      </c>
      <c r="G700">
        <v>15928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43034</v>
      </c>
      <c r="B701" s="116">
        <v>536.15</v>
      </c>
      <c r="C701" s="116">
        <v>534</v>
      </c>
      <c r="D701" s="116">
        <v>530</v>
      </c>
      <c r="E701" s="116">
        <v>531.70000000000005</v>
      </c>
      <c r="F701" s="116">
        <v>534</v>
      </c>
      <c r="G701">
        <v>13428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43035</v>
      </c>
      <c r="B702" s="116">
        <v>546.20000000000005</v>
      </c>
      <c r="C702" s="116">
        <v>542.9</v>
      </c>
      <c r="D702" s="116">
        <v>529.4</v>
      </c>
      <c r="E702" s="116">
        <v>534.15</v>
      </c>
      <c r="F702" s="116">
        <v>542.9</v>
      </c>
      <c r="G702">
        <v>39315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43038</v>
      </c>
      <c r="B703" s="116">
        <v>561</v>
      </c>
      <c r="C703" s="116">
        <v>559.70000000000005</v>
      </c>
      <c r="D703" s="116">
        <v>544.1</v>
      </c>
      <c r="E703" s="116">
        <v>544.29999999999995</v>
      </c>
      <c r="F703" s="116">
        <v>559.70000000000005</v>
      </c>
      <c r="G703">
        <v>88929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43039</v>
      </c>
      <c r="B704" s="116">
        <v>571.75</v>
      </c>
      <c r="C704" s="116">
        <v>568.35</v>
      </c>
      <c r="D704" s="116">
        <v>552.6</v>
      </c>
      <c r="E704" s="116">
        <v>560</v>
      </c>
      <c r="F704" s="116">
        <v>568.35</v>
      </c>
      <c r="G704">
        <v>98966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43040</v>
      </c>
      <c r="B705" s="116">
        <v>572.1</v>
      </c>
      <c r="C705" s="116">
        <v>561.75</v>
      </c>
      <c r="D705" s="116">
        <v>558.85</v>
      </c>
      <c r="E705" s="116">
        <v>572.1</v>
      </c>
      <c r="F705" s="116">
        <v>561.75</v>
      </c>
      <c r="G705">
        <v>39247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43041</v>
      </c>
      <c r="B706" s="116">
        <v>562.5</v>
      </c>
      <c r="C706" s="116">
        <v>545.45000000000005</v>
      </c>
      <c r="D706" s="116">
        <v>543.15</v>
      </c>
      <c r="E706" s="116">
        <v>562.5</v>
      </c>
      <c r="F706" s="116">
        <v>545.45000000000005</v>
      </c>
      <c r="G706">
        <v>59808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43042</v>
      </c>
      <c r="B707" s="116">
        <v>557.70000000000005</v>
      </c>
      <c r="C707" s="116">
        <v>547.9</v>
      </c>
      <c r="D707" s="116">
        <v>546</v>
      </c>
      <c r="E707" s="116">
        <v>547</v>
      </c>
      <c r="F707" s="116">
        <v>547.9</v>
      </c>
      <c r="G707">
        <v>54254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43045</v>
      </c>
      <c r="B708" s="116">
        <v>560.70000000000005</v>
      </c>
      <c r="C708" s="116">
        <v>552.6</v>
      </c>
      <c r="D708" s="116">
        <v>549</v>
      </c>
      <c r="E708" s="116">
        <v>549</v>
      </c>
      <c r="F708" s="116">
        <v>552.6</v>
      </c>
      <c r="G708">
        <v>35199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43046</v>
      </c>
      <c r="B709" s="116">
        <v>558.70000000000005</v>
      </c>
      <c r="C709" s="116">
        <v>549.15</v>
      </c>
      <c r="D709" s="116">
        <v>542</v>
      </c>
      <c r="E709" s="116">
        <v>558.70000000000005</v>
      </c>
      <c r="F709" s="116">
        <v>549.15</v>
      </c>
      <c r="G709">
        <v>25070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43047</v>
      </c>
      <c r="B710" s="116">
        <v>564.25</v>
      </c>
      <c r="C710" s="116">
        <v>555.20000000000005</v>
      </c>
      <c r="D710" s="116">
        <v>547.35</v>
      </c>
      <c r="E710" s="116">
        <v>550.35</v>
      </c>
      <c r="F710" s="116">
        <v>555.20000000000005</v>
      </c>
      <c r="G710">
        <v>74169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43048</v>
      </c>
      <c r="B711" s="116">
        <v>570</v>
      </c>
      <c r="C711" s="116">
        <v>562.1</v>
      </c>
      <c r="D711" s="116">
        <v>550.85</v>
      </c>
      <c r="E711" s="116">
        <v>566</v>
      </c>
      <c r="F711" s="116">
        <v>562.1</v>
      </c>
      <c r="G711">
        <v>132777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43049</v>
      </c>
      <c r="B712" s="116">
        <v>591</v>
      </c>
      <c r="C712" s="116">
        <v>570.54999999999995</v>
      </c>
      <c r="D712" s="116">
        <v>559.6</v>
      </c>
      <c r="E712" s="116">
        <v>562</v>
      </c>
      <c r="F712" s="116">
        <v>570.54999999999995</v>
      </c>
      <c r="G712">
        <v>415717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43052</v>
      </c>
      <c r="B713" s="116">
        <v>582.1</v>
      </c>
      <c r="C713" s="116">
        <v>576.20000000000005</v>
      </c>
      <c r="D713" s="116">
        <v>557.15</v>
      </c>
      <c r="E713" s="116">
        <v>569</v>
      </c>
      <c r="F713" s="116">
        <v>576.20000000000005</v>
      </c>
      <c r="G713">
        <v>114603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43053</v>
      </c>
      <c r="B714" s="116">
        <v>603</v>
      </c>
      <c r="C714" s="116">
        <v>600.35</v>
      </c>
      <c r="D714" s="116">
        <v>572.35</v>
      </c>
      <c r="E714" s="116">
        <v>575</v>
      </c>
      <c r="F714" s="116">
        <v>600.35</v>
      </c>
      <c r="G714">
        <v>209056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43054</v>
      </c>
      <c r="B715" s="116">
        <v>603.9</v>
      </c>
      <c r="C715" s="116">
        <v>583.70000000000005</v>
      </c>
      <c r="D715" s="116">
        <v>578.25</v>
      </c>
      <c r="E715" s="116">
        <v>601.54999999999995</v>
      </c>
      <c r="F715" s="116">
        <v>583.70000000000005</v>
      </c>
      <c r="G715">
        <v>70576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43055</v>
      </c>
      <c r="B716" s="116">
        <v>618.79999999999995</v>
      </c>
      <c r="C716" s="116">
        <v>614.15</v>
      </c>
      <c r="D716" s="116">
        <v>586.5</v>
      </c>
      <c r="E716" s="116">
        <v>590</v>
      </c>
      <c r="F716" s="116">
        <v>614.15</v>
      </c>
      <c r="G716">
        <v>260616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43056</v>
      </c>
      <c r="B717" s="116">
        <v>624</v>
      </c>
      <c r="C717" s="116">
        <v>610.4</v>
      </c>
      <c r="D717" s="116">
        <v>604</v>
      </c>
      <c r="E717" s="116">
        <v>624</v>
      </c>
      <c r="F717" s="116">
        <v>610.4</v>
      </c>
      <c r="G717">
        <v>95531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43059</v>
      </c>
      <c r="B718" s="116">
        <v>633.4</v>
      </c>
      <c r="C718" s="116">
        <v>629.45000000000005</v>
      </c>
      <c r="D718" s="116">
        <v>611</v>
      </c>
      <c r="E718" s="116">
        <v>611</v>
      </c>
      <c r="F718" s="116">
        <v>629.45000000000005</v>
      </c>
      <c r="G718">
        <v>164779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43060</v>
      </c>
      <c r="B719" s="116">
        <v>639</v>
      </c>
      <c r="C719" s="116">
        <v>627.35</v>
      </c>
      <c r="D719" s="116">
        <v>625</v>
      </c>
      <c r="E719" s="116">
        <v>639</v>
      </c>
      <c r="F719" s="116">
        <v>627.35</v>
      </c>
      <c r="G719">
        <v>116817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43061</v>
      </c>
      <c r="B720" s="116">
        <v>630</v>
      </c>
      <c r="C720" s="116">
        <v>623.15</v>
      </c>
      <c r="D720" s="116">
        <v>615.1</v>
      </c>
      <c r="E720" s="116">
        <v>630</v>
      </c>
      <c r="F720" s="116">
        <v>623.15</v>
      </c>
      <c r="G720">
        <v>347637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43062</v>
      </c>
      <c r="B721" s="116">
        <v>630.75</v>
      </c>
      <c r="C721" s="116">
        <v>624.35</v>
      </c>
      <c r="D721" s="116">
        <v>615</v>
      </c>
      <c r="E721" s="116">
        <v>628.6</v>
      </c>
      <c r="F721" s="116">
        <v>624.35</v>
      </c>
      <c r="G721">
        <v>73529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43063</v>
      </c>
      <c r="B722" s="116">
        <v>628.85</v>
      </c>
      <c r="C722" s="116">
        <v>623.15</v>
      </c>
      <c r="D722" s="116">
        <v>618.35</v>
      </c>
      <c r="E722" s="116">
        <v>622.75</v>
      </c>
      <c r="F722" s="116">
        <v>623.15</v>
      </c>
      <c r="G722">
        <v>40710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43066</v>
      </c>
      <c r="B723" s="116">
        <v>652</v>
      </c>
      <c r="C723" s="116">
        <v>647.75</v>
      </c>
      <c r="D723" s="116">
        <v>617.4</v>
      </c>
      <c r="E723" s="116">
        <v>623.25</v>
      </c>
      <c r="F723" s="116">
        <v>647.75</v>
      </c>
      <c r="G723">
        <v>115782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43067</v>
      </c>
      <c r="B724" s="116">
        <v>651.79999999999995</v>
      </c>
      <c r="C724" s="116">
        <v>636.85</v>
      </c>
      <c r="D724" s="116">
        <v>634.04999999999995</v>
      </c>
      <c r="E724" s="116">
        <v>651.79999999999995</v>
      </c>
      <c r="F724" s="116">
        <v>636.85</v>
      </c>
      <c r="G724">
        <v>212163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43068</v>
      </c>
      <c r="B725" s="116">
        <v>653.45000000000005</v>
      </c>
      <c r="C725" s="116">
        <v>642.54999999999995</v>
      </c>
      <c r="D725" s="116">
        <v>639</v>
      </c>
      <c r="E725" s="116">
        <v>639.25</v>
      </c>
      <c r="F725" s="116">
        <v>642.54999999999995</v>
      </c>
      <c r="G725">
        <v>71061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43069</v>
      </c>
      <c r="B726" s="116">
        <v>646.95000000000005</v>
      </c>
      <c r="C726" s="116">
        <v>636.70000000000005</v>
      </c>
      <c r="D726" s="116">
        <v>633.15</v>
      </c>
      <c r="E726" s="116">
        <v>636</v>
      </c>
      <c r="F726" s="116">
        <v>636.70000000000005</v>
      </c>
      <c r="G726">
        <v>46378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43070</v>
      </c>
      <c r="B727" s="116">
        <v>638.04999999999995</v>
      </c>
      <c r="C727" s="116">
        <v>616.54999999999995</v>
      </c>
      <c r="D727" s="116">
        <v>612</v>
      </c>
      <c r="E727" s="116">
        <v>635.95000000000005</v>
      </c>
      <c r="F727" s="116">
        <v>616.54999999999995</v>
      </c>
      <c r="G727">
        <v>98340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43073</v>
      </c>
      <c r="B728" s="116">
        <v>620.04999999999995</v>
      </c>
      <c r="C728" s="116">
        <v>609.79999999999995</v>
      </c>
      <c r="D728" s="116">
        <v>605</v>
      </c>
      <c r="E728" s="116">
        <v>615</v>
      </c>
      <c r="F728" s="116">
        <v>609.79999999999995</v>
      </c>
      <c r="G728">
        <v>44991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43074</v>
      </c>
      <c r="B729" s="116">
        <v>625</v>
      </c>
      <c r="C729" s="116">
        <v>622.20000000000005</v>
      </c>
      <c r="D729" s="116">
        <v>606.65</v>
      </c>
      <c r="E729" s="116">
        <v>606.65</v>
      </c>
      <c r="F729" s="116">
        <v>622.20000000000005</v>
      </c>
      <c r="G729">
        <v>37846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43075</v>
      </c>
      <c r="B730" s="116">
        <v>624</v>
      </c>
      <c r="C730" s="116">
        <v>601.20000000000005</v>
      </c>
      <c r="D730" s="116">
        <v>599.5</v>
      </c>
      <c r="E730" s="116">
        <v>624</v>
      </c>
      <c r="F730" s="116">
        <v>601.20000000000005</v>
      </c>
      <c r="G730">
        <v>40042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43076</v>
      </c>
      <c r="B731" s="116">
        <v>620</v>
      </c>
      <c r="C731" s="116">
        <v>618.04999999999995</v>
      </c>
      <c r="D731" s="116">
        <v>587.04999999999995</v>
      </c>
      <c r="E731" s="116">
        <v>600</v>
      </c>
      <c r="F731" s="116">
        <v>618.04999999999995</v>
      </c>
      <c r="G731">
        <v>101385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43077</v>
      </c>
      <c r="B732" s="116">
        <v>627.4</v>
      </c>
      <c r="C732" s="116">
        <v>624.45000000000005</v>
      </c>
      <c r="D732" s="116">
        <v>617.5</v>
      </c>
      <c r="E732" s="116">
        <v>620.6</v>
      </c>
      <c r="F732" s="116">
        <v>624.45000000000005</v>
      </c>
      <c r="G732">
        <v>49451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43080</v>
      </c>
      <c r="B733" s="116">
        <v>634</v>
      </c>
      <c r="C733" s="116">
        <v>624.25</v>
      </c>
      <c r="D733" s="116">
        <v>621</v>
      </c>
      <c r="E733" s="116">
        <v>627.35</v>
      </c>
      <c r="F733" s="116">
        <v>624.25</v>
      </c>
      <c r="G733">
        <v>72003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43081</v>
      </c>
      <c r="B734" s="116">
        <v>636.6</v>
      </c>
      <c r="C734" s="116">
        <v>627.65</v>
      </c>
      <c r="D734" s="116">
        <v>619.65</v>
      </c>
      <c r="E734" s="116">
        <v>624.35</v>
      </c>
      <c r="F734" s="116">
        <v>627.65</v>
      </c>
      <c r="G734">
        <v>56624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43082</v>
      </c>
      <c r="B735" s="116">
        <v>633</v>
      </c>
      <c r="C735" s="116">
        <v>619.1</v>
      </c>
      <c r="D735" s="116">
        <v>615.54999999999995</v>
      </c>
      <c r="E735" s="116">
        <v>633</v>
      </c>
      <c r="F735" s="116">
        <v>619.1</v>
      </c>
      <c r="G735">
        <v>24604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43083</v>
      </c>
      <c r="B736" s="116">
        <v>622.4</v>
      </c>
      <c r="C736" s="116">
        <v>616.79999999999995</v>
      </c>
      <c r="D736" s="116">
        <v>607.04999999999995</v>
      </c>
      <c r="E736" s="116">
        <v>619</v>
      </c>
      <c r="F736" s="116">
        <v>616.79999999999995</v>
      </c>
      <c r="G736">
        <v>365759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43084</v>
      </c>
      <c r="B737" s="116">
        <v>642.6</v>
      </c>
      <c r="C737" s="116">
        <v>631.4</v>
      </c>
      <c r="D737" s="116">
        <v>621.4</v>
      </c>
      <c r="E737" s="116">
        <v>622.45000000000005</v>
      </c>
      <c r="F737" s="116">
        <v>631.4</v>
      </c>
      <c r="G737">
        <v>114220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43087</v>
      </c>
      <c r="B738" s="116">
        <v>635.79999999999995</v>
      </c>
      <c r="C738" s="116">
        <v>630.4</v>
      </c>
      <c r="D738" s="116">
        <v>612</v>
      </c>
      <c r="E738" s="116">
        <v>631.4</v>
      </c>
      <c r="F738" s="116">
        <v>630.4</v>
      </c>
      <c r="G738">
        <v>59832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43088</v>
      </c>
      <c r="B739" s="116">
        <v>637</v>
      </c>
      <c r="C739" s="116">
        <v>633.9</v>
      </c>
      <c r="D739" s="116">
        <v>625</v>
      </c>
      <c r="E739" s="116">
        <v>625</v>
      </c>
      <c r="F739" s="116">
        <v>633.9</v>
      </c>
      <c r="G739">
        <v>37785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43089</v>
      </c>
      <c r="B740" s="116">
        <v>642.54999999999995</v>
      </c>
      <c r="C740" s="116">
        <v>636.6</v>
      </c>
      <c r="D740" s="116">
        <v>634.4</v>
      </c>
      <c r="E740" s="116">
        <v>635.15</v>
      </c>
      <c r="F740" s="116">
        <v>636.6</v>
      </c>
      <c r="G740">
        <v>85136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43090</v>
      </c>
      <c r="B741" s="116">
        <v>653.54999999999995</v>
      </c>
      <c r="C741" s="116">
        <v>649.20000000000005</v>
      </c>
      <c r="D741" s="116">
        <v>639.54999999999995</v>
      </c>
      <c r="E741" s="116">
        <v>639.54999999999995</v>
      </c>
      <c r="F741" s="116">
        <v>649.20000000000005</v>
      </c>
      <c r="G741">
        <v>233495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43091</v>
      </c>
      <c r="B742" s="116">
        <v>666.9</v>
      </c>
      <c r="C742" s="116">
        <v>656.5</v>
      </c>
      <c r="D742" s="116">
        <v>647</v>
      </c>
      <c r="E742" s="116">
        <v>649.29999999999995</v>
      </c>
      <c r="F742" s="116">
        <v>656.5</v>
      </c>
      <c r="G742">
        <v>77223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43095</v>
      </c>
      <c r="B743" s="116">
        <v>667</v>
      </c>
      <c r="C743" s="116">
        <v>654.15</v>
      </c>
      <c r="D743" s="116">
        <v>649.65</v>
      </c>
      <c r="E743" s="116">
        <v>667</v>
      </c>
      <c r="F743" s="116">
        <v>654.15</v>
      </c>
      <c r="G743">
        <v>55532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43096</v>
      </c>
      <c r="B744" s="116">
        <v>671.45</v>
      </c>
      <c r="C744" s="116">
        <v>667.9</v>
      </c>
      <c r="D744" s="116">
        <v>652.1</v>
      </c>
      <c r="E744" s="116">
        <v>655.7</v>
      </c>
      <c r="F744" s="116">
        <v>667.9</v>
      </c>
      <c r="G744">
        <v>63977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43097</v>
      </c>
      <c r="B745" s="116">
        <v>675</v>
      </c>
      <c r="C745" s="116">
        <v>655.20000000000005</v>
      </c>
      <c r="D745" s="116">
        <v>645.04999999999995</v>
      </c>
      <c r="E745" s="116">
        <v>672.95</v>
      </c>
      <c r="F745" s="116">
        <v>655.20000000000005</v>
      </c>
      <c r="G745">
        <v>71464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43098</v>
      </c>
      <c r="B746" s="116">
        <v>669.85</v>
      </c>
      <c r="C746" s="116">
        <v>655.7</v>
      </c>
      <c r="D746" s="116">
        <v>653</v>
      </c>
      <c r="E746" s="116">
        <v>658.95</v>
      </c>
      <c r="F746" s="116">
        <v>655.7</v>
      </c>
      <c r="G746">
        <v>131863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43101</v>
      </c>
      <c r="B747" s="116">
        <v>661</v>
      </c>
      <c r="C747" s="116">
        <v>648.65</v>
      </c>
      <c r="D747" s="116">
        <v>645.75</v>
      </c>
      <c r="E747" s="116">
        <v>656.4</v>
      </c>
      <c r="F747" s="116">
        <v>648.65</v>
      </c>
      <c r="G747">
        <v>41972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43102</v>
      </c>
      <c r="B748" s="116">
        <v>657.5</v>
      </c>
      <c r="C748" s="116">
        <v>647.35</v>
      </c>
      <c r="D748" s="116">
        <v>642.29999999999995</v>
      </c>
      <c r="E748" s="116">
        <v>650</v>
      </c>
      <c r="F748" s="116">
        <v>647.35</v>
      </c>
      <c r="G748">
        <v>34507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43103</v>
      </c>
      <c r="B749" s="116">
        <v>651.95000000000005</v>
      </c>
      <c r="C749" s="116">
        <v>641.85</v>
      </c>
      <c r="D749" s="116">
        <v>639.45000000000005</v>
      </c>
      <c r="E749" s="116">
        <v>645.1</v>
      </c>
      <c r="F749" s="116">
        <v>641.85</v>
      </c>
      <c r="G749">
        <v>59460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43104</v>
      </c>
      <c r="B750" s="116">
        <v>651.20000000000005</v>
      </c>
      <c r="C750" s="116">
        <v>645.5</v>
      </c>
      <c r="D750" s="116">
        <v>640.5</v>
      </c>
      <c r="E750" s="116">
        <v>643.29999999999995</v>
      </c>
      <c r="F750" s="116">
        <v>645.5</v>
      </c>
      <c r="G750">
        <v>136365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43105</v>
      </c>
      <c r="B751" s="116">
        <v>657</v>
      </c>
      <c r="C751" s="116">
        <v>645.54999999999995</v>
      </c>
      <c r="D751" s="116">
        <v>644.04999999999995</v>
      </c>
      <c r="E751" s="116">
        <v>648.4</v>
      </c>
      <c r="F751" s="116">
        <v>645.54999999999995</v>
      </c>
      <c r="G751">
        <v>101132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43108</v>
      </c>
      <c r="B752" s="116">
        <v>664</v>
      </c>
      <c r="C752" s="116">
        <v>638.75</v>
      </c>
      <c r="D752" s="116">
        <v>637</v>
      </c>
      <c r="E752" s="116">
        <v>664</v>
      </c>
      <c r="F752" s="116">
        <v>638.75</v>
      </c>
      <c r="G752">
        <v>68267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43109</v>
      </c>
      <c r="B753" s="116">
        <v>652.85</v>
      </c>
      <c r="C753" s="116">
        <v>648.5</v>
      </c>
      <c r="D753" s="116">
        <v>634.95000000000005</v>
      </c>
      <c r="E753" s="116">
        <v>640</v>
      </c>
      <c r="F753" s="116">
        <v>648.5</v>
      </c>
      <c r="G753">
        <v>244786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43110</v>
      </c>
      <c r="B754" s="116">
        <v>648</v>
      </c>
      <c r="C754" s="116">
        <v>630.25</v>
      </c>
      <c r="D754" s="116">
        <v>627.25</v>
      </c>
      <c r="E754" s="116">
        <v>648</v>
      </c>
      <c r="F754" s="116">
        <v>630.25</v>
      </c>
      <c r="G754">
        <v>56576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43111</v>
      </c>
      <c r="B755" s="116">
        <v>634.5</v>
      </c>
      <c r="C755" s="116">
        <v>626.45000000000005</v>
      </c>
      <c r="D755" s="116">
        <v>622.4</v>
      </c>
      <c r="E755" s="116">
        <v>634.15</v>
      </c>
      <c r="F755" s="116">
        <v>626.45000000000005</v>
      </c>
      <c r="G755">
        <v>85934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43112</v>
      </c>
      <c r="B756" s="116">
        <v>645.29999999999995</v>
      </c>
      <c r="C756" s="116">
        <v>633.29999999999995</v>
      </c>
      <c r="D756" s="116">
        <v>629.45000000000005</v>
      </c>
      <c r="E756" s="116">
        <v>630</v>
      </c>
      <c r="F756" s="116">
        <v>633.29999999999995</v>
      </c>
      <c r="G756">
        <v>131405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43115</v>
      </c>
      <c r="B757" s="116">
        <v>639.4</v>
      </c>
      <c r="C757" s="116">
        <v>630.29999999999995</v>
      </c>
      <c r="D757" s="116">
        <v>627</v>
      </c>
      <c r="E757" s="116">
        <v>634.1</v>
      </c>
      <c r="F757" s="116">
        <v>630.29999999999995</v>
      </c>
      <c r="G757">
        <v>163887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43116</v>
      </c>
      <c r="B758" s="116">
        <v>640</v>
      </c>
      <c r="C758" s="116">
        <v>622.04999999999995</v>
      </c>
      <c r="D758" s="116">
        <v>618.9</v>
      </c>
      <c r="E758" s="116">
        <v>630.4</v>
      </c>
      <c r="F758" s="116">
        <v>622.04999999999995</v>
      </c>
      <c r="G758">
        <v>79381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43117</v>
      </c>
      <c r="B759" s="116">
        <v>633.5</v>
      </c>
      <c r="C759" s="116">
        <v>628.29999999999995</v>
      </c>
      <c r="D759" s="116">
        <v>612.95000000000005</v>
      </c>
      <c r="E759" s="116">
        <v>617</v>
      </c>
      <c r="F759" s="116">
        <v>628.29999999999995</v>
      </c>
      <c r="G759">
        <v>148059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43118</v>
      </c>
      <c r="B760" s="116">
        <v>632</v>
      </c>
      <c r="C760" s="116">
        <v>600</v>
      </c>
      <c r="D760" s="116">
        <v>594.65</v>
      </c>
      <c r="E760" s="116">
        <v>632</v>
      </c>
      <c r="F760" s="116">
        <v>600</v>
      </c>
      <c r="G760">
        <v>163092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43119</v>
      </c>
      <c r="B761" s="116">
        <v>619</v>
      </c>
      <c r="C761" s="116">
        <v>616.79999999999995</v>
      </c>
      <c r="D761" s="116">
        <v>598.5</v>
      </c>
      <c r="E761" s="116">
        <v>598.5</v>
      </c>
      <c r="F761" s="116">
        <v>616.79999999999995</v>
      </c>
      <c r="G761">
        <v>111776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43122</v>
      </c>
      <c r="B762" s="116">
        <v>626.85</v>
      </c>
      <c r="C762" s="116">
        <v>624.79999999999995</v>
      </c>
      <c r="D762" s="116">
        <v>612.15</v>
      </c>
      <c r="E762" s="116">
        <v>617</v>
      </c>
      <c r="F762" s="116">
        <v>624.79999999999995</v>
      </c>
      <c r="G762">
        <v>75299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43123</v>
      </c>
      <c r="B763" s="116">
        <v>634.65</v>
      </c>
      <c r="C763" s="116">
        <v>625.04999999999995</v>
      </c>
      <c r="D763" s="116">
        <v>617.25</v>
      </c>
      <c r="E763" s="116">
        <v>624.9</v>
      </c>
      <c r="F763" s="116">
        <v>625.04999999999995</v>
      </c>
      <c r="G763">
        <v>175983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43124</v>
      </c>
      <c r="B764" s="116">
        <v>627.6</v>
      </c>
      <c r="C764" s="116">
        <v>609.54999999999995</v>
      </c>
      <c r="D764" s="116">
        <v>605</v>
      </c>
      <c r="E764" s="116">
        <v>627</v>
      </c>
      <c r="F764" s="116">
        <v>609.54999999999995</v>
      </c>
      <c r="G764">
        <v>103705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43125</v>
      </c>
      <c r="B765" s="116">
        <v>619.4</v>
      </c>
      <c r="C765" s="116">
        <v>614.54999999999995</v>
      </c>
      <c r="D765" s="116">
        <v>605</v>
      </c>
      <c r="E765" s="116">
        <v>612.45000000000005</v>
      </c>
      <c r="F765" s="116">
        <v>614.54999999999995</v>
      </c>
      <c r="G765">
        <v>55158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43129</v>
      </c>
      <c r="B766" s="116">
        <v>619.04999999999995</v>
      </c>
      <c r="C766" s="116">
        <v>614.45000000000005</v>
      </c>
      <c r="D766" s="116">
        <v>607</v>
      </c>
      <c r="E766" s="116">
        <v>619.04999999999995</v>
      </c>
      <c r="F766" s="116">
        <v>614.45000000000005</v>
      </c>
      <c r="G766">
        <v>49473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43130</v>
      </c>
      <c r="B767" s="116">
        <v>614.54999999999995</v>
      </c>
      <c r="C767" s="116">
        <v>607.75</v>
      </c>
      <c r="D767" s="116">
        <v>604.79999999999995</v>
      </c>
      <c r="E767" s="116">
        <v>614.54999999999995</v>
      </c>
      <c r="F767" s="116">
        <v>607.75</v>
      </c>
      <c r="G767">
        <v>51853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43131</v>
      </c>
      <c r="B768" s="116">
        <v>615</v>
      </c>
      <c r="C768" s="116">
        <v>604.4</v>
      </c>
      <c r="D768" s="116">
        <v>601.65</v>
      </c>
      <c r="E768" s="116">
        <v>608</v>
      </c>
      <c r="F768" s="116">
        <v>604.4</v>
      </c>
      <c r="G768">
        <v>62161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43132</v>
      </c>
      <c r="B769" s="116">
        <v>610.4</v>
      </c>
      <c r="C769" s="116">
        <v>607.04999999999995</v>
      </c>
      <c r="D769" s="116">
        <v>597.5</v>
      </c>
      <c r="E769" s="116">
        <v>606</v>
      </c>
      <c r="F769" s="116">
        <v>607.04999999999995</v>
      </c>
      <c r="G769">
        <v>103619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43133</v>
      </c>
      <c r="B770" s="116">
        <v>601.20000000000005</v>
      </c>
      <c r="C770" s="116">
        <v>572.4</v>
      </c>
      <c r="D770" s="116">
        <v>568.35</v>
      </c>
      <c r="E770" s="116">
        <v>601.20000000000005</v>
      </c>
      <c r="F770" s="116">
        <v>572.4</v>
      </c>
      <c r="G770">
        <v>117633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43136</v>
      </c>
      <c r="B771" s="116">
        <v>598</v>
      </c>
      <c r="C771" s="116">
        <v>595.9</v>
      </c>
      <c r="D771" s="116">
        <v>553.29999999999995</v>
      </c>
      <c r="E771" s="116">
        <v>570</v>
      </c>
      <c r="F771" s="116">
        <v>595.9</v>
      </c>
      <c r="G771">
        <v>96871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43137</v>
      </c>
      <c r="B772" s="116">
        <v>593.95000000000005</v>
      </c>
      <c r="C772" s="116">
        <v>586</v>
      </c>
      <c r="D772" s="116">
        <v>555.5</v>
      </c>
      <c r="E772" s="116">
        <v>589</v>
      </c>
      <c r="F772" s="116">
        <v>586</v>
      </c>
      <c r="G772">
        <v>66889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43138</v>
      </c>
      <c r="B773" s="116">
        <v>614.65</v>
      </c>
      <c r="C773" s="116">
        <v>600.15</v>
      </c>
      <c r="D773" s="116">
        <v>585.35</v>
      </c>
      <c r="E773" s="116">
        <v>588.1</v>
      </c>
      <c r="F773" s="116">
        <v>600.15</v>
      </c>
      <c r="G773">
        <v>403155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43139</v>
      </c>
      <c r="B774" s="116">
        <v>614.9</v>
      </c>
      <c r="C774" s="116">
        <v>599.65</v>
      </c>
      <c r="D774" s="116">
        <v>591.5</v>
      </c>
      <c r="E774" s="116">
        <v>614.9</v>
      </c>
      <c r="F774" s="116">
        <v>599.65</v>
      </c>
      <c r="G774">
        <v>149930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43140</v>
      </c>
      <c r="B775" s="116">
        <v>600</v>
      </c>
      <c r="C775" s="116">
        <v>593.29999999999995</v>
      </c>
      <c r="D775" s="116">
        <v>582.54999999999995</v>
      </c>
      <c r="E775" s="116">
        <v>600</v>
      </c>
      <c r="F775" s="116">
        <v>593.29999999999995</v>
      </c>
      <c r="G775">
        <v>61943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43143</v>
      </c>
      <c r="B776" s="116">
        <v>609</v>
      </c>
      <c r="C776" s="116">
        <v>592.85</v>
      </c>
      <c r="D776" s="116">
        <v>590.54999999999995</v>
      </c>
      <c r="E776" s="116">
        <v>596.1</v>
      </c>
      <c r="F776" s="116">
        <v>592.85</v>
      </c>
      <c r="G776">
        <v>95585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43145</v>
      </c>
      <c r="B777" s="116">
        <v>605.79999999999995</v>
      </c>
      <c r="C777" s="116">
        <v>601.5</v>
      </c>
      <c r="D777" s="116">
        <v>592.9</v>
      </c>
      <c r="E777" s="116">
        <v>592.9</v>
      </c>
      <c r="F777" s="116">
        <v>601.5</v>
      </c>
      <c r="G777">
        <v>91883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43146</v>
      </c>
      <c r="B778" s="116">
        <v>610.75</v>
      </c>
      <c r="C778" s="116">
        <v>584.1</v>
      </c>
      <c r="D778" s="116">
        <v>582.4</v>
      </c>
      <c r="E778" s="116">
        <v>600</v>
      </c>
      <c r="F778" s="116">
        <v>584.1</v>
      </c>
      <c r="G778">
        <v>130613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43147</v>
      </c>
      <c r="B779" s="116">
        <v>593.35</v>
      </c>
      <c r="C779" s="116">
        <v>583.54999999999995</v>
      </c>
      <c r="D779" s="116">
        <v>576</v>
      </c>
      <c r="E779" s="116">
        <v>585.6</v>
      </c>
      <c r="F779" s="116">
        <v>583.54999999999995</v>
      </c>
      <c r="G779">
        <v>65782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43150</v>
      </c>
      <c r="B780" s="116">
        <v>597.5</v>
      </c>
      <c r="C780" s="116">
        <v>575.54999999999995</v>
      </c>
      <c r="D780" s="116">
        <v>572.15</v>
      </c>
      <c r="E780" s="116">
        <v>597.5</v>
      </c>
      <c r="F780" s="116">
        <v>575.54999999999995</v>
      </c>
      <c r="G780">
        <v>66854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43151</v>
      </c>
      <c r="B781" s="116">
        <v>575.1</v>
      </c>
      <c r="C781" s="116">
        <v>557.65</v>
      </c>
      <c r="D781" s="116">
        <v>555.75</v>
      </c>
      <c r="E781" s="116">
        <v>575</v>
      </c>
      <c r="F781" s="116">
        <v>557.65</v>
      </c>
      <c r="G781">
        <v>177523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43152</v>
      </c>
      <c r="B782" s="116">
        <v>585.5</v>
      </c>
      <c r="C782" s="116">
        <v>582.54999999999995</v>
      </c>
      <c r="D782" s="116">
        <v>551.85</v>
      </c>
      <c r="E782" s="116">
        <v>556.1</v>
      </c>
      <c r="F782" s="116">
        <v>582.54999999999995</v>
      </c>
      <c r="G782">
        <v>158463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43153</v>
      </c>
      <c r="B783" s="116">
        <v>586.4</v>
      </c>
      <c r="C783" s="116">
        <v>580.5</v>
      </c>
      <c r="D783" s="116">
        <v>573.4</v>
      </c>
      <c r="E783" s="116">
        <v>581.70000000000005</v>
      </c>
      <c r="F783" s="116">
        <v>580.5</v>
      </c>
      <c r="G783">
        <v>54974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43154</v>
      </c>
      <c r="B784" s="116">
        <v>590.9</v>
      </c>
      <c r="C784" s="116">
        <v>588.65</v>
      </c>
      <c r="D784" s="116">
        <v>575.95000000000005</v>
      </c>
      <c r="E784" s="116">
        <v>580.9</v>
      </c>
      <c r="F784" s="116">
        <v>588.65</v>
      </c>
      <c r="G784">
        <v>85156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43157</v>
      </c>
      <c r="B785" s="116">
        <v>615</v>
      </c>
      <c r="C785" s="116">
        <v>613.04999999999995</v>
      </c>
      <c r="D785" s="116">
        <v>588.65</v>
      </c>
      <c r="E785" s="116">
        <v>592</v>
      </c>
      <c r="F785" s="116">
        <v>613.04999999999995</v>
      </c>
      <c r="G785">
        <v>149062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43158</v>
      </c>
      <c r="B786" s="116">
        <v>622.9</v>
      </c>
      <c r="C786" s="116">
        <v>607</v>
      </c>
      <c r="D786" s="116">
        <v>603.29999999999995</v>
      </c>
      <c r="E786" s="116">
        <v>617.85</v>
      </c>
      <c r="F786" s="116">
        <v>607</v>
      </c>
      <c r="G786">
        <v>133048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43159</v>
      </c>
      <c r="B787" s="116">
        <v>614.5</v>
      </c>
      <c r="C787" s="116">
        <v>608.75</v>
      </c>
      <c r="D787" s="116">
        <v>594.75</v>
      </c>
      <c r="E787" s="116">
        <v>607</v>
      </c>
      <c r="F787" s="116">
        <v>608.75</v>
      </c>
      <c r="G787">
        <v>100184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43160</v>
      </c>
      <c r="B788" s="116">
        <v>629</v>
      </c>
      <c r="C788" s="116">
        <v>618.1</v>
      </c>
      <c r="D788" s="116">
        <v>612.54999999999995</v>
      </c>
      <c r="E788" s="116">
        <v>615</v>
      </c>
      <c r="F788" s="116">
        <v>618.1</v>
      </c>
      <c r="G788">
        <v>199651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43164</v>
      </c>
      <c r="B789" s="116">
        <v>629.6</v>
      </c>
      <c r="C789" s="116">
        <v>623.75</v>
      </c>
      <c r="D789" s="116">
        <v>607</v>
      </c>
      <c r="E789" s="116">
        <v>607</v>
      </c>
      <c r="F789" s="116">
        <v>623.75</v>
      </c>
      <c r="G789">
        <v>144250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43165</v>
      </c>
      <c r="B790" s="116">
        <v>638.5</v>
      </c>
      <c r="C790" s="116">
        <v>623.4</v>
      </c>
      <c r="D790" s="116">
        <v>618</v>
      </c>
      <c r="E790" s="116">
        <v>632</v>
      </c>
      <c r="F790" s="116">
        <v>623.4</v>
      </c>
      <c r="G790">
        <v>166702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43166</v>
      </c>
      <c r="B791" s="116">
        <v>634.5</v>
      </c>
      <c r="C791" s="116">
        <v>626.6</v>
      </c>
      <c r="D791" s="116">
        <v>620.29999999999995</v>
      </c>
      <c r="E791" s="116">
        <v>623</v>
      </c>
      <c r="F791" s="116">
        <v>626.6</v>
      </c>
      <c r="G791">
        <v>124953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43167</v>
      </c>
      <c r="B792" s="116">
        <v>635.54999999999995</v>
      </c>
      <c r="C792" s="116">
        <v>631.95000000000005</v>
      </c>
      <c r="D792" s="116">
        <v>627.6</v>
      </c>
      <c r="E792" s="116">
        <v>631</v>
      </c>
      <c r="F792" s="116">
        <v>631.95000000000005</v>
      </c>
      <c r="G792">
        <v>104517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43168</v>
      </c>
      <c r="B793" s="116">
        <v>639.95000000000005</v>
      </c>
      <c r="C793" s="116">
        <v>629.1</v>
      </c>
      <c r="D793" s="116">
        <v>626</v>
      </c>
      <c r="E793" s="116">
        <v>637</v>
      </c>
      <c r="F793" s="116">
        <v>629.1</v>
      </c>
      <c r="G793">
        <v>64272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43171</v>
      </c>
      <c r="B794" s="116">
        <v>645</v>
      </c>
      <c r="C794" s="116">
        <v>638.5</v>
      </c>
      <c r="D794" s="116">
        <v>627.70000000000005</v>
      </c>
      <c r="E794" s="116">
        <v>632</v>
      </c>
      <c r="F794" s="116">
        <v>638.5</v>
      </c>
      <c r="G794">
        <v>72422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43172</v>
      </c>
      <c r="B795" s="116">
        <v>649.9</v>
      </c>
      <c r="C795" s="116">
        <v>639.54999999999995</v>
      </c>
      <c r="D795" s="116">
        <v>636.04999999999995</v>
      </c>
      <c r="E795" s="116">
        <v>643.75</v>
      </c>
      <c r="F795" s="116">
        <v>639.54999999999995</v>
      </c>
      <c r="G795">
        <v>130243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43173</v>
      </c>
      <c r="B796" s="116">
        <v>645.4</v>
      </c>
      <c r="C796" s="116">
        <v>640.45000000000005</v>
      </c>
      <c r="D796" s="116">
        <v>637.95000000000005</v>
      </c>
      <c r="E796" s="116">
        <v>640</v>
      </c>
      <c r="F796" s="116">
        <v>640.45000000000005</v>
      </c>
      <c r="G796">
        <v>77862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43174</v>
      </c>
      <c r="B797" s="116">
        <v>644.04999999999995</v>
      </c>
      <c r="C797" s="116">
        <v>640.65</v>
      </c>
      <c r="D797" s="116">
        <v>636.5</v>
      </c>
      <c r="E797" s="116">
        <v>641</v>
      </c>
      <c r="F797" s="116">
        <v>640.65</v>
      </c>
      <c r="G797">
        <v>145215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43175</v>
      </c>
      <c r="B798" s="116">
        <v>644.5</v>
      </c>
      <c r="C798" s="116">
        <v>628.35</v>
      </c>
      <c r="D798" s="116">
        <v>623.5</v>
      </c>
      <c r="E798" s="116">
        <v>642</v>
      </c>
      <c r="F798" s="116">
        <v>628.35</v>
      </c>
      <c r="G798">
        <v>85560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43178</v>
      </c>
      <c r="B799" s="116">
        <v>633</v>
      </c>
      <c r="C799" s="116">
        <v>621.35</v>
      </c>
      <c r="D799" s="116">
        <v>617</v>
      </c>
      <c r="E799" s="116">
        <v>629.15</v>
      </c>
      <c r="F799" s="116">
        <v>621.35</v>
      </c>
      <c r="G799">
        <v>62572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43179</v>
      </c>
      <c r="B800" s="116">
        <v>625.95000000000005</v>
      </c>
      <c r="C800" s="116">
        <v>620.29999999999995</v>
      </c>
      <c r="D800" s="116">
        <v>614.20000000000005</v>
      </c>
      <c r="E800" s="116">
        <v>621.35</v>
      </c>
      <c r="F800" s="116">
        <v>620.29999999999995</v>
      </c>
      <c r="G800">
        <v>64941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43180</v>
      </c>
      <c r="B801" s="116">
        <v>626.4</v>
      </c>
      <c r="C801" s="116">
        <v>613.95000000000005</v>
      </c>
      <c r="D801" s="116">
        <v>610</v>
      </c>
      <c r="E801" s="116">
        <v>610</v>
      </c>
      <c r="F801" s="116">
        <v>613.95000000000005</v>
      </c>
      <c r="G801">
        <v>43709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43181</v>
      </c>
      <c r="B802" s="116">
        <v>618.1</v>
      </c>
      <c r="C802" s="116">
        <v>614.4</v>
      </c>
      <c r="D802" s="116">
        <v>606</v>
      </c>
      <c r="E802" s="116">
        <v>611</v>
      </c>
      <c r="F802" s="116">
        <v>614.4</v>
      </c>
      <c r="G802">
        <v>60191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43182</v>
      </c>
      <c r="B803" s="116">
        <v>606.15</v>
      </c>
      <c r="C803" s="116">
        <v>602.70000000000005</v>
      </c>
      <c r="D803" s="116">
        <v>591.04999999999995</v>
      </c>
      <c r="E803" s="116">
        <v>605.04999999999995</v>
      </c>
      <c r="F803" s="116">
        <v>602.70000000000005</v>
      </c>
      <c r="G803">
        <v>123064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43185</v>
      </c>
      <c r="B804" s="116">
        <v>616.85</v>
      </c>
      <c r="C804" s="116">
        <v>614.20000000000005</v>
      </c>
      <c r="D804" s="116">
        <v>602.79999999999995</v>
      </c>
      <c r="E804" s="116">
        <v>602.79999999999995</v>
      </c>
      <c r="F804" s="116">
        <v>614.20000000000005</v>
      </c>
      <c r="G804">
        <v>54467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43186</v>
      </c>
      <c r="B805" s="116">
        <v>625</v>
      </c>
      <c r="C805" s="116">
        <v>621.6</v>
      </c>
      <c r="D805" s="116">
        <v>618.29999999999995</v>
      </c>
      <c r="E805" s="116">
        <v>620</v>
      </c>
      <c r="F805" s="116">
        <v>621.6</v>
      </c>
      <c r="G805">
        <v>52783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43187</v>
      </c>
      <c r="B806" s="116">
        <v>625.9</v>
      </c>
      <c r="C806" s="116">
        <v>620.6</v>
      </c>
      <c r="D806" s="116">
        <v>618.70000000000005</v>
      </c>
      <c r="E806" s="116">
        <v>622.9</v>
      </c>
      <c r="F806" s="116">
        <v>620.6</v>
      </c>
      <c r="G806">
        <v>49454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43192</v>
      </c>
      <c r="B807" s="116">
        <v>639.85</v>
      </c>
      <c r="C807" s="116">
        <v>638.29999999999995</v>
      </c>
      <c r="D807" s="116">
        <v>622.79999999999995</v>
      </c>
      <c r="E807" s="116">
        <v>629</v>
      </c>
      <c r="F807" s="116">
        <v>638.29999999999995</v>
      </c>
      <c r="G807">
        <v>54412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43193</v>
      </c>
      <c r="B808" s="116">
        <v>653.25</v>
      </c>
      <c r="C808" s="116">
        <v>647.75</v>
      </c>
      <c r="D808" s="116">
        <v>629.95000000000005</v>
      </c>
      <c r="E808" s="116">
        <v>640.79999999999995</v>
      </c>
      <c r="F808" s="116">
        <v>647.75</v>
      </c>
      <c r="G808">
        <v>107255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43194</v>
      </c>
      <c r="B809" s="116">
        <v>658.6</v>
      </c>
      <c r="C809" s="116">
        <v>618.29999999999995</v>
      </c>
      <c r="D809" s="116">
        <v>614.5</v>
      </c>
      <c r="E809" s="116">
        <v>653</v>
      </c>
      <c r="F809" s="116">
        <v>618.29999999999995</v>
      </c>
      <c r="G809">
        <v>255023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43195</v>
      </c>
      <c r="B810" s="116">
        <v>636.95000000000005</v>
      </c>
      <c r="C810" s="116">
        <v>631.6</v>
      </c>
      <c r="D810" s="116">
        <v>623.5</v>
      </c>
      <c r="E810" s="116">
        <v>626.15</v>
      </c>
      <c r="F810" s="116">
        <v>631.6</v>
      </c>
      <c r="G810">
        <v>111767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43196</v>
      </c>
      <c r="B811" s="116">
        <v>638.29999999999995</v>
      </c>
      <c r="C811" s="116">
        <v>631.95000000000005</v>
      </c>
      <c r="D811" s="116">
        <v>625.29999999999995</v>
      </c>
      <c r="E811" s="116">
        <v>632.79999999999995</v>
      </c>
      <c r="F811" s="116">
        <v>631.95000000000005</v>
      </c>
      <c r="G811">
        <v>97021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43199</v>
      </c>
      <c r="B812" s="116">
        <v>639</v>
      </c>
      <c r="C812" s="116">
        <v>634.45000000000005</v>
      </c>
      <c r="D812" s="116">
        <v>633</v>
      </c>
      <c r="E812" s="116">
        <v>633.04999999999995</v>
      </c>
      <c r="F812" s="116">
        <v>634.45000000000005</v>
      </c>
      <c r="G812">
        <v>60343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43200</v>
      </c>
      <c r="B813" s="116">
        <v>643.04999999999995</v>
      </c>
      <c r="C813" s="116">
        <v>634.15</v>
      </c>
      <c r="D813" s="116">
        <v>629.79999999999995</v>
      </c>
      <c r="E813" s="116">
        <v>636.54999999999995</v>
      </c>
      <c r="F813" s="116">
        <v>634.15</v>
      </c>
      <c r="G813">
        <v>94549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43201</v>
      </c>
      <c r="B814" s="116">
        <v>638.1</v>
      </c>
      <c r="C814" s="116">
        <v>633.35</v>
      </c>
      <c r="D814" s="116">
        <v>631</v>
      </c>
      <c r="E814" s="116">
        <v>638.1</v>
      </c>
      <c r="F814" s="116">
        <v>633.35</v>
      </c>
      <c r="G814">
        <v>33650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43202</v>
      </c>
      <c r="B815" s="116">
        <v>640</v>
      </c>
      <c r="C815" s="116">
        <v>638.35</v>
      </c>
      <c r="D815" s="116">
        <v>626</v>
      </c>
      <c r="E815" s="116">
        <v>637</v>
      </c>
      <c r="F815" s="116">
        <v>638.35</v>
      </c>
      <c r="G815">
        <v>76393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43203</v>
      </c>
      <c r="B816" s="116">
        <v>645.95000000000005</v>
      </c>
      <c r="C816" s="116">
        <v>637.79999999999995</v>
      </c>
      <c r="D816" s="116">
        <v>635.15</v>
      </c>
      <c r="E816" s="116">
        <v>639</v>
      </c>
      <c r="F816" s="116">
        <v>637.79999999999995</v>
      </c>
      <c r="G816">
        <v>82338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43206</v>
      </c>
      <c r="B817" s="116">
        <v>648.6</v>
      </c>
      <c r="C817" s="116">
        <v>647.45000000000005</v>
      </c>
      <c r="D817" s="116">
        <v>631.35</v>
      </c>
      <c r="E817" s="116">
        <v>633</v>
      </c>
      <c r="F817" s="116">
        <v>647.45000000000005</v>
      </c>
      <c r="G817">
        <v>88432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43207</v>
      </c>
      <c r="B818" s="116">
        <v>649</v>
      </c>
      <c r="C818" s="116">
        <v>639.29999999999995</v>
      </c>
      <c r="D818" s="116">
        <v>635</v>
      </c>
      <c r="E818" s="116">
        <v>647.45000000000005</v>
      </c>
      <c r="F818" s="116">
        <v>639.29999999999995</v>
      </c>
      <c r="G818">
        <v>48124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43208</v>
      </c>
      <c r="B819" s="116">
        <v>645</v>
      </c>
      <c r="C819" s="116">
        <v>643.20000000000005</v>
      </c>
      <c r="D819" s="116">
        <v>633.04999999999995</v>
      </c>
      <c r="E819" s="116">
        <v>642</v>
      </c>
      <c r="F819" s="116">
        <v>643.20000000000005</v>
      </c>
      <c r="G819">
        <v>102180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43209</v>
      </c>
      <c r="B820" s="116">
        <v>646.5</v>
      </c>
      <c r="C820" s="116">
        <v>641.04999999999995</v>
      </c>
      <c r="D820" s="116">
        <v>635.5</v>
      </c>
      <c r="E820" s="116">
        <v>644</v>
      </c>
      <c r="F820" s="116">
        <v>641.04999999999995</v>
      </c>
      <c r="G820">
        <v>47110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43210</v>
      </c>
      <c r="B821" s="116">
        <v>640.9</v>
      </c>
      <c r="C821" s="116">
        <v>635.85</v>
      </c>
      <c r="D821" s="116">
        <v>634.1</v>
      </c>
      <c r="E821" s="116">
        <v>636.54999999999995</v>
      </c>
      <c r="F821" s="116">
        <v>635.85</v>
      </c>
      <c r="G821">
        <v>61165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43213</v>
      </c>
      <c r="B822" s="116">
        <v>664.6</v>
      </c>
      <c r="C822" s="116">
        <v>654</v>
      </c>
      <c r="D822" s="116">
        <v>632.04999999999995</v>
      </c>
      <c r="E822" s="116">
        <v>634</v>
      </c>
      <c r="F822" s="116">
        <v>654</v>
      </c>
      <c r="G822">
        <v>198646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43214</v>
      </c>
      <c r="B823" s="116">
        <v>657.9</v>
      </c>
      <c r="C823" s="116">
        <v>639.4</v>
      </c>
      <c r="D823" s="116">
        <v>637</v>
      </c>
      <c r="E823" s="116">
        <v>656</v>
      </c>
      <c r="F823" s="116">
        <v>639.4</v>
      </c>
      <c r="G823">
        <v>121780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43215</v>
      </c>
      <c r="B824" s="116">
        <v>645</v>
      </c>
      <c r="C824" s="116">
        <v>636.65</v>
      </c>
      <c r="D824" s="116">
        <v>634.20000000000005</v>
      </c>
      <c r="E824" s="116">
        <v>639</v>
      </c>
      <c r="F824" s="116">
        <v>636.65</v>
      </c>
      <c r="G824">
        <v>53175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43216</v>
      </c>
      <c r="B825" s="116">
        <v>640.29999999999995</v>
      </c>
      <c r="C825" s="116">
        <v>629.79999999999995</v>
      </c>
      <c r="D825" s="116">
        <v>625.15</v>
      </c>
      <c r="E825" s="116">
        <v>637.75</v>
      </c>
      <c r="F825" s="116">
        <v>629.79999999999995</v>
      </c>
      <c r="G825">
        <v>61041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43217</v>
      </c>
      <c r="B826" s="116">
        <v>637.15</v>
      </c>
      <c r="C826" s="116">
        <v>635.1</v>
      </c>
      <c r="D826" s="116">
        <v>628.6</v>
      </c>
      <c r="E826" s="116">
        <v>637</v>
      </c>
      <c r="F826" s="116">
        <v>635.1</v>
      </c>
      <c r="G826">
        <v>63813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43220</v>
      </c>
      <c r="B827" s="116">
        <v>647.35</v>
      </c>
      <c r="C827" s="116">
        <v>643.6</v>
      </c>
      <c r="D827" s="116">
        <v>635.4</v>
      </c>
      <c r="E827" s="116">
        <v>636.95000000000005</v>
      </c>
      <c r="F827" s="116">
        <v>643.6</v>
      </c>
      <c r="G827">
        <v>89015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43222</v>
      </c>
      <c r="B828" s="116">
        <v>643.6</v>
      </c>
      <c r="C828" s="116">
        <v>629.20000000000005</v>
      </c>
      <c r="D828" s="116">
        <v>625.54999999999995</v>
      </c>
      <c r="E828" s="116">
        <v>643.6</v>
      </c>
      <c r="F828" s="116">
        <v>629.20000000000005</v>
      </c>
      <c r="G828">
        <v>47662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43223</v>
      </c>
      <c r="B829" s="116">
        <v>632</v>
      </c>
      <c r="C829" s="116">
        <v>615.79999999999995</v>
      </c>
      <c r="D829" s="116">
        <v>612</v>
      </c>
      <c r="E829" s="116">
        <v>632</v>
      </c>
      <c r="F829" s="116">
        <v>615.79999999999995</v>
      </c>
      <c r="G829">
        <v>83331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43224</v>
      </c>
      <c r="B830" s="116">
        <v>623.70000000000005</v>
      </c>
      <c r="C830" s="116">
        <v>614.85</v>
      </c>
      <c r="D830" s="116">
        <v>606.20000000000005</v>
      </c>
      <c r="E830" s="116">
        <v>615</v>
      </c>
      <c r="F830" s="116">
        <v>614.85</v>
      </c>
      <c r="G830">
        <v>101583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43227</v>
      </c>
      <c r="B831" s="116">
        <v>634.35</v>
      </c>
      <c r="C831" s="116">
        <v>627</v>
      </c>
      <c r="D831" s="116">
        <v>615.75</v>
      </c>
      <c r="E831" s="116">
        <v>615.75</v>
      </c>
      <c r="F831" s="116">
        <v>627</v>
      </c>
      <c r="G831">
        <v>136031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43228</v>
      </c>
      <c r="B832" s="116">
        <v>631.5</v>
      </c>
      <c r="C832" s="116">
        <v>618.65</v>
      </c>
      <c r="D832" s="116">
        <v>607.79999999999995</v>
      </c>
      <c r="E832" s="116">
        <v>628</v>
      </c>
      <c r="F832" s="116">
        <v>618.65</v>
      </c>
      <c r="G832">
        <v>246315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43229</v>
      </c>
      <c r="B833" s="116">
        <v>625.65</v>
      </c>
      <c r="C833" s="116">
        <v>614.4</v>
      </c>
      <c r="D833" s="116">
        <v>612.1</v>
      </c>
      <c r="E833" s="116">
        <v>621.20000000000005</v>
      </c>
      <c r="F833" s="116">
        <v>614.4</v>
      </c>
      <c r="G833">
        <v>39362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43230</v>
      </c>
      <c r="B834" s="116">
        <v>624.95000000000005</v>
      </c>
      <c r="C834" s="116">
        <v>601.4</v>
      </c>
      <c r="D834" s="116">
        <v>600</v>
      </c>
      <c r="E834" s="116">
        <v>624.95000000000005</v>
      </c>
      <c r="F834" s="116">
        <v>601.4</v>
      </c>
      <c r="G834">
        <v>53085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43231</v>
      </c>
      <c r="B835" s="116">
        <v>618.85</v>
      </c>
      <c r="C835" s="116">
        <v>615.95000000000005</v>
      </c>
      <c r="D835" s="116">
        <v>595.6</v>
      </c>
      <c r="E835" s="116">
        <v>595.6</v>
      </c>
      <c r="F835" s="116">
        <v>615.95000000000005</v>
      </c>
      <c r="G835">
        <v>54108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43234</v>
      </c>
      <c r="B836" s="116">
        <v>615.9</v>
      </c>
      <c r="C836" s="116">
        <v>595.75</v>
      </c>
      <c r="D836" s="116">
        <v>592.6</v>
      </c>
      <c r="E836" s="116">
        <v>615.9</v>
      </c>
      <c r="F836" s="116">
        <v>595.75</v>
      </c>
      <c r="G836">
        <v>68471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43235</v>
      </c>
      <c r="B837" s="116">
        <v>604.15</v>
      </c>
      <c r="C837" s="116">
        <v>596.65</v>
      </c>
      <c r="D837" s="116">
        <v>581.5</v>
      </c>
      <c r="E837" s="116">
        <v>596</v>
      </c>
      <c r="F837" s="116">
        <v>596.65</v>
      </c>
      <c r="G837">
        <v>136411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43236</v>
      </c>
      <c r="B838" s="116">
        <v>597.54999999999995</v>
      </c>
      <c r="C838" s="116">
        <v>591.15</v>
      </c>
      <c r="D838" s="116">
        <v>582.5</v>
      </c>
      <c r="E838" s="116">
        <v>597</v>
      </c>
      <c r="F838" s="116">
        <v>591.15</v>
      </c>
      <c r="G838">
        <v>152129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43237</v>
      </c>
      <c r="B839" s="116">
        <v>597</v>
      </c>
      <c r="C839" s="116">
        <v>583.54999999999995</v>
      </c>
      <c r="D839" s="116">
        <v>580.79999999999995</v>
      </c>
      <c r="E839" s="116">
        <v>595</v>
      </c>
      <c r="F839" s="116">
        <v>583.54999999999995</v>
      </c>
      <c r="G839">
        <v>95117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43238</v>
      </c>
      <c r="B840" s="116">
        <v>566.75</v>
      </c>
      <c r="C840" s="116">
        <v>552.1</v>
      </c>
      <c r="D840" s="116">
        <v>531.75</v>
      </c>
      <c r="E840" s="116">
        <v>557</v>
      </c>
      <c r="F840" s="116">
        <v>552.1</v>
      </c>
      <c r="G840">
        <v>787371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43241</v>
      </c>
      <c r="B841" s="116">
        <v>553.20000000000005</v>
      </c>
      <c r="C841" s="116">
        <v>543.54999999999995</v>
      </c>
      <c r="D841" s="116">
        <v>536.35</v>
      </c>
      <c r="E841" s="116">
        <v>551</v>
      </c>
      <c r="F841" s="116">
        <v>543.54999999999995</v>
      </c>
      <c r="G841">
        <v>110224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43242</v>
      </c>
      <c r="B842" s="116">
        <v>557.04999999999995</v>
      </c>
      <c r="C842" s="116">
        <v>550.04999999999995</v>
      </c>
      <c r="D842" s="116">
        <v>534.54999999999995</v>
      </c>
      <c r="E842" s="116">
        <v>549</v>
      </c>
      <c r="F842" s="116">
        <v>550.04999999999995</v>
      </c>
      <c r="G842">
        <v>84164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43243</v>
      </c>
      <c r="B843" s="116">
        <v>564.95000000000005</v>
      </c>
      <c r="C843" s="116">
        <v>546.25</v>
      </c>
      <c r="D843" s="116">
        <v>543.04999999999995</v>
      </c>
      <c r="E843" s="116">
        <v>550.15</v>
      </c>
      <c r="F843" s="116">
        <v>546.25</v>
      </c>
      <c r="G843">
        <v>145922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43244</v>
      </c>
      <c r="B844" s="116">
        <v>549.29999999999995</v>
      </c>
      <c r="C844" s="116">
        <v>531.25</v>
      </c>
      <c r="D844" s="116">
        <v>524.75</v>
      </c>
      <c r="E844" s="116">
        <v>541.25</v>
      </c>
      <c r="F844" s="116">
        <v>531.25</v>
      </c>
      <c r="G844">
        <v>113733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43245</v>
      </c>
      <c r="B845" s="116">
        <v>539.6</v>
      </c>
      <c r="C845" s="116">
        <v>537.6</v>
      </c>
      <c r="D845" s="116">
        <v>527</v>
      </c>
      <c r="E845" s="116">
        <v>533</v>
      </c>
      <c r="F845" s="116">
        <v>537.6</v>
      </c>
      <c r="G845">
        <v>56236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43248</v>
      </c>
      <c r="B846" s="116">
        <v>560.70000000000005</v>
      </c>
      <c r="C846" s="116">
        <v>556.45000000000005</v>
      </c>
      <c r="D846" s="116">
        <v>541.1</v>
      </c>
      <c r="E846" s="116">
        <v>546</v>
      </c>
      <c r="F846" s="116">
        <v>556.45000000000005</v>
      </c>
      <c r="G846">
        <v>63221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43249</v>
      </c>
      <c r="B847" s="116">
        <v>559.75</v>
      </c>
      <c r="C847" s="116">
        <v>544.25</v>
      </c>
      <c r="D847" s="116">
        <v>541.5</v>
      </c>
      <c r="E847" s="116">
        <v>559.65</v>
      </c>
      <c r="F847" s="116">
        <v>544.25</v>
      </c>
      <c r="G847">
        <v>135103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43250</v>
      </c>
      <c r="B848" s="116">
        <v>551.95000000000005</v>
      </c>
      <c r="C848" s="116">
        <v>547.54999999999995</v>
      </c>
      <c r="D848" s="116">
        <v>535.04999999999995</v>
      </c>
      <c r="E848" s="116">
        <v>540</v>
      </c>
      <c r="F848" s="116">
        <v>547.54999999999995</v>
      </c>
      <c r="G848">
        <v>40910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43251</v>
      </c>
      <c r="B849" s="116">
        <v>552</v>
      </c>
      <c r="C849" s="116">
        <v>540.20000000000005</v>
      </c>
      <c r="D849" s="116">
        <v>538.04999999999995</v>
      </c>
      <c r="E849" s="116">
        <v>552</v>
      </c>
      <c r="F849" s="116">
        <v>540.20000000000005</v>
      </c>
      <c r="G849">
        <v>39839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43252</v>
      </c>
      <c r="B850" s="116">
        <v>544.20000000000005</v>
      </c>
      <c r="C850" s="116">
        <v>532.5</v>
      </c>
      <c r="D850" s="116">
        <v>528.6</v>
      </c>
      <c r="E850" s="116">
        <v>534</v>
      </c>
      <c r="F850" s="116">
        <v>532.5</v>
      </c>
      <c r="G850">
        <v>52611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43255</v>
      </c>
      <c r="B851" s="116">
        <v>540.35</v>
      </c>
      <c r="C851" s="116">
        <v>532.45000000000005</v>
      </c>
      <c r="D851" s="116">
        <v>530</v>
      </c>
      <c r="E851" s="116">
        <v>539.75</v>
      </c>
      <c r="F851" s="116">
        <v>532.45000000000005</v>
      </c>
      <c r="G851">
        <v>31507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43256</v>
      </c>
      <c r="B852" s="116">
        <v>535.5</v>
      </c>
      <c r="C852" s="116">
        <v>517.54999999999995</v>
      </c>
      <c r="D852" s="116">
        <v>514.75</v>
      </c>
      <c r="E852" s="116">
        <v>533</v>
      </c>
      <c r="F852" s="116">
        <v>517.54999999999995</v>
      </c>
      <c r="G852">
        <v>84315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43257</v>
      </c>
      <c r="B853" s="116">
        <v>530.6</v>
      </c>
      <c r="C853" s="116">
        <v>528.95000000000005</v>
      </c>
      <c r="D853" s="116">
        <v>505.35</v>
      </c>
      <c r="E853" s="116">
        <v>510</v>
      </c>
      <c r="F853" s="116">
        <v>528.95000000000005</v>
      </c>
      <c r="G853">
        <v>90123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43258</v>
      </c>
      <c r="B854" s="116">
        <v>533.70000000000005</v>
      </c>
      <c r="C854" s="116">
        <v>523.20000000000005</v>
      </c>
      <c r="D854" s="116">
        <v>521.15</v>
      </c>
      <c r="E854" s="116">
        <v>530</v>
      </c>
      <c r="F854" s="116">
        <v>523.20000000000005</v>
      </c>
      <c r="G854">
        <v>58248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43259</v>
      </c>
      <c r="B855" s="116">
        <v>532.5</v>
      </c>
      <c r="C855" s="116">
        <v>530.5</v>
      </c>
      <c r="D855" s="116">
        <v>515</v>
      </c>
      <c r="E855" s="116">
        <v>522.65</v>
      </c>
      <c r="F855" s="116">
        <v>530.5</v>
      </c>
      <c r="G855">
        <v>68271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43262</v>
      </c>
      <c r="B856" s="116">
        <v>539</v>
      </c>
      <c r="C856" s="116">
        <v>525.04999999999995</v>
      </c>
      <c r="D856" s="116">
        <v>523.25</v>
      </c>
      <c r="E856" s="116">
        <v>532.79999999999995</v>
      </c>
      <c r="F856" s="116">
        <v>525.04999999999995</v>
      </c>
      <c r="G856">
        <v>106251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43263</v>
      </c>
      <c r="B857" s="116">
        <v>534.95000000000005</v>
      </c>
      <c r="C857" s="116">
        <v>533.25</v>
      </c>
      <c r="D857" s="116">
        <v>520</v>
      </c>
      <c r="E857" s="116">
        <v>520</v>
      </c>
      <c r="F857" s="116">
        <v>533.25</v>
      </c>
      <c r="G857">
        <v>69838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43264</v>
      </c>
      <c r="B858" s="116">
        <v>549.9</v>
      </c>
      <c r="C858" s="116">
        <v>525.04999999999995</v>
      </c>
      <c r="D858" s="116">
        <v>521.65</v>
      </c>
      <c r="E858" s="116">
        <v>549.9</v>
      </c>
      <c r="F858" s="116">
        <v>525.04999999999995</v>
      </c>
      <c r="G858">
        <v>67266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43265</v>
      </c>
      <c r="B859" s="116">
        <v>531.04999999999995</v>
      </c>
      <c r="C859" s="116">
        <v>525.20000000000005</v>
      </c>
      <c r="D859" s="116">
        <v>523.04999999999995</v>
      </c>
      <c r="E859" s="116">
        <v>525</v>
      </c>
      <c r="F859" s="116">
        <v>525.20000000000005</v>
      </c>
      <c r="G859">
        <v>51211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43266</v>
      </c>
      <c r="B860" s="116">
        <v>528</v>
      </c>
      <c r="C860" s="116">
        <v>520.45000000000005</v>
      </c>
      <c r="D860" s="116">
        <v>516.79999999999995</v>
      </c>
      <c r="E860" s="116">
        <v>525.20000000000005</v>
      </c>
      <c r="F860" s="116">
        <v>520.45000000000005</v>
      </c>
      <c r="G860">
        <v>75300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43269</v>
      </c>
      <c r="B861" s="116">
        <v>524</v>
      </c>
      <c r="C861" s="116">
        <v>521.45000000000005</v>
      </c>
      <c r="D861" s="116">
        <v>513.85</v>
      </c>
      <c r="E861" s="116">
        <v>519.65</v>
      </c>
      <c r="F861" s="116">
        <v>521.45000000000005</v>
      </c>
      <c r="G861">
        <v>50750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43270</v>
      </c>
      <c r="B862" s="116">
        <v>522</v>
      </c>
      <c r="C862" s="116">
        <v>515.65</v>
      </c>
      <c r="D862" s="116">
        <v>513.9</v>
      </c>
      <c r="E862" s="116">
        <v>519</v>
      </c>
      <c r="F862" s="116">
        <v>515.65</v>
      </c>
      <c r="G862">
        <v>61500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43271</v>
      </c>
      <c r="B863" s="116">
        <v>526</v>
      </c>
      <c r="C863" s="116">
        <v>522.29999999999995</v>
      </c>
      <c r="D863" s="116">
        <v>516.15</v>
      </c>
      <c r="E863" s="116">
        <v>516.15</v>
      </c>
      <c r="F863" s="116">
        <v>522.29999999999995</v>
      </c>
      <c r="G863">
        <v>36739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43272</v>
      </c>
      <c r="B864" s="116">
        <v>527</v>
      </c>
      <c r="C864" s="116">
        <v>517.45000000000005</v>
      </c>
      <c r="D864" s="116">
        <v>514</v>
      </c>
      <c r="E864" s="116">
        <v>526.5</v>
      </c>
      <c r="F864" s="116">
        <v>517.45000000000005</v>
      </c>
      <c r="G864">
        <v>43045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43273</v>
      </c>
      <c r="B865" s="116">
        <v>527</v>
      </c>
      <c r="C865" s="116">
        <v>518.35</v>
      </c>
      <c r="D865" s="116">
        <v>508.65</v>
      </c>
      <c r="E865" s="116">
        <v>517.45000000000005</v>
      </c>
      <c r="F865" s="116">
        <v>518.35</v>
      </c>
      <c r="G865">
        <v>96889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43276</v>
      </c>
      <c r="B866" s="116">
        <v>522</v>
      </c>
      <c r="C866" s="116">
        <v>513.5</v>
      </c>
      <c r="D866" s="116">
        <v>510</v>
      </c>
      <c r="E866" s="116">
        <v>520.70000000000005</v>
      </c>
      <c r="F866" s="116">
        <v>513.5</v>
      </c>
      <c r="G866">
        <v>98898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43277</v>
      </c>
      <c r="B867" s="116">
        <v>533.6</v>
      </c>
      <c r="C867" s="116">
        <v>529.04999999999995</v>
      </c>
      <c r="D867" s="116">
        <v>493.45</v>
      </c>
      <c r="E867" s="116">
        <v>512.79999999999995</v>
      </c>
      <c r="F867" s="116">
        <v>529.04999999999995</v>
      </c>
      <c r="G867">
        <v>213390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43278</v>
      </c>
      <c r="B868" s="116">
        <v>544.95000000000005</v>
      </c>
      <c r="C868" s="116">
        <v>534.95000000000005</v>
      </c>
      <c r="D868" s="116">
        <v>521.35</v>
      </c>
      <c r="E868" s="116">
        <v>529.9</v>
      </c>
      <c r="F868" s="116">
        <v>534.95000000000005</v>
      </c>
      <c r="G868">
        <v>105150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43279</v>
      </c>
      <c r="B869" s="116">
        <v>539</v>
      </c>
      <c r="C869" s="116">
        <v>511.15</v>
      </c>
      <c r="D869" s="116">
        <v>503</v>
      </c>
      <c r="E869" s="116">
        <v>535</v>
      </c>
      <c r="F869" s="116">
        <v>511.15</v>
      </c>
      <c r="G869">
        <v>97091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43280</v>
      </c>
      <c r="B870" s="116">
        <v>524.20000000000005</v>
      </c>
      <c r="C870" s="116">
        <v>521.65</v>
      </c>
      <c r="D870" s="116">
        <v>510.85</v>
      </c>
      <c r="E870" s="116">
        <v>514.5</v>
      </c>
      <c r="F870" s="116">
        <v>521.65</v>
      </c>
      <c r="G870">
        <v>226272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43283</v>
      </c>
      <c r="B871" s="116">
        <v>525</v>
      </c>
      <c r="C871" s="116">
        <v>514.95000000000005</v>
      </c>
      <c r="D871" s="116">
        <v>514</v>
      </c>
      <c r="E871" s="116">
        <v>525</v>
      </c>
      <c r="F871" s="116">
        <v>514.95000000000005</v>
      </c>
      <c r="G871">
        <v>140176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43284</v>
      </c>
      <c r="B872" s="116">
        <v>528.04999999999995</v>
      </c>
      <c r="C872" s="116">
        <v>526</v>
      </c>
      <c r="D872" s="116">
        <v>510.8</v>
      </c>
      <c r="E872" s="116">
        <v>515.5</v>
      </c>
      <c r="F872" s="116">
        <v>526</v>
      </c>
      <c r="G872">
        <v>56422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43285</v>
      </c>
      <c r="B873" s="116">
        <v>533.70000000000005</v>
      </c>
      <c r="C873" s="116">
        <v>525.65</v>
      </c>
      <c r="D873" s="116">
        <v>523.95000000000005</v>
      </c>
      <c r="E873" s="116">
        <v>525</v>
      </c>
      <c r="F873" s="116">
        <v>525.65</v>
      </c>
      <c r="G873">
        <v>97417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43286</v>
      </c>
      <c r="B874" s="116">
        <v>527.54999999999995</v>
      </c>
      <c r="C874" s="116">
        <v>515.9</v>
      </c>
      <c r="D874" s="116">
        <v>513.20000000000005</v>
      </c>
      <c r="E874" s="116">
        <v>526.65</v>
      </c>
      <c r="F874" s="116">
        <v>515.9</v>
      </c>
      <c r="G874">
        <v>36016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43287</v>
      </c>
      <c r="B875" s="116">
        <v>524.70000000000005</v>
      </c>
      <c r="C875" s="116">
        <v>519.54999999999995</v>
      </c>
      <c r="D875" s="116">
        <v>516.25</v>
      </c>
      <c r="E875" s="116">
        <v>516.25</v>
      </c>
      <c r="F875" s="116">
        <v>519.54999999999995</v>
      </c>
      <c r="G875">
        <v>40713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43290</v>
      </c>
      <c r="B876" s="116">
        <v>536.5</v>
      </c>
      <c r="C876" s="116">
        <v>534.45000000000005</v>
      </c>
      <c r="D876" s="116">
        <v>523.1</v>
      </c>
      <c r="E876" s="116">
        <v>523.1</v>
      </c>
      <c r="F876" s="116">
        <v>534.45000000000005</v>
      </c>
      <c r="G876">
        <v>112882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43291</v>
      </c>
      <c r="B877" s="116">
        <v>544.25</v>
      </c>
      <c r="C877" s="116">
        <v>534</v>
      </c>
      <c r="D877" s="116">
        <v>532</v>
      </c>
      <c r="E877" s="116">
        <v>536.1</v>
      </c>
      <c r="F877" s="116">
        <v>534</v>
      </c>
      <c r="G877">
        <v>35027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43292</v>
      </c>
      <c r="B878" s="116">
        <v>541.15</v>
      </c>
      <c r="C878" s="116">
        <v>537.65</v>
      </c>
      <c r="D878" s="116">
        <v>531</v>
      </c>
      <c r="E878" s="116">
        <v>534.04999999999995</v>
      </c>
      <c r="F878" s="116">
        <v>537.65</v>
      </c>
      <c r="G878">
        <v>205062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43293</v>
      </c>
      <c r="B879" s="116">
        <v>553</v>
      </c>
      <c r="C879" s="116">
        <v>544.54999999999995</v>
      </c>
      <c r="D879" s="116">
        <v>540</v>
      </c>
      <c r="E879" s="116">
        <v>542</v>
      </c>
      <c r="F879" s="116">
        <v>544.54999999999995</v>
      </c>
      <c r="G879">
        <v>61958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43294</v>
      </c>
      <c r="B880" s="116">
        <v>548.95000000000005</v>
      </c>
      <c r="C880" s="116">
        <v>534.85</v>
      </c>
      <c r="D880" s="116">
        <v>531.9</v>
      </c>
      <c r="E880" s="116">
        <v>546.75</v>
      </c>
      <c r="F880" s="116">
        <v>534.85</v>
      </c>
      <c r="G880">
        <v>50721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43297</v>
      </c>
      <c r="B881" s="116">
        <v>539.29999999999995</v>
      </c>
      <c r="C881" s="116">
        <v>530</v>
      </c>
      <c r="D881" s="116">
        <v>527.4</v>
      </c>
      <c r="E881" s="116">
        <v>537.4</v>
      </c>
      <c r="F881" s="116">
        <v>530</v>
      </c>
      <c r="G881">
        <v>49468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43298</v>
      </c>
      <c r="B882" s="116">
        <v>546.95000000000005</v>
      </c>
      <c r="C882" s="116">
        <v>544.85</v>
      </c>
      <c r="D882" s="116">
        <v>529.4</v>
      </c>
      <c r="E882" s="116">
        <v>544</v>
      </c>
      <c r="F882" s="116">
        <v>544.85</v>
      </c>
      <c r="G882">
        <v>182016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43299</v>
      </c>
      <c r="B883" s="116">
        <v>555</v>
      </c>
      <c r="C883" s="116">
        <v>535.6</v>
      </c>
      <c r="D883" s="116">
        <v>532.45000000000005</v>
      </c>
      <c r="E883" s="116">
        <v>555</v>
      </c>
      <c r="F883" s="116">
        <v>535.6</v>
      </c>
      <c r="G883">
        <v>74745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43300</v>
      </c>
      <c r="B884" s="116">
        <v>542.95000000000005</v>
      </c>
      <c r="C884" s="116">
        <v>535.54999999999995</v>
      </c>
      <c r="D884" s="116">
        <v>530.15</v>
      </c>
      <c r="E884" s="116">
        <v>538.15</v>
      </c>
      <c r="F884" s="116">
        <v>535.54999999999995</v>
      </c>
      <c r="G884">
        <v>17990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43301</v>
      </c>
      <c r="B885" s="116">
        <v>555.54999999999995</v>
      </c>
      <c r="C885" s="116">
        <v>551.5</v>
      </c>
      <c r="D885" s="116">
        <v>529.5</v>
      </c>
      <c r="E885" s="116">
        <v>535.20000000000005</v>
      </c>
      <c r="F885" s="116">
        <v>551.5</v>
      </c>
      <c r="G885">
        <v>76499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43304</v>
      </c>
      <c r="B886" s="116">
        <v>574</v>
      </c>
      <c r="C886" s="116">
        <v>572.6</v>
      </c>
      <c r="D886" s="116">
        <v>556</v>
      </c>
      <c r="E886" s="116">
        <v>562.5</v>
      </c>
      <c r="F886" s="116">
        <v>572.6</v>
      </c>
      <c r="G886">
        <v>170544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43305</v>
      </c>
      <c r="B887" s="116">
        <v>587.95000000000005</v>
      </c>
      <c r="C887" s="116">
        <v>585.15</v>
      </c>
      <c r="D887" s="116">
        <v>574</v>
      </c>
      <c r="E887" s="116">
        <v>574</v>
      </c>
      <c r="F887" s="116">
        <v>585.15</v>
      </c>
      <c r="G887">
        <v>161949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43306</v>
      </c>
      <c r="B888" s="116">
        <v>585.45000000000005</v>
      </c>
      <c r="C888" s="116">
        <v>570.1</v>
      </c>
      <c r="D888" s="116">
        <v>566.04999999999995</v>
      </c>
      <c r="E888" s="116">
        <v>585</v>
      </c>
      <c r="F888" s="116">
        <v>570.1</v>
      </c>
      <c r="G888">
        <v>49000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43307</v>
      </c>
      <c r="B889" s="116">
        <v>579</v>
      </c>
      <c r="C889" s="116">
        <v>569.15</v>
      </c>
      <c r="D889" s="116">
        <v>565.04999999999995</v>
      </c>
      <c r="E889" s="116">
        <v>579</v>
      </c>
      <c r="F889" s="116">
        <v>569.15</v>
      </c>
      <c r="G889">
        <v>39678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43308</v>
      </c>
      <c r="B890" s="116">
        <v>584</v>
      </c>
      <c r="C890" s="116">
        <v>573.29999999999995</v>
      </c>
      <c r="D890" s="116">
        <v>564.70000000000005</v>
      </c>
      <c r="E890" s="116">
        <v>571</v>
      </c>
      <c r="F890" s="116">
        <v>573.29999999999995</v>
      </c>
      <c r="G890">
        <v>57243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43311</v>
      </c>
      <c r="B891" s="116">
        <v>577.04999999999995</v>
      </c>
      <c r="C891" s="116">
        <v>568.4</v>
      </c>
      <c r="D891" s="116">
        <v>566.5</v>
      </c>
      <c r="E891" s="116">
        <v>575</v>
      </c>
      <c r="F891" s="116">
        <v>568.4</v>
      </c>
      <c r="G891">
        <v>32150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43312</v>
      </c>
      <c r="B892" s="116">
        <v>571.95000000000005</v>
      </c>
      <c r="C892" s="116">
        <v>568.20000000000005</v>
      </c>
      <c r="D892" s="116">
        <v>562.25</v>
      </c>
      <c r="E892" s="116">
        <v>569.95000000000005</v>
      </c>
      <c r="F892" s="116">
        <v>568.20000000000005</v>
      </c>
      <c r="G892">
        <v>22328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43313</v>
      </c>
      <c r="B893" s="116">
        <v>574.95000000000005</v>
      </c>
      <c r="C893" s="116">
        <v>568.20000000000005</v>
      </c>
      <c r="D893" s="116">
        <v>566.9</v>
      </c>
      <c r="E893" s="116">
        <v>567.85</v>
      </c>
      <c r="F893" s="116">
        <v>568.20000000000005</v>
      </c>
      <c r="G893">
        <v>33744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43314</v>
      </c>
      <c r="B894" s="116">
        <v>578.25</v>
      </c>
      <c r="C894" s="116">
        <v>572.65</v>
      </c>
      <c r="D894" s="116">
        <v>561.20000000000005</v>
      </c>
      <c r="E894" s="116">
        <v>569</v>
      </c>
      <c r="F894" s="116">
        <v>572.65</v>
      </c>
      <c r="G894">
        <v>77048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43315</v>
      </c>
      <c r="B895" s="116">
        <v>582.75</v>
      </c>
      <c r="C895" s="116">
        <v>575.35</v>
      </c>
      <c r="D895" s="116">
        <v>571.29999999999995</v>
      </c>
      <c r="E895" s="116">
        <v>572.75</v>
      </c>
      <c r="F895" s="116">
        <v>575.35</v>
      </c>
      <c r="G895">
        <v>63465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43318</v>
      </c>
      <c r="B896" s="116">
        <v>582.54999999999995</v>
      </c>
      <c r="C896" s="116">
        <v>577.95000000000005</v>
      </c>
      <c r="D896" s="116">
        <v>573</v>
      </c>
      <c r="E896" s="116">
        <v>580</v>
      </c>
      <c r="F896" s="116">
        <v>577.95000000000005</v>
      </c>
      <c r="G896">
        <v>32250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43319</v>
      </c>
      <c r="B897" s="116">
        <v>580</v>
      </c>
      <c r="C897" s="116">
        <v>575.65</v>
      </c>
      <c r="D897" s="116">
        <v>567.9</v>
      </c>
      <c r="E897" s="116">
        <v>572</v>
      </c>
      <c r="F897" s="116">
        <v>575.65</v>
      </c>
      <c r="G897">
        <v>22327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43320</v>
      </c>
      <c r="B898" s="116">
        <v>600</v>
      </c>
      <c r="C898" s="116">
        <v>593.4</v>
      </c>
      <c r="D898" s="116">
        <v>576.45000000000005</v>
      </c>
      <c r="E898" s="116">
        <v>577</v>
      </c>
      <c r="F898" s="116">
        <v>593.4</v>
      </c>
      <c r="G898">
        <v>207028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43321</v>
      </c>
      <c r="B899" s="116">
        <v>603</v>
      </c>
      <c r="C899" s="116">
        <v>592.85</v>
      </c>
      <c r="D899" s="116">
        <v>590</v>
      </c>
      <c r="E899" s="116">
        <v>593</v>
      </c>
      <c r="F899" s="116">
        <v>592.85</v>
      </c>
      <c r="G899">
        <v>63733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43322</v>
      </c>
      <c r="B900" s="116">
        <v>627.54999999999995</v>
      </c>
      <c r="C900" s="116">
        <v>620.15</v>
      </c>
      <c r="D900" s="116">
        <v>591.75</v>
      </c>
      <c r="E900" s="116">
        <v>598</v>
      </c>
      <c r="F900" s="116">
        <v>620.15</v>
      </c>
      <c r="G900">
        <v>394689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43325</v>
      </c>
      <c r="B901" s="116">
        <v>631</v>
      </c>
      <c r="C901" s="116">
        <v>619.95000000000005</v>
      </c>
      <c r="D901" s="116">
        <v>604.85</v>
      </c>
      <c r="E901" s="116">
        <v>616.70000000000005</v>
      </c>
      <c r="F901" s="116">
        <v>619.95000000000005</v>
      </c>
      <c r="G901">
        <v>130742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43326</v>
      </c>
      <c r="B902" s="116">
        <v>620.9</v>
      </c>
      <c r="C902" s="116">
        <v>614.95000000000005</v>
      </c>
      <c r="D902" s="116">
        <v>609.65</v>
      </c>
      <c r="E902" s="116">
        <v>618.04999999999995</v>
      </c>
      <c r="F902" s="116">
        <v>614.95000000000005</v>
      </c>
      <c r="G902">
        <v>65686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616.29999999999995</v>
      </c>
      <c r="C903" s="116">
        <v>606.70000000000005</v>
      </c>
      <c r="D903" s="116">
        <v>605.1</v>
      </c>
      <c r="E903" s="116">
        <v>612.5</v>
      </c>
      <c r="F903" s="116">
        <v>606.70000000000005</v>
      </c>
      <c r="G903">
        <v>88473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625</v>
      </c>
      <c r="C904" s="116">
        <v>615.4</v>
      </c>
      <c r="D904" s="116">
        <v>609</v>
      </c>
      <c r="E904" s="116">
        <v>609</v>
      </c>
      <c r="F904" s="116">
        <v>615.4</v>
      </c>
      <c r="G904">
        <v>50326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630</v>
      </c>
      <c r="C905" s="116">
        <v>620.75</v>
      </c>
      <c r="D905" s="116">
        <v>617</v>
      </c>
      <c r="E905" s="116">
        <v>617.1</v>
      </c>
      <c r="F905" s="116">
        <v>620.75</v>
      </c>
      <c r="G905">
        <v>74711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623.79999999999995</v>
      </c>
      <c r="C906" s="116">
        <v>612.9</v>
      </c>
      <c r="D906" s="116">
        <v>610.9</v>
      </c>
      <c r="E906" s="116">
        <v>621</v>
      </c>
      <c r="F906" s="116">
        <v>612.9</v>
      </c>
      <c r="G906">
        <v>34686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615.5</v>
      </c>
      <c r="C907" s="116">
        <v>607.45000000000005</v>
      </c>
      <c r="D907" s="116">
        <v>600.5</v>
      </c>
      <c r="E907" s="116">
        <v>614.45000000000005</v>
      </c>
      <c r="F907" s="116">
        <v>607.45000000000005</v>
      </c>
      <c r="G907">
        <v>357977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628.04999999999995</v>
      </c>
      <c r="C908" s="116">
        <v>612.5</v>
      </c>
      <c r="D908" s="116">
        <v>605.95000000000005</v>
      </c>
      <c r="E908" s="116">
        <v>607.54999999999995</v>
      </c>
      <c r="F908" s="116">
        <v>612.5</v>
      </c>
      <c r="G908">
        <v>102901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625.29999999999995</v>
      </c>
      <c r="C909" s="116">
        <v>623.6</v>
      </c>
      <c r="D909" s="116">
        <v>611</v>
      </c>
      <c r="E909" s="116">
        <v>612.6</v>
      </c>
      <c r="F909" s="116">
        <v>623.6</v>
      </c>
      <c r="G909">
        <v>64540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634.75</v>
      </c>
      <c r="C910" s="116">
        <v>628.70000000000005</v>
      </c>
      <c r="D910" s="116">
        <v>617</v>
      </c>
      <c r="E910" s="116">
        <v>624</v>
      </c>
      <c r="F910" s="116">
        <v>628.70000000000005</v>
      </c>
      <c r="G910">
        <v>95956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637.25</v>
      </c>
      <c r="C911" s="116">
        <v>628.25</v>
      </c>
      <c r="D911" s="116">
        <v>624.15</v>
      </c>
      <c r="E911" s="116">
        <v>634</v>
      </c>
      <c r="F911" s="116">
        <v>628.25</v>
      </c>
      <c r="G911">
        <v>130426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632.4</v>
      </c>
      <c r="C912" s="116">
        <v>623.79999999999995</v>
      </c>
      <c r="D912" s="116">
        <v>622</v>
      </c>
      <c r="E912" s="116">
        <v>628.75</v>
      </c>
      <c r="F912" s="116">
        <v>623.79999999999995</v>
      </c>
      <c r="G912">
        <v>74764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629.85</v>
      </c>
      <c r="C913" s="116">
        <v>616.6</v>
      </c>
      <c r="D913" s="116">
        <v>613.70000000000005</v>
      </c>
      <c r="E913" s="116">
        <v>621.1</v>
      </c>
      <c r="F913" s="116">
        <v>616.6</v>
      </c>
      <c r="G913">
        <v>58288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622.29999999999995</v>
      </c>
      <c r="C914" s="116">
        <v>602.25</v>
      </c>
      <c r="D914" s="116">
        <v>599.15</v>
      </c>
      <c r="E914" s="116">
        <v>619</v>
      </c>
      <c r="F914" s="116">
        <v>602.25</v>
      </c>
      <c r="G914">
        <v>78267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610</v>
      </c>
      <c r="C915" s="116">
        <v>600.25</v>
      </c>
      <c r="D915" s="116">
        <v>596.1</v>
      </c>
      <c r="E915" s="116">
        <v>601.70000000000005</v>
      </c>
      <c r="F915" s="116">
        <v>600.25</v>
      </c>
      <c r="G915">
        <v>75123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604.29999999999995</v>
      </c>
      <c r="C916" s="116">
        <v>587.25</v>
      </c>
      <c r="D916" s="116">
        <v>570.04999999999995</v>
      </c>
      <c r="E916" s="116">
        <v>602</v>
      </c>
      <c r="F916" s="116">
        <v>587.25</v>
      </c>
      <c r="G916">
        <v>158014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597.4</v>
      </c>
      <c r="C917" s="116">
        <v>593.29999999999995</v>
      </c>
      <c r="D917" s="116">
        <v>578.79999999999995</v>
      </c>
      <c r="E917" s="116">
        <v>593.25</v>
      </c>
      <c r="F917" s="116">
        <v>593.29999999999995</v>
      </c>
      <c r="G917">
        <v>59690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602.9</v>
      </c>
      <c r="C918" s="116">
        <v>598.4</v>
      </c>
      <c r="D918" s="116">
        <v>588</v>
      </c>
      <c r="E918" s="116">
        <v>597.9</v>
      </c>
      <c r="F918" s="116">
        <v>598.4</v>
      </c>
      <c r="G918">
        <v>40408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598.54999999999995</v>
      </c>
      <c r="C919" s="116">
        <v>583.70000000000005</v>
      </c>
      <c r="D919" s="116">
        <v>581</v>
      </c>
      <c r="E919" s="116">
        <v>598.54999999999995</v>
      </c>
      <c r="F919" s="116">
        <v>583.70000000000005</v>
      </c>
      <c r="G919">
        <v>70443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590</v>
      </c>
      <c r="C920" s="116">
        <v>576.15</v>
      </c>
      <c r="D920" s="116">
        <v>572.04999999999995</v>
      </c>
      <c r="E920" s="116">
        <v>584.20000000000005</v>
      </c>
      <c r="F920" s="116">
        <v>576.15</v>
      </c>
      <c r="G920">
        <v>66666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589.65</v>
      </c>
      <c r="C921" s="116">
        <v>585.95000000000005</v>
      </c>
      <c r="D921" s="116">
        <v>565.54999999999995</v>
      </c>
      <c r="E921" s="116">
        <v>576.04999999999995</v>
      </c>
      <c r="F921" s="116">
        <v>585.95000000000005</v>
      </c>
      <c r="G921">
        <v>72625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619</v>
      </c>
      <c r="C922" s="116">
        <v>614.20000000000005</v>
      </c>
      <c r="D922" s="116">
        <v>591.25</v>
      </c>
      <c r="E922" s="116">
        <v>592</v>
      </c>
      <c r="F922" s="116">
        <v>614.20000000000005</v>
      </c>
      <c r="G922">
        <v>148736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613</v>
      </c>
      <c r="C923" s="116">
        <v>598.75</v>
      </c>
      <c r="D923" s="116">
        <v>596</v>
      </c>
      <c r="E923" s="116">
        <v>613</v>
      </c>
      <c r="F923" s="116">
        <v>598.75</v>
      </c>
      <c r="G923">
        <v>70575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599.85</v>
      </c>
      <c r="C924" s="116">
        <v>578.79999999999995</v>
      </c>
      <c r="D924" s="116">
        <v>576.65</v>
      </c>
      <c r="E924" s="116">
        <v>599.5</v>
      </c>
      <c r="F924" s="116">
        <v>578.79999999999995</v>
      </c>
      <c r="G924">
        <v>50837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584.20000000000005</v>
      </c>
      <c r="C925" s="116">
        <v>568.20000000000005</v>
      </c>
      <c r="D925" s="116">
        <v>565</v>
      </c>
      <c r="E925" s="116">
        <v>581</v>
      </c>
      <c r="F925" s="116">
        <v>568.20000000000005</v>
      </c>
      <c r="G925">
        <v>67034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576.20000000000005</v>
      </c>
      <c r="C926" s="116">
        <v>564.70000000000005</v>
      </c>
      <c r="D926" s="116">
        <v>549.95000000000005</v>
      </c>
      <c r="E926" s="116">
        <v>575</v>
      </c>
      <c r="F926" s="116">
        <v>564.70000000000005</v>
      </c>
      <c r="G926">
        <v>141395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573.95000000000005</v>
      </c>
      <c r="C927" s="116">
        <v>567.20000000000005</v>
      </c>
      <c r="D927" s="116">
        <v>555.04999999999995</v>
      </c>
      <c r="E927" s="116">
        <v>569.9</v>
      </c>
      <c r="F927" s="116">
        <v>567.20000000000005</v>
      </c>
      <c r="G927">
        <v>59863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581.4</v>
      </c>
      <c r="C928" s="116">
        <v>575.35</v>
      </c>
      <c r="D928" s="116">
        <v>558.5</v>
      </c>
      <c r="E928" s="116">
        <v>569.29999999999995</v>
      </c>
      <c r="F928" s="116">
        <v>575.35</v>
      </c>
      <c r="G928">
        <v>96848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584.35</v>
      </c>
      <c r="C929" s="116">
        <v>572.1</v>
      </c>
      <c r="D929" s="116">
        <v>565.5</v>
      </c>
      <c r="E929" s="116">
        <v>580</v>
      </c>
      <c r="F929" s="116">
        <v>572.1</v>
      </c>
      <c r="G929">
        <v>37419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558.75</v>
      </c>
      <c r="C930" s="116">
        <v>536.70000000000005</v>
      </c>
      <c r="D930" s="116">
        <v>532.54999999999995</v>
      </c>
      <c r="E930" s="116">
        <v>550.1</v>
      </c>
      <c r="F930" s="116">
        <v>536.70000000000005</v>
      </c>
      <c r="G930">
        <v>191858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546.04999999999995</v>
      </c>
      <c r="C931" s="116">
        <v>529.15</v>
      </c>
      <c r="D931" s="116">
        <v>525</v>
      </c>
      <c r="E931" s="116">
        <v>540</v>
      </c>
      <c r="F931" s="116">
        <v>529.15</v>
      </c>
      <c r="G931">
        <v>78085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539</v>
      </c>
      <c r="C932" s="116">
        <v>535</v>
      </c>
      <c r="D932" s="116">
        <v>515.1</v>
      </c>
      <c r="E932" s="116">
        <v>526.04999999999995</v>
      </c>
      <c r="F932" s="116">
        <v>535</v>
      </c>
      <c r="G932">
        <v>69522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545</v>
      </c>
      <c r="C933" s="116">
        <v>529.54999999999995</v>
      </c>
      <c r="D933" s="116">
        <v>523</v>
      </c>
      <c r="E933" s="116">
        <v>539</v>
      </c>
      <c r="F933" s="116">
        <v>529.54999999999995</v>
      </c>
      <c r="G933">
        <v>59026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531</v>
      </c>
      <c r="C934" s="116">
        <v>516.04999999999995</v>
      </c>
      <c r="D934" s="116">
        <v>508.8</v>
      </c>
      <c r="E934" s="116">
        <v>522.5</v>
      </c>
      <c r="F934" s="116">
        <v>516.04999999999995</v>
      </c>
      <c r="G934">
        <v>72959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518.29999999999995</v>
      </c>
      <c r="C935" s="116">
        <v>509.1</v>
      </c>
      <c r="D935" s="116">
        <v>501</v>
      </c>
      <c r="E935" s="116">
        <v>514.15</v>
      </c>
      <c r="F935" s="116">
        <v>509.1</v>
      </c>
      <c r="G935">
        <v>61905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509.95</v>
      </c>
      <c r="C936" s="116">
        <v>479.35</v>
      </c>
      <c r="D936" s="116">
        <v>471</v>
      </c>
      <c r="E936" s="116">
        <v>509.95</v>
      </c>
      <c r="F936" s="116">
        <v>479.35</v>
      </c>
      <c r="G936">
        <v>126018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487.35</v>
      </c>
      <c r="C937" s="116">
        <v>484.35</v>
      </c>
      <c r="D937" s="116">
        <v>475.75</v>
      </c>
      <c r="E937" s="116">
        <v>480.65</v>
      </c>
      <c r="F937" s="116">
        <v>484.35</v>
      </c>
      <c r="G937">
        <v>39918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521.35</v>
      </c>
      <c r="C938" s="116">
        <v>515</v>
      </c>
      <c r="D938" s="116">
        <v>486.2</v>
      </c>
      <c r="E938" s="116">
        <v>492</v>
      </c>
      <c r="F938" s="116">
        <v>515</v>
      </c>
      <c r="G938">
        <v>46344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513.4</v>
      </c>
      <c r="C939" s="116">
        <v>496.95</v>
      </c>
      <c r="D939" s="116">
        <v>486.05</v>
      </c>
      <c r="E939" s="116">
        <v>505.9</v>
      </c>
      <c r="F939" s="116">
        <v>496.95</v>
      </c>
      <c r="G939">
        <v>65167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518</v>
      </c>
      <c r="C940" s="116">
        <v>509.35</v>
      </c>
      <c r="D940" s="116">
        <v>500</v>
      </c>
      <c r="E940" s="116">
        <v>500</v>
      </c>
      <c r="F940" s="116">
        <v>509.35</v>
      </c>
      <c r="G940">
        <v>39417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522</v>
      </c>
      <c r="C941" s="116">
        <v>500.8</v>
      </c>
      <c r="D941" s="116">
        <v>496.25</v>
      </c>
      <c r="E941" s="116">
        <v>522</v>
      </c>
      <c r="F941" s="116">
        <v>500.8</v>
      </c>
      <c r="G941">
        <v>110511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516.6</v>
      </c>
      <c r="C942" s="116">
        <v>508.5</v>
      </c>
      <c r="D942" s="116">
        <v>500.8</v>
      </c>
      <c r="E942" s="116">
        <v>505.75</v>
      </c>
      <c r="F942" s="116">
        <v>508.5</v>
      </c>
      <c r="G942">
        <v>27400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515.35</v>
      </c>
      <c r="C943" s="116">
        <v>500.2</v>
      </c>
      <c r="D943" s="116">
        <v>498</v>
      </c>
      <c r="E943" s="116">
        <v>515.35</v>
      </c>
      <c r="F943" s="116">
        <v>500.2</v>
      </c>
      <c r="G943">
        <v>30738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510</v>
      </c>
      <c r="C944" s="116">
        <v>503.25</v>
      </c>
      <c r="D944" s="116">
        <v>490</v>
      </c>
      <c r="E944" s="116">
        <v>490</v>
      </c>
      <c r="F944" s="116">
        <v>503.25</v>
      </c>
      <c r="G944">
        <v>63409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513.5</v>
      </c>
      <c r="C945" s="116">
        <v>501.7</v>
      </c>
      <c r="D945" s="116">
        <v>496</v>
      </c>
      <c r="E945" s="116">
        <v>505.95</v>
      </c>
      <c r="F945" s="116">
        <v>501.7</v>
      </c>
      <c r="G945">
        <v>30348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511</v>
      </c>
      <c r="C946" s="116">
        <v>506.95</v>
      </c>
      <c r="D946" s="116">
        <v>494.25</v>
      </c>
      <c r="E946" s="116">
        <v>501</v>
      </c>
      <c r="F946" s="116">
        <v>506.95</v>
      </c>
      <c r="G946">
        <v>50779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526</v>
      </c>
      <c r="C947" s="116">
        <v>522.6</v>
      </c>
      <c r="D947" s="116">
        <v>510</v>
      </c>
      <c r="E947" s="116">
        <v>512.95000000000005</v>
      </c>
      <c r="F947" s="116">
        <v>522.6</v>
      </c>
      <c r="G947">
        <v>84010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528.5</v>
      </c>
      <c r="C948" s="116">
        <v>525.45000000000005</v>
      </c>
      <c r="D948" s="116">
        <v>515.6</v>
      </c>
      <c r="E948" s="116">
        <v>520</v>
      </c>
      <c r="F948" s="116">
        <v>525.45000000000005</v>
      </c>
      <c r="G948">
        <v>56382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530</v>
      </c>
      <c r="C949" s="116">
        <v>505.85</v>
      </c>
      <c r="D949" s="116">
        <v>500.25</v>
      </c>
      <c r="E949" s="116">
        <v>530</v>
      </c>
      <c r="F949" s="116">
        <v>505.85</v>
      </c>
      <c r="G949">
        <v>53634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527</v>
      </c>
      <c r="C950" s="116">
        <v>521.65</v>
      </c>
      <c r="D950" s="116">
        <v>497</v>
      </c>
      <c r="E950" s="116">
        <v>498</v>
      </c>
      <c r="F950" s="116">
        <v>521.65</v>
      </c>
      <c r="G950">
        <v>55668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536.95000000000005</v>
      </c>
      <c r="C951" s="116">
        <v>517.70000000000005</v>
      </c>
      <c r="D951" s="116">
        <v>510.45</v>
      </c>
      <c r="E951" s="116">
        <v>536.95000000000005</v>
      </c>
      <c r="F951" s="116">
        <v>517.70000000000005</v>
      </c>
      <c r="G951">
        <v>60741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543.5</v>
      </c>
      <c r="C952" s="116">
        <v>538.04999999999995</v>
      </c>
      <c r="D952" s="116">
        <v>519</v>
      </c>
      <c r="E952" s="116">
        <v>522.65</v>
      </c>
      <c r="F952" s="116">
        <v>538.04999999999995</v>
      </c>
      <c r="G952">
        <v>64488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558.5</v>
      </c>
      <c r="C953" s="116">
        <v>532.15</v>
      </c>
      <c r="D953" s="116">
        <v>527</v>
      </c>
      <c r="E953" s="116">
        <v>542</v>
      </c>
      <c r="F953" s="116">
        <v>532.15</v>
      </c>
      <c r="G953">
        <v>67258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549.6</v>
      </c>
      <c r="C954" s="116">
        <v>541.20000000000005</v>
      </c>
      <c r="D954" s="116">
        <v>524.54999999999995</v>
      </c>
      <c r="E954" s="116">
        <v>540</v>
      </c>
      <c r="F954" s="116">
        <v>541.20000000000005</v>
      </c>
      <c r="G954">
        <v>37989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553.04999999999995</v>
      </c>
      <c r="C955" s="116">
        <v>540.29999999999995</v>
      </c>
      <c r="D955" s="116">
        <v>533.5</v>
      </c>
      <c r="E955" s="116">
        <v>548.75</v>
      </c>
      <c r="F955" s="116">
        <v>540.29999999999995</v>
      </c>
      <c r="G955">
        <v>108720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549</v>
      </c>
      <c r="C956" s="116">
        <v>524.04999999999995</v>
      </c>
      <c r="D956" s="116">
        <v>518.5</v>
      </c>
      <c r="E956" s="116">
        <v>536.70000000000005</v>
      </c>
      <c r="F956" s="116">
        <v>524.04999999999995</v>
      </c>
      <c r="G956">
        <v>281611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528</v>
      </c>
      <c r="C957" s="116">
        <v>514.4</v>
      </c>
      <c r="D957" s="116">
        <v>507.35</v>
      </c>
      <c r="E957" s="116">
        <v>526</v>
      </c>
      <c r="F957" s="116">
        <v>514.4</v>
      </c>
      <c r="G957">
        <v>54696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541.79999999999995</v>
      </c>
      <c r="C958" s="116">
        <v>538.20000000000005</v>
      </c>
      <c r="D958" s="116">
        <v>505</v>
      </c>
      <c r="E958" s="116">
        <v>513</v>
      </c>
      <c r="F958" s="116">
        <v>538.20000000000005</v>
      </c>
      <c r="G958">
        <v>223784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545.25</v>
      </c>
      <c r="C959" s="116">
        <v>535</v>
      </c>
      <c r="D959" s="116">
        <v>532.4</v>
      </c>
      <c r="E959" s="116">
        <v>538.4</v>
      </c>
      <c r="F959" s="116">
        <v>535</v>
      </c>
      <c r="G959">
        <v>59820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545</v>
      </c>
      <c r="C960" s="116">
        <v>544.04999999999995</v>
      </c>
      <c r="D960" s="116">
        <v>527.4</v>
      </c>
      <c r="E960" s="116">
        <v>534.79999999999995</v>
      </c>
      <c r="F960" s="116">
        <v>544.04999999999995</v>
      </c>
      <c r="G960">
        <v>46786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551.5</v>
      </c>
      <c r="C961" s="116">
        <v>542.4</v>
      </c>
      <c r="D961" s="116">
        <v>538.20000000000005</v>
      </c>
      <c r="E961" s="116">
        <v>545.70000000000005</v>
      </c>
      <c r="F961" s="116">
        <v>542.4</v>
      </c>
      <c r="G961">
        <v>53795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559</v>
      </c>
      <c r="C962" s="116">
        <v>552.85</v>
      </c>
      <c r="D962" s="116">
        <v>539.04999999999995</v>
      </c>
      <c r="E962" s="116">
        <v>544</v>
      </c>
      <c r="F962" s="116">
        <v>552.85</v>
      </c>
      <c r="G962">
        <v>87519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562</v>
      </c>
      <c r="C963" s="116">
        <v>553.29999999999995</v>
      </c>
      <c r="D963" s="116">
        <v>542</v>
      </c>
      <c r="E963" s="116">
        <v>560</v>
      </c>
      <c r="F963" s="116">
        <v>553.29999999999995</v>
      </c>
      <c r="G963">
        <v>51752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567</v>
      </c>
      <c r="C964" s="116">
        <v>562.4</v>
      </c>
      <c r="D964" s="116">
        <v>550</v>
      </c>
      <c r="E964" s="116">
        <v>550</v>
      </c>
      <c r="F964" s="116">
        <v>562.4</v>
      </c>
      <c r="G964">
        <v>72026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565.79999999999995</v>
      </c>
      <c r="C965" s="116">
        <v>547.04999999999995</v>
      </c>
      <c r="D965" s="116">
        <v>544.20000000000005</v>
      </c>
      <c r="E965" s="116">
        <v>558</v>
      </c>
      <c r="F965" s="116">
        <v>547.04999999999995</v>
      </c>
      <c r="G965">
        <v>43571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562.65</v>
      </c>
      <c r="C966" s="116">
        <v>559.35</v>
      </c>
      <c r="D966" s="116">
        <v>545.15</v>
      </c>
      <c r="E966" s="116">
        <v>554.5</v>
      </c>
      <c r="F966" s="116">
        <v>559.35</v>
      </c>
      <c r="G966">
        <v>44209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564</v>
      </c>
      <c r="C967" s="116">
        <v>549.65</v>
      </c>
      <c r="D967" s="116">
        <v>547.15</v>
      </c>
      <c r="E967" s="116">
        <v>564</v>
      </c>
      <c r="F967" s="116">
        <v>549.65</v>
      </c>
      <c r="G967">
        <v>39971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562.25</v>
      </c>
      <c r="C968" s="116">
        <v>557.54999999999995</v>
      </c>
      <c r="D968" s="116">
        <v>541.54999999999995</v>
      </c>
      <c r="E968" s="116">
        <v>548.45000000000005</v>
      </c>
      <c r="F968" s="116">
        <v>557.54999999999995</v>
      </c>
      <c r="G968">
        <v>33582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557.54999999999995</v>
      </c>
      <c r="C969" s="116">
        <v>546.04999999999995</v>
      </c>
      <c r="D969" s="116">
        <v>543</v>
      </c>
      <c r="E969" s="116">
        <v>557</v>
      </c>
      <c r="F969" s="116">
        <v>546.04999999999995</v>
      </c>
      <c r="G969">
        <v>36379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550.65</v>
      </c>
      <c r="C970" s="116">
        <v>535.95000000000005</v>
      </c>
      <c r="D970" s="116">
        <v>534</v>
      </c>
      <c r="E970" s="116">
        <v>546.04999999999995</v>
      </c>
      <c r="F970" s="116">
        <v>535.95000000000005</v>
      </c>
      <c r="G970">
        <v>50055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554.70000000000005</v>
      </c>
      <c r="C971" s="116">
        <v>552.45000000000005</v>
      </c>
      <c r="D971" s="116">
        <v>539.5</v>
      </c>
      <c r="E971" s="116">
        <v>540</v>
      </c>
      <c r="F971" s="116">
        <v>552.45000000000005</v>
      </c>
      <c r="G971">
        <v>53547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561</v>
      </c>
      <c r="C972" s="116">
        <v>553.79999999999995</v>
      </c>
      <c r="D972" s="116">
        <v>547.4</v>
      </c>
      <c r="E972" s="116">
        <v>555.70000000000005</v>
      </c>
      <c r="F972" s="116">
        <v>553.79999999999995</v>
      </c>
      <c r="G972">
        <v>47838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561.75</v>
      </c>
      <c r="C973" s="116">
        <v>556.29999999999995</v>
      </c>
      <c r="D973" s="116">
        <v>549</v>
      </c>
      <c r="E973" s="116">
        <v>555.5</v>
      </c>
      <c r="F973" s="116">
        <v>556.29999999999995</v>
      </c>
      <c r="G973">
        <v>36143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559.29999999999995</v>
      </c>
      <c r="C974" s="116">
        <v>553.04999999999995</v>
      </c>
      <c r="D974" s="116">
        <v>548.9</v>
      </c>
      <c r="E974" s="116">
        <v>553.95000000000005</v>
      </c>
      <c r="F974" s="116">
        <v>553.04999999999995</v>
      </c>
      <c r="G974">
        <v>25530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554.04999999999995</v>
      </c>
      <c r="C975" s="116">
        <v>551.35</v>
      </c>
      <c r="D975" s="116">
        <v>542.20000000000005</v>
      </c>
      <c r="E975" s="116">
        <v>549.75</v>
      </c>
      <c r="F975" s="116">
        <v>551.35</v>
      </c>
      <c r="G975">
        <v>33541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545.65</v>
      </c>
      <c r="C976" s="116">
        <v>538.5</v>
      </c>
      <c r="D976" s="116">
        <v>527.5</v>
      </c>
      <c r="E976" s="116">
        <v>543.54999999999995</v>
      </c>
      <c r="F976" s="116">
        <v>538.5</v>
      </c>
      <c r="G976">
        <v>56070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551</v>
      </c>
      <c r="C977" s="116">
        <v>543.65</v>
      </c>
      <c r="D977" s="116">
        <v>530</v>
      </c>
      <c r="E977" s="116">
        <v>551</v>
      </c>
      <c r="F977" s="116">
        <v>543.65</v>
      </c>
      <c r="G977">
        <v>98370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541</v>
      </c>
      <c r="C978" s="116">
        <v>534.85</v>
      </c>
      <c r="D978" s="116">
        <v>531.65</v>
      </c>
      <c r="E978" s="116">
        <v>536.9</v>
      </c>
      <c r="F978" s="116">
        <v>534.85</v>
      </c>
      <c r="G978">
        <v>25311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555.85</v>
      </c>
      <c r="C979" s="116">
        <v>553.6</v>
      </c>
      <c r="D979" s="116">
        <v>527.35</v>
      </c>
      <c r="E979" s="116">
        <v>528.54999999999995</v>
      </c>
      <c r="F979" s="116">
        <v>553.6</v>
      </c>
      <c r="G979">
        <v>78831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568.45000000000005</v>
      </c>
      <c r="C980" s="116">
        <v>567.35</v>
      </c>
      <c r="D980" s="116">
        <v>548.20000000000005</v>
      </c>
      <c r="E980" s="116">
        <v>554</v>
      </c>
      <c r="F980" s="116">
        <v>567.35</v>
      </c>
      <c r="G980">
        <v>54976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574.5</v>
      </c>
      <c r="C981" s="116">
        <v>566.95000000000005</v>
      </c>
      <c r="D981" s="116">
        <v>558.85</v>
      </c>
      <c r="E981" s="116">
        <v>572</v>
      </c>
      <c r="F981" s="116">
        <v>566.95000000000005</v>
      </c>
      <c r="G981">
        <v>62829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582.70000000000005</v>
      </c>
      <c r="C982" s="116">
        <v>578.54999999999995</v>
      </c>
      <c r="D982" s="116">
        <v>562</v>
      </c>
      <c r="E982" s="116">
        <v>565.20000000000005</v>
      </c>
      <c r="F982" s="116">
        <v>578.54999999999995</v>
      </c>
      <c r="G982">
        <v>52342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589.95000000000005</v>
      </c>
      <c r="C983" s="116">
        <v>567.5</v>
      </c>
      <c r="D983" s="116">
        <v>565.1</v>
      </c>
      <c r="E983" s="116">
        <v>585</v>
      </c>
      <c r="F983" s="116">
        <v>567.5</v>
      </c>
      <c r="G983">
        <v>116147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571</v>
      </c>
      <c r="C984" s="116">
        <v>561.4</v>
      </c>
      <c r="D984" s="116">
        <v>559</v>
      </c>
      <c r="E984" s="116">
        <v>567.6</v>
      </c>
      <c r="F984" s="116">
        <v>561.4</v>
      </c>
      <c r="G984">
        <v>56403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578.4</v>
      </c>
      <c r="C985" s="116">
        <v>571.5</v>
      </c>
      <c r="D985" s="116">
        <v>562</v>
      </c>
      <c r="E985" s="116">
        <v>574</v>
      </c>
      <c r="F985" s="116">
        <v>571.5</v>
      </c>
      <c r="G985">
        <v>73721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581</v>
      </c>
      <c r="C986" s="116">
        <v>577</v>
      </c>
      <c r="D986" s="116">
        <v>565</v>
      </c>
      <c r="E986" s="116">
        <v>570</v>
      </c>
      <c r="F986" s="116">
        <v>577</v>
      </c>
      <c r="G986">
        <v>189183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579.65</v>
      </c>
      <c r="C987" s="116">
        <v>569.95000000000005</v>
      </c>
      <c r="D987" s="116">
        <v>566.9</v>
      </c>
      <c r="E987" s="116">
        <v>579</v>
      </c>
      <c r="F987" s="116">
        <v>569.95000000000005</v>
      </c>
      <c r="G987">
        <v>553688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569</v>
      </c>
      <c r="C988" s="116">
        <v>555</v>
      </c>
      <c r="D988" s="116">
        <v>551.15</v>
      </c>
      <c r="E988" s="116">
        <v>569</v>
      </c>
      <c r="F988" s="116">
        <v>555</v>
      </c>
      <c r="G988">
        <v>162920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555.04999999999995</v>
      </c>
      <c r="C989" s="116">
        <v>549.29999999999995</v>
      </c>
      <c r="D989" s="116">
        <v>541.35</v>
      </c>
      <c r="E989" s="116">
        <v>555</v>
      </c>
      <c r="F989" s="116">
        <v>549.29999999999995</v>
      </c>
      <c r="G989">
        <v>53634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564</v>
      </c>
      <c r="C990" s="116">
        <v>550.29999999999995</v>
      </c>
      <c r="D990" s="116">
        <v>545.75</v>
      </c>
      <c r="E990" s="116">
        <v>564</v>
      </c>
      <c r="F990" s="116">
        <v>550.29999999999995</v>
      </c>
      <c r="G990">
        <v>101478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556.6</v>
      </c>
      <c r="C991" s="116">
        <v>551.54999999999995</v>
      </c>
      <c r="D991" s="116">
        <v>550</v>
      </c>
      <c r="E991" s="116">
        <v>553.95000000000005</v>
      </c>
      <c r="F991" s="116">
        <v>551.54999999999995</v>
      </c>
      <c r="G991">
        <v>26498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561</v>
      </c>
      <c r="C992" s="116">
        <v>552.45000000000005</v>
      </c>
      <c r="D992" s="116">
        <v>550</v>
      </c>
      <c r="E992" s="116">
        <v>553.85</v>
      </c>
      <c r="F992" s="116">
        <v>552.45000000000005</v>
      </c>
      <c r="G992">
        <v>75770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558</v>
      </c>
      <c r="C993" s="116">
        <v>554.54999999999995</v>
      </c>
      <c r="D993" s="116">
        <v>551.20000000000005</v>
      </c>
      <c r="E993" s="116">
        <v>558</v>
      </c>
      <c r="F993" s="116">
        <v>554.54999999999995</v>
      </c>
      <c r="G993">
        <v>30660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556</v>
      </c>
      <c r="C994" s="116">
        <v>538</v>
      </c>
      <c r="D994" s="116">
        <v>535.25</v>
      </c>
      <c r="E994" s="116">
        <v>552.5</v>
      </c>
      <c r="F994" s="116">
        <v>538</v>
      </c>
      <c r="G994">
        <v>35410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543.79999999999995</v>
      </c>
      <c r="C995" s="116">
        <v>536.15</v>
      </c>
      <c r="D995" s="116">
        <v>533</v>
      </c>
      <c r="E995" s="116">
        <v>536.70000000000005</v>
      </c>
      <c r="F995" s="116">
        <v>536.15</v>
      </c>
      <c r="G995">
        <v>48365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540.70000000000005</v>
      </c>
      <c r="C996" s="116">
        <v>536.6</v>
      </c>
      <c r="D996" s="116">
        <v>527.85</v>
      </c>
      <c r="E996" s="116">
        <v>540.70000000000005</v>
      </c>
      <c r="F996" s="116">
        <v>536.6</v>
      </c>
      <c r="G996">
        <v>33387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545.35</v>
      </c>
      <c r="C997" s="116">
        <v>542.1</v>
      </c>
      <c r="D997" s="116">
        <v>538.54999999999995</v>
      </c>
      <c r="E997" s="116">
        <v>545</v>
      </c>
      <c r="F997" s="116">
        <v>542.1</v>
      </c>
      <c r="G997">
        <v>40179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544.15</v>
      </c>
      <c r="C998" s="116">
        <v>539.45000000000005</v>
      </c>
      <c r="D998" s="116">
        <v>538</v>
      </c>
      <c r="E998" s="116">
        <v>544</v>
      </c>
      <c r="F998" s="116">
        <v>539.45000000000005</v>
      </c>
      <c r="G998">
        <v>334221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542.65</v>
      </c>
      <c r="C999" s="116">
        <v>535.85</v>
      </c>
      <c r="D999" s="116">
        <v>531.95000000000005</v>
      </c>
      <c r="E999" s="116">
        <v>542.65</v>
      </c>
      <c r="F999" s="116">
        <v>535.85</v>
      </c>
      <c r="G999">
        <v>323660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542.54999999999995</v>
      </c>
      <c r="C1000" s="116">
        <v>538.75</v>
      </c>
      <c r="D1000" s="116">
        <v>533.9</v>
      </c>
      <c r="E1000" s="116">
        <v>536.15</v>
      </c>
      <c r="F1000" s="116">
        <v>538.75</v>
      </c>
      <c r="G1000">
        <v>31056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543.04999999999995</v>
      </c>
      <c r="C1001" s="116">
        <v>541.20000000000005</v>
      </c>
      <c r="D1001" s="116">
        <v>535</v>
      </c>
      <c r="E1001" s="116">
        <v>539.25</v>
      </c>
      <c r="F1001" s="116">
        <v>541.20000000000005</v>
      </c>
      <c r="G1001">
        <v>73185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545</v>
      </c>
      <c r="C1002" s="116">
        <v>540.4</v>
      </c>
      <c r="D1002" s="116">
        <v>538</v>
      </c>
      <c r="E1002" s="116">
        <v>542.79999999999995</v>
      </c>
      <c r="F1002" s="116">
        <v>540.4</v>
      </c>
      <c r="G1002">
        <v>22657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543.54999999999995</v>
      </c>
      <c r="C1003" s="116">
        <v>532</v>
      </c>
      <c r="D1003" s="116">
        <v>526.5</v>
      </c>
      <c r="E1003" s="116">
        <v>541</v>
      </c>
      <c r="F1003" s="116">
        <v>532</v>
      </c>
      <c r="G1003">
        <v>59818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537.35</v>
      </c>
      <c r="C1004" s="116">
        <v>532.95000000000005</v>
      </c>
      <c r="D1004" s="116">
        <v>521</v>
      </c>
      <c r="E1004" s="116">
        <v>521</v>
      </c>
      <c r="F1004" s="116">
        <v>532.95000000000005</v>
      </c>
      <c r="G1004">
        <v>33530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540</v>
      </c>
      <c r="C1005" s="116">
        <v>534.4</v>
      </c>
      <c r="D1005" s="116">
        <v>532</v>
      </c>
      <c r="E1005" s="116">
        <v>533</v>
      </c>
      <c r="F1005" s="116">
        <v>534.4</v>
      </c>
      <c r="G1005">
        <v>25083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537.4</v>
      </c>
      <c r="C1006" s="116">
        <v>533.25</v>
      </c>
      <c r="D1006" s="116">
        <v>531.04999999999995</v>
      </c>
      <c r="E1006" s="116">
        <v>535</v>
      </c>
      <c r="F1006" s="116">
        <v>533.25</v>
      </c>
      <c r="G1006">
        <v>29849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542</v>
      </c>
      <c r="C1007" s="116">
        <v>536.29999999999995</v>
      </c>
      <c r="D1007" s="116">
        <v>530.15</v>
      </c>
      <c r="E1007" s="116">
        <v>536</v>
      </c>
      <c r="F1007" s="116">
        <v>536.29999999999995</v>
      </c>
      <c r="G1007">
        <v>36637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543.9</v>
      </c>
      <c r="C1008" s="116">
        <v>540.15</v>
      </c>
      <c r="D1008" s="116">
        <v>526.70000000000005</v>
      </c>
      <c r="E1008" s="116">
        <v>536</v>
      </c>
      <c r="F1008" s="116">
        <v>540.15</v>
      </c>
      <c r="G1008">
        <v>60712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541.6</v>
      </c>
      <c r="C1009" s="116">
        <v>533.15</v>
      </c>
      <c r="D1009" s="116">
        <v>530</v>
      </c>
      <c r="E1009" s="116">
        <v>535.75</v>
      </c>
      <c r="F1009" s="116">
        <v>533.15</v>
      </c>
      <c r="G1009">
        <v>31388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541.85</v>
      </c>
      <c r="C1010" s="116">
        <v>539.6</v>
      </c>
      <c r="D1010" s="116">
        <v>531.79999999999995</v>
      </c>
      <c r="E1010" s="116">
        <v>534.4</v>
      </c>
      <c r="F1010" s="116">
        <v>539.6</v>
      </c>
      <c r="G1010">
        <v>27150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544</v>
      </c>
      <c r="C1011" s="116">
        <v>533.1</v>
      </c>
      <c r="D1011" s="116">
        <v>530</v>
      </c>
      <c r="E1011" s="116">
        <v>544</v>
      </c>
      <c r="F1011" s="116">
        <v>533.1</v>
      </c>
      <c r="G1011">
        <v>84979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536.85</v>
      </c>
      <c r="C1012" s="116">
        <v>534.29999999999995</v>
      </c>
      <c r="D1012" s="116">
        <v>531.54999999999995</v>
      </c>
      <c r="E1012" s="116">
        <v>533.5</v>
      </c>
      <c r="F1012" s="116">
        <v>534.29999999999995</v>
      </c>
      <c r="G1012">
        <v>43606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546</v>
      </c>
      <c r="C1013" s="116">
        <v>541.75</v>
      </c>
      <c r="D1013" s="116">
        <v>529</v>
      </c>
      <c r="E1013" s="116">
        <v>532.25</v>
      </c>
      <c r="F1013" s="116">
        <v>541.75</v>
      </c>
      <c r="G1013">
        <v>41073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544.70000000000005</v>
      </c>
      <c r="C1014" s="116">
        <v>540.85</v>
      </c>
      <c r="D1014" s="116">
        <v>532.9</v>
      </c>
      <c r="E1014" s="116">
        <v>542</v>
      </c>
      <c r="F1014" s="116">
        <v>540.85</v>
      </c>
      <c r="G1014">
        <v>56871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542.5</v>
      </c>
      <c r="C1015" s="116">
        <v>540.5</v>
      </c>
      <c r="D1015" s="116">
        <v>531.5</v>
      </c>
      <c r="E1015" s="116">
        <v>541.15</v>
      </c>
      <c r="F1015" s="116">
        <v>540.5</v>
      </c>
      <c r="G1015">
        <v>47603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559.9</v>
      </c>
      <c r="C1016" s="116">
        <v>555.6</v>
      </c>
      <c r="D1016" s="116">
        <v>533.5</v>
      </c>
      <c r="E1016" s="116">
        <v>540.5</v>
      </c>
      <c r="F1016" s="116">
        <v>555.6</v>
      </c>
      <c r="G1016">
        <v>105477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558</v>
      </c>
      <c r="C1017" s="116">
        <v>544.75</v>
      </c>
      <c r="D1017" s="116">
        <v>536.6</v>
      </c>
      <c r="E1017" s="116">
        <v>558</v>
      </c>
      <c r="F1017" s="116">
        <v>544.75</v>
      </c>
      <c r="G1017">
        <v>46468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547.9</v>
      </c>
      <c r="C1018" s="116">
        <v>534.35</v>
      </c>
      <c r="D1018" s="116">
        <v>532.1</v>
      </c>
      <c r="E1018" s="116">
        <v>547.9</v>
      </c>
      <c r="F1018" s="116">
        <v>534.35</v>
      </c>
      <c r="G1018">
        <v>51529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535</v>
      </c>
      <c r="C1019" s="116">
        <v>528.6</v>
      </c>
      <c r="D1019" s="116">
        <v>513.5</v>
      </c>
      <c r="E1019" s="116">
        <v>535</v>
      </c>
      <c r="F1019" s="116">
        <v>528.6</v>
      </c>
      <c r="G1019">
        <v>107927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540.85</v>
      </c>
      <c r="C1020" s="116">
        <v>537.70000000000005</v>
      </c>
      <c r="D1020" s="116">
        <v>524.70000000000005</v>
      </c>
      <c r="E1020" s="116">
        <v>525.6</v>
      </c>
      <c r="F1020" s="116">
        <v>537.70000000000005</v>
      </c>
      <c r="G1020">
        <v>40904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540.54999999999995</v>
      </c>
      <c r="C1021" s="116">
        <v>532.20000000000005</v>
      </c>
      <c r="D1021" s="116">
        <v>531</v>
      </c>
      <c r="E1021" s="116">
        <v>534.65</v>
      </c>
      <c r="F1021" s="116">
        <v>532.20000000000005</v>
      </c>
      <c r="G1021">
        <v>24199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535</v>
      </c>
      <c r="C1022" s="116">
        <v>526.15</v>
      </c>
      <c r="D1022" s="116">
        <v>520.29999999999995</v>
      </c>
      <c r="E1022" s="116">
        <v>532.20000000000005</v>
      </c>
      <c r="F1022" s="116">
        <v>526.15</v>
      </c>
      <c r="G1022">
        <v>47501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528.5</v>
      </c>
      <c r="C1023" s="116">
        <v>522.4</v>
      </c>
      <c r="D1023" s="116">
        <v>519.04999999999995</v>
      </c>
      <c r="E1023" s="116">
        <v>524.15</v>
      </c>
      <c r="F1023" s="116">
        <v>522.4</v>
      </c>
      <c r="G1023">
        <v>23029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528.79999999999995</v>
      </c>
      <c r="C1024" s="116">
        <v>507.75</v>
      </c>
      <c r="D1024" s="116">
        <v>505.1</v>
      </c>
      <c r="E1024" s="116">
        <v>525</v>
      </c>
      <c r="F1024" s="116">
        <v>507.75</v>
      </c>
      <c r="G1024">
        <v>84681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518.79999999999995</v>
      </c>
      <c r="C1025" s="116">
        <v>514.35</v>
      </c>
      <c r="D1025" s="116">
        <v>501.65</v>
      </c>
      <c r="E1025" s="116">
        <v>505</v>
      </c>
      <c r="F1025" s="116">
        <v>514.35</v>
      </c>
      <c r="G1025">
        <v>88089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534</v>
      </c>
      <c r="C1026" s="116">
        <v>522.75</v>
      </c>
      <c r="D1026" s="116">
        <v>510</v>
      </c>
      <c r="E1026" s="116">
        <v>513.9</v>
      </c>
      <c r="F1026" s="116">
        <v>522.75</v>
      </c>
      <c r="G1026">
        <v>153109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529.5</v>
      </c>
      <c r="C1027" s="116">
        <v>520.5</v>
      </c>
      <c r="D1027" s="116">
        <v>519</v>
      </c>
      <c r="E1027" s="116">
        <v>524.4</v>
      </c>
      <c r="F1027" s="116">
        <v>520.5</v>
      </c>
      <c r="G1027">
        <v>30653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529.04999999999995</v>
      </c>
      <c r="C1028" s="116">
        <v>524.25</v>
      </c>
      <c r="D1028" s="116">
        <v>516.25</v>
      </c>
      <c r="E1028" s="116">
        <v>520.79999999999995</v>
      </c>
      <c r="F1028" s="116">
        <v>524.25</v>
      </c>
      <c r="G1028">
        <v>50097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532.4</v>
      </c>
      <c r="C1029" s="116">
        <v>529.75</v>
      </c>
      <c r="D1029" s="116">
        <v>524.4</v>
      </c>
      <c r="E1029" s="116">
        <v>529.15</v>
      </c>
      <c r="F1029" s="116">
        <v>529.75</v>
      </c>
      <c r="G1029">
        <v>24991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536.25</v>
      </c>
      <c r="C1030" s="116">
        <v>533.15</v>
      </c>
      <c r="D1030" s="116">
        <v>526.5</v>
      </c>
      <c r="E1030" s="116">
        <v>529.75</v>
      </c>
      <c r="F1030" s="116">
        <v>533.15</v>
      </c>
      <c r="G1030">
        <v>62916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532.95000000000005</v>
      </c>
      <c r="C1031" s="116">
        <v>530.6</v>
      </c>
      <c r="D1031" s="116">
        <v>524.4</v>
      </c>
      <c r="E1031" s="116">
        <v>528.5</v>
      </c>
      <c r="F1031" s="116">
        <v>530.6</v>
      </c>
      <c r="G1031">
        <v>37912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536.1</v>
      </c>
      <c r="C1032" s="116">
        <v>529.6</v>
      </c>
      <c r="D1032" s="116">
        <v>528</v>
      </c>
      <c r="E1032" s="116">
        <v>536.1</v>
      </c>
      <c r="F1032" s="116">
        <v>529.6</v>
      </c>
      <c r="G1032">
        <v>37870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539</v>
      </c>
      <c r="C1033" s="116">
        <v>537.04999999999995</v>
      </c>
      <c r="D1033" s="116">
        <v>525.45000000000005</v>
      </c>
      <c r="E1033" s="116">
        <v>532</v>
      </c>
      <c r="F1033" s="116">
        <v>537.04999999999995</v>
      </c>
      <c r="G1033">
        <v>50128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556.54999999999995</v>
      </c>
      <c r="C1034" s="116">
        <v>542.29999999999995</v>
      </c>
      <c r="D1034" s="116">
        <v>537.65</v>
      </c>
      <c r="E1034" s="116">
        <v>539</v>
      </c>
      <c r="F1034" s="116">
        <v>542.29999999999995</v>
      </c>
      <c r="G1034">
        <v>125099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570</v>
      </c>
      <c r="C1035" s="116">
        <v>566.1</v>
      </c>
      <c r="D1035" s="116">
        <v>542</v>
      </c>
      <c r="E1035" s="116">
        <v>559</v>
      </c>
      <c r="F1035" s="116">
        <v>566.1</v>
      </c>
      <c r="G1035">
        <v>153405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576.9</v>
      </c>
      <c r="C1036" s="116">
        <v>573.9</v>
      </c>
      <c r="D1036" s="116">
        <v>563.70000000000005</v>
      </c>
      <c r="E1036" s="116">
        <v>567</v>
      </c>
      <c r="F1036" s="116">
        <v>573.9</v>
      </c>
      <c r="G1036">
        <v>132387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598.45000000000005</v>
      </c>
      <c r="C1037" s="116">
        <v>596.04999999999995</v>
      </c>
      <c r="D1037" s="116">
        <v>572.85</v>
      </c>
      <c r="E1037" s="116">
        <v>573.9</v>
      </c>
      <c r="F1037" s="116">
        <v>596.04999999999995</v>
      </c>
      <c r="G1037">
        <v>222173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602</v>
      </c>
      <c r="C1038" s="116">
        <v>599.20000000000005</v>
      </c>
      <c r="D1038" s="116">
        <v>591.45000000000005</v>
      </c>
      <c r="E1038" s="116">
        <v>596.15</v>
      </c>
      <c r="F1038" s="116">
        <v>599.20000000000005</v>
      </c>
      <c r="G1038">
        <v>132194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601.79999999999995</v>
      </c>
      <c r="C1039" s="116">
        <v>593.54999999999995</v>
      </c>
      <c r="D1039" s="116">
        <v>590</v>
      </c>
      <c r="E1039" s="116">
        <v>590</v>
      </c>
      <c r="F1039" s="116">
        <v>593.54999999999995</v>
      </c>
      <c r="G1039">
        <v>77758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596.5</v>
      </c>
      <c r="C1040" s="116">
        <v>593.75</v>
      </c>
      <c r="D1040" s="116">
        <v>588.20000000000005</v>
      </c>
      <c r="E1040" s="116">
        <v>594.70000000000005</v>
      </c>
      <c r="F1040" s="116">
        <v>593.75</v>
      </c>
      <c r="G1040">
        <v>41862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627.95000000000005</v>
      </c>
      <c r="C1041" s="116">
        <v>625.04999999999995</v>
      </c>
      <c r="D1041" s="116">
        <v>593.25</v>
      </c>
      <c r="E1041" s="116">
        <v>595</v>
      </c>
      <c r="F1041" s="116">
        <v>625.04999999999995</v>
      </c>
      <c r="G1041">
        <v>210137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630.95000000000005</v>
      </c>
      <c r="C1042" s="116">
        <v>621.6</v>
      </c>
      <c r="D1042" s="116">
        <v>617</v>
      </c>
      <c r="E1042" s="116">
        <v>630</v>
      </c>
      <c r="F1042" s="116">
        <v>621.6</v>
      </c>
      <c r="G1042">
        <v>171484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630</v>
      </c>
      <c r="C1043" s="116">
        <v>618.45000000000005</v>
      </c>
      <c r="D1043" s="116">
        <v>615</v>
      </c>
      <c r="E1043" s="116">
        <v>621.85</v>
      </c>
      <c r="F1043" s="116">
        <v>618.45000000000005</v>
      </c>
      <c r="G1043">
        <v>96566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617</v>
      </c>
      <c r="C1044" s="116">
        <v>602.79999999999995</v>
      </c>
      <c r="D1044" s="116">
        <v>598.5</v>
      </c>
      <c r="E1044" s="116">
        <v>616.45000000000005</v>
      </c>
      <c r="F1044" s="116">
        <v>602.79999999999995</v>
      </c>
      <c r="G1044">
        <v>106968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607.1</v>
      </c>
      <c r="C1045" s="116">
        <v>599.95000000000005</v>
      </c>
      <c r="D1045" s="116">
        <v>596.4</v>
      </c>
      <c r="E1045" s="116">
        <v>604.79999999999995</v>
      </c>
      <c r="F1045" s="116">
        <v>599.95000000000005</v>
      </c>
      <c r="G1045">
        <v>63433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610.5</v>
      </c>
      <c r="C1046" s="116">
        <v>604.29999999999995</v>
      </c>
      <c r="D1046" s="116">
        <v>600</v>
      </c>
      <c r="E1046" s="116">
        <v>604.25</v>
      </c>
      <c r="F1046" s="116">
        <v>604.29999999999995</v>
      </c>
      <c r="G1046">
        <v>95741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613.9</v>
      </c>
      <c r="C1047" s="116">
        <v>612.65</v>
      </c>
      <c r="D1047" s="116">
        <v>600.9</v>
      </c>
      <c r="E1047" s="116">
        <v>604</v>
      </c>
      <c r="F1047" s="116">
        <v>612.65</v>
      </c>
      <c r="G1047">
        <v>56772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615.85</v>
      </c>
      <c r="C1048" s="116">
        <v>614.15</v>
      </c>
      <c r="D1048" s="116">
        <v>608.1</v>
      </c>
      <c r="E1048" s="116">
        <v>614.70000000000005</v>
      </c>
      <c r="F1048" s="116">
        <v>614.15</v>
      </c>
      <c r="G1048">
        <v>67546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619</v>
      </c>
      <c r="C1049" s="116">
        <v>612.79999999999995</v>
      </c>
      <c r="D1049" s="116">
        <v>608.54999999999995</v>
      </c>
      <c r="E1049" s="116">
        <v>619</v>
      </c>
      <c r="F1049" s="116">
        <v>612.79999999999995</v>
      </c>
      <c r="G1049">
        <v>41376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612.9</v>
      </c>
      <c r="C1050" s="116">
        <v>602.85</v>
      </c>
      <c r="D1050" s="116">
        <v>599.20000000000005</v>
      </c>
      <c r="E1050" s="116">
        <v>606.70000000000005</v>
      </c>
      <c r="F1050" s="116">
        <v>602.85</v>
      </c>
      <c r="G1050">
        <v>41113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615</v>
      </c>
      <c r="C1051" s="116">
        <v>613.20000000000005</v>
      </c>
      <c r="D1051" s="116">
        <v>603.75</v>
      </c>
      <c r="E1051" s="116">
        <v>604.29999999999995</v>
      </c>
      <c r="F1051" s="116">
        <v>613.20000000000005</v>
      </c>
      <c r="G1051">
        <v>51078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626.75</v>
      </c>
      <c r="C1052" s="116">
        <v>623.79999999999995</v>
      </c>
      <c r="D1052" s="116">
        <v>613</v>
      </c>
      <c r="E1052" s="116">
        <v>613</v>
      </c>
      <c r="F1052" s="116">
        <v>623.79999999999995</v>
      </c>
      <c r="G1052">
        <v>116186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633.5</v>
      </c>
      <c r="C1053" s="116">
        <v>626.4</v>
      </c>
      <c r="D1053" s="116">
        <v>622.79999999999995</v>
      </c>
      <c r="E1053" s="116">
        <v>626.65</v>
      </c>
      <c r="F1053" s="116">
        <v>626.4</v>
      </c>
      <c r="G1053">
        <v>71506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634.95000000000005</v>
      </c>
      <c r="C1054" s="116">
        <v>630.45000000000005</v>
      </c>
      <c r="D1054" s="116">
        <v>627.1</v>
      </c>
      <c r="E1054" s="116">
        <v>634.95000000000005</v>
      </c>
      <c r="F1054" s="116">
        <v>630.45000000000005</v>
      </c>
      <c r="G1054">
        <v>43006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641.54999999999995</v>
      </c>
      <c r="C1055" s="116">
        <v>625.35</v>
      </c>
      <c r="D1055" s="116">
        <v>620.1</v>
      </c>
      <c r="E1055" s="116">
        <v>633</v>
      </c>
      <c r="F1055" s="116">
        <v>625.35</v>
      </c>
      <c r="G1055">
        <v>72191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626.79999999999995</v>
      </c>
      <c r="C1056" s="116">
        <v>622.70000000000005</v>
      </c>
      <c r="D1056" s="116">
        <v>620.75</v>
      </c>
      <c r="E1056" s="116">
        <v>625</v>
      </c>
      <c r="F1056" s="116">
        <v>622.70000000000005</v>
      </c>
      <c r="G1056">
        <v>38278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633.25</v>
      </c>
      <c r="C1057" s="116">
        <v>617.65</v>
      </c>
      <c r="D1057" s="116">
        <v>615.4</v>
      </c>
      <c r="E1057" s="116">
        <v>623</v>
      </c>
      <c r="F1057" s="116">
        <v>617.65</v>
      </c>
      <c r="G1057">
        <v>72060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628.5</v>
      </c>
      <c r="C1058" s="116">
        <v>607.04999999999995</v>
      </c>
      <c r="D1058" s="116">
        <v>602</v>
      </c>
      <c r="E1058" s="116">
        <v>628.5</v>
      </c>
      <c r="F1058" s="116">
        <v>607.04999999999995</v>
      </c>
      <c r="G1058">
        <v>63199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613.9</v>
      </c>
      <c r="C1059" s="116">
        <v>610.65</v>
      </c>
      <c r="D1059" s="116">
        <v>606</v>
      </c>
      <c r="E1059" s="116">
        <v>608.45000000000005</v>
      </c>
      <c r="F1059" s="116">
        <v>610.65</v>
      </c>
      <c r="G1059">
        <v>27199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624.70000000000005</v>
      </c>
      <c r="C1060" s="116">
        <v>611.20000000000005</v>
      </c>
      <c r="D1060" s="116">
        <v>608</v>
      </c>
      <c r="E1060" s="116">
        <v>613.4</v>
      </c>
      <c r="F1060" s="116">
        <v>611.20000000000005</v>
      </c>
      <c r="G1060">
        <v>75343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618</v>
      </c>
      <c r="C1061" s="116">
        <v>609.29999999999995</v>
      </c>
      <c r="D1061" s="116">
        <v>607.54999999999995</v>
      </c>
      <c r="E1061" s="116">
        <v>618</v>
      </c>
      <c r="F1061" s="116">
        <v>609.29999999999995</v>
      </c>
      <c r="G1061">
        <v>30098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616.35</v>
      </c>
      <c r="C1062" s="116">
        <v>609.54999999999995</v>
      </c>
      <c r="D1062" s="116">
        <v>607</v>
      </c>
      <c r="E1062" s="116">
        <v>610.75</v>
      </c>
      <c r="F1062" s="116">
        <v>609.54999999999995</v>
      </c>
      <c r="G1062">
        <v>27828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619</v>
      </c>
      <c r="C1063" s="116">
        <v>616.79999999999995</v>
      </c>
      <c r="D1063" s="116">
        <v>609.35</v>
      </c>
      <c r="E1063" s="116">
        <v>612.35</v>
      </c>
      <c r="F1063" s="116">
        <v>616.79999999999995</v>
      </c>
      <c r="G1063">
        <v>55235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43567</v>
      </c>
      <c r="B1064" s="116">
        <v>625.5</v>
      </c>
      <c r="C1064" s="116">
        <v>620.29999999999995</v>
      </c>
      <c r="D1064" s="116">
        <v>616.6</v>
      </c>
      <c r="E1064" s="116">
        <v>617.95000000000005</v>
      </c>
      <c r="F1064" s="116">
        <v>620.29999999999995</v>
      </c>
      <c r="G1064">
        <v>75341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43570</v>
      </c>
      <c r="B1065" s="116">
        <v>627.70000000000005</v>
      </c>
      <c r="C1065" s="116">
        <v>621.9</v>
      </c>
      <c r="D1065" s="116">
        <v>618.5</v>
      </c>
      <c r="E1065" s="116">
        <v>625.54999999999995</v>
      </c>
      <c r="F1065" s="116">
        <v>621.9</v>
      </c>
      <c r="G1065">
        <v>45198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43571</v>
      </c>
      <c r="B1066" s="116">
        <v>628</v>
      </c>
      <c r="C1066" s="116">
        <v>623.25</v>
      </c>
      <c r="D1066" s="116">
        <v>622.20000000000005</v>
      </c>
      <c r="E1066" s="116">
        <v>623.95000000000005</v>
      </c>
      <c r="F1066" s="116">
        <v>623.25</v>
      </c>
      <c r="G1066">
        <v>22175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43573</v>
      </c>
      <c r="B1067" s="116">
        <v>626.95000000000005</v>
      </c>
      <c r="C1067" s="116">
        <v>615.45000000000005</v>
      </c>
      <c r="D1067" s="116">
        <v>610</v>
      </c>
      <c r="E1067" s="116">
        <v>626</v>
      </c>
      <c r="F1067" s="116">
        <v>615.45000000000005</v>
      </c>
      <c r="G1067">
        <v>39246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43577</v>
      </c>
      <c r="B1068" s="116">
        <v>615.5</v>
      </c>
      <c r="C1068" s="116">
        <v>612.20000000000005</v>
      </c>
      <c r="D1068" s="116">
        <v>605.95000000000005</v>
      </c>
      <c r="E1068" s="116">
        <v>615</v>
      </c>
      <c r="F1068" s="116">
        <v>612.20000000000005</v>
      </c>
      <c r="G1068">
        <v>36670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43578</v>
      </c>
      <c r="B1069" s="116">
        <v>625.1</v>
      </c>
      <c r="C1069" s="116">
        <v>621.65</v>
      </c>
      <c r="D1069" s="116">
        <v>610</v>
      </c>
      <c r="E1069" s="116">
        <v>612</v>
      </c>
      <c r="F1069" s="116">
        <v>621.65</v>
      </c>
      <c r="G1069">
        <v>59859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43579</v>
      </c>
      <c r="B1070" s="116">
        <v>624.1</v>
      </c>
      <c r="C1070" s="116">
        <v>616.20000000000005</v>
      </c>
      <c r="D1070" s="116">
        <v>613.15</v>
      </c>
      <c r="E1070" s="116">
        <v>623.20000000000005</v>
      </c>
      <c r="F1070" s="116">
        <v>616.20000000000005</v>
      </c>
      <c r="G1070">
        <v>34880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43580</v>
      </c>
      <c r="B1071" s="116">
        <v>619.65</v>
      </c>
      <c r="C1071" s="116">
        <v>615.25</v>
      </c>
      <c r="D1071" s="116">
        <v>611.9</v>
      </c>
      <c r="E1071" s="116">
        <v>617.95000000000005</v>
      </c>
      <c r="F1071" s="116">
        <v>615.25</v>
      </c>
      <c r="G1071">
        <v>26407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43581</v>
      </c>
      <c r="B1072" s="116">
        <v>617.9</v>
      </c>
      <c r="C1072" s="116">
        <v>609</v>
      </c>
      <c r="D1072" s="116">
        <v>600.75</v>
      </c>
      <c r="E1072" s="116">
        <v>617</v>
      </c>
      <c r="F1072" s="116">
        <v>609</v>
      </c>
      <c r="G1072">
        <v>47762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43585</v>
      </c>
      <c r="B1073" s="116">
        <v>618</v>
      </c>
      <c r="C1073" s="116">
        <v>602.85</v>
      </c>
      <c r="D1073" s="116">
        <v>599</v>
      </c>
      <c r="E1073" s="116">
        <v>618</v>
      </c>
      <c r="F1073" s="116">
        <v>602.85</v>
      </c>
      <c r="G1073">
        <v>28267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43587</v>
      </c>
      <c r="B1074" s="116">
        <v>610.25</v>
      </c>
      <c r="C1074" s="116">
        <v>600.54999999999995</v>
      </c>
      <c r="D1074" s="116">
        <v>598.65</v>
      </c>
      <c r="E1074" s="116">
        <v>600</v>
      </c>
      <c r="F1074" s="116">
        <v>600.54999999999995</v>
      </c>
      <c r="G1074">
        <v>33174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43588</v>
      </c>
      <c r="B1075" s="116">
        <v>620.85</v>
      </c>
      <c r="C1075" s="116">
        <v>604.20000000000005</v>
      </c>
      <c r="D1075" s="116">
        <v>601.20000000000005</v>
      </c>
      <c r="E1075" s="116">
        <v>609.25</v>
      </c>
      <c r="F1075" s="116">
        <v>604.20000000000005</v>
      </c>
      <c r="G1075">
        <v>74838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43591</v>
      </c>
      <c r="B1076" s="116">
        <v>610.6</v>
      </c>
      <c r="C1076" s="116">
        <v>605.85</v>
      </c>
      <c r="D1076" s="116">
        <v>598.54999999999995</v>
      </c>
      <c r="E1076" s="116">
        <v>603</v>
      </c>
      <c r="F1076" s="116">
        <v>605.85</v>
      </c>
      <c r="G1076">
        <v>74050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43592</v>
      </c>
      <c r="B1077" s="116">
        <v>611.04999999999995</v>
      </c>
      <c r="C1077" s="116">
        <v>600.75</v>
      </c>
      <c r="D1077" s="116">
        <v>598.45000000000005</v>
      </c>
      <c r="E1077" s="116">
        <v>607.95000000000005</v>
      </c>
      <c r="F1077" s="116">
        <v>600.75</v>
      </c>
      <c r="G1077">
        <v>31139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43593</v>
      </c>
      <c r="B1078" s="116">
        <v>600</v>
      </c>
      <c r="C1078" s="116">
        <v>574.79999999999995</v>
      </c>
      <c r="D1078" s="116">
        <v>572</v>
      </c>
      <c r="E1078" s="116">
        <v>600</v>
      </c>
      <c r="F1078" s="116">
        <v>574.79999999999995</v>
      </c>
      <c r="G1078">
        <v>140557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43594</v>
      </c>
      <c r="B1079" s="116">
        <v>580.4</v>
      </c>
      <c r="C1079" s="116">
        <v>573.20000000000005</v>
      </c>
      <c r="D1079" s="116">
        <v>568.85</v>
      </c>
      <c r="E1079" s="116">
        <v>576</v>
      </c>
      <c r="F1079" s="116">
        <v>573.20000000000005</v>
      </c>
      <c r="G1079">
        <v>94988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43595</v>
      </c>
      <c r="B1080" s="116">
        <v>585.25</v>
      </c>
      <c r="C1080" s="116">
        <v>579.70000000000005</v>
      </c>
      <c r="D1080" s="116">
        <v>537</v>
      </c>
      <c r="E1080" s="116">
        <v>539.79999999999995</v>
      </c>
      <c r="F1080" s="116">
        <v>579.70000000000005</v>
      </c>
      <c r="G1080">
        <v>789466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43598</v>
      </c>
      <c r="B1081" s="116">
        <v>575.75</v>
      </c>
      <c r="C1081" s="116">
        <v>570.54999999999995</v>
      </c>
      <c r="D1081" s="116">
        <v>562.20000000000005</v>
      </c>
      <c r="E1081" s="116">
        <v>573.6</v>
      </c>
      <c r="F1081" s="116">
        <v>570.54999999999995</v>
      </c>
      <c r="G1081">
        <v>80002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43599</v>
      </c>
      <c r="B1082" s="116">
        <v>576.5</v>
      </c>
      <c r="C1082" s="116">
        <v>572.6</v>
      </c>
      <c r="D1082" s="116">
        <v>565</v>
      </c>
      <c r="E1082" s="116">
        <v>570.15</v>
      </c>
      <c r="F1082" s="116">
        <v>572.6</v>
      </c>
      <c r="G1082">
        <v>46738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43600</v>
      </c>
      <c r="B1083" s="116">
        <v>571.54999999999995</v>
      </c>
      <c r="C1083" s="116">
        <v>559.65</v>
      </c>
      <c r="D1083" s="116">
        <v>557.29999999999995</v>
      </c>
      <c r="E1083" s="116">
        <v>571.54999999999995</v>
      </c>
      <c r="F1083" s="116">
        <v>559.65</v>
      </c>
      <c r="G1083">
        <v>537981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43601</v>
      </c>
      <c r="B1084" s="116">
        <v>561</v>
      </c>
      <c r="C1084" s="116">
        <v>557.4</v>
      </c>
      <c r="D1084" s="116">
        <v>550.6</v>
      </c>
      <c r="E1084" s="116">
        <v>560</v>
      </c>
      <c r="F1084" s="116">
        <v>557.4</v>
      </c>
      <c r="G1084">
        <v>38738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43602</v>
      </c>
      <c r="B1085" s="116">
        <v>577.95000000000005</v>
      </c>
      <c r="C1085" s="116">
        <v>574.65</v>
      </c>
      <c r="D1085" s="116">
        <v>556.95000000000005</v>
      </c>
      <c r="E1085" s="116">
        <v>557.5</v>
      </c>
      <c r="F1085" s="116">
        <v>574.65</v>
      </c>
      <c r="G1085">
        <v>52254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43605</v>
      </c>
      <c r="B1086" s="116">
        <v>605.25</v>
      </c>
      <c r="C1086" s="116">
        <v>588.75</v>
      </c>
      <c r="D1086" s="116">
        <v>582</v>
      </c>
      <c r="E1086" s="116">
        <v>582</v>
      </c>
      <c r="F1086" s="116">
        <v>588.75</v>
      </c>
      <c r="G1086">
        <v>45390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43606</v>
      </c>
      <c r="B1087" s="116">
        <v>594.95000000000005</v>
      </c>
      <c r="C1087" s="116">
        <v>584.5</v>
      </c>
      <c r="D1087" s="116">
        <v>580.70000000000005</v>
      </c>
      <c r="E1087" s="116">
        <v>589</v>
      </c>
      <c r="F1087" s="116">
        <v>584.5</v>
      </c>
      <c r="G1087">
        <v>49439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43607</v>
      </c>
      <c r="B1088" s="116">
        <v>592</v>
      </c>
      <c r="C1088" s="116">
        <v>584.04999999999995</v>
      </c>
      <c r="D1088" s="116">
        <v>579.75</v>
      </c>
      <c r="E1088" s="116">
        <v>584.5</v>
      </c>
      <c r="F1088" s="116">
        <v>584.04999999999995</v>
      </c>
      <c r="G1088">
        <v>25734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43608</v>
      </c>
      <c r="B1089" s="116">
        <v>599.6</v>
      </c>
      <c r="C1089" s="116">
        <v>576.75</v>
      </c>
      <c r="D1089" s="116">
        <v>572.45000000000005</v>
      </c>
      <c r="E1089" s="116">
        <v>585</v>
      </c>
      <c r="F1089" s="116">
        <v>576.75</v>
      </c>
      <c r="G1089">
        <v>48907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43609</v>
      </c>
      <c r="B1090" s="116">
        <v>585.29999999999995</v>
      </c>
      <c r="C1090" s="116">
        <v>582.70000000000005</v>
      </c>
      <c r="D1090" s="116">
        <v>571.5</v>
      </c>
      <c r="E1090" s="116">
        <v>580</v>
      </c>
      <c r="F1090" s="116">
        <v>582.70000000000005</v>
      </c>
      <c r="G1090">
        <v>38330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43612</v>
      </c>
      <c r="B1091" s="116">
        <v>596.75</v>
      </c>
      <c r="C1091" s="116">
        <v>591.9</v>
      </c>
      <c r="D1091" s="116">
        <v>584</v>
      </c>
      <c r="E1091" s="116">
        <v>584</v>
      </c>
      <c r="F1091" s="116">
        <v>591.9</v>
      </c>
      <c r="G1091">
        <v>69380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43613</v>
      </c>
      <c r="B1092" s="116">
        <v>604.65</v>
      </c>
      <c r="C1092" s="116">
        <v>588</v>
      </c>
      <c r="D1092" s="116">
        <v>585.95000000000005</v>
      </c>
      <c r="E1092" s="116">
        <v>599</v>
      </c>
      <c r="F1092" s="116">
        <v>588</v>
      </c>
      <c r="G1092">
        <v>67515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43614</v>
      </c>
      <c r="B1093" s="116">
        <v>589</v>
      </c>
      <c r="C1093" s="116">
        <v>572.35</v>
      </c>
      <c r="D1093" s="116">
        <v>570.85</v>
      </c>
      <c r="E1093" s="116">
        <v>589</v>
      </c>
      <c r="F1093" s="116">
        <v>572.35</v>
      </c>
      <c r="G1093">
        <v>52269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43615</v>
      </c>
      <c r="B1094" s="116">
        <v>575.20000000000005</v>
      </c>
      <c r="C1094" s="116">
        <v>571.9</v>
      </c>
      <c r="D1094" s="116">
        <v>564.70000000000005</v>
      </c>
      <c r="E1094" s="116">
        <v>570.45000000000005</v>
      </c>
      <c r="F1094" s="116">
        <v>571.9</v>
      </c>
      <c r="G1094">
        <v>53578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43616</v>
      </c>
      <c r="B1095" s="116">
        <v>590.35</v>
      </c>
      <c r="C1095" s="116">
        <v>578.9</v>
      </c>
      <c r="D1095" s="116">
        <v>572.04999999999995</v>
      </c>
      <c r="E1095" s="116">
        <v>574.45000000000005</v>
      </c>
      <c r="F1095" s="116">
        <v>578.9</v>
      </c>
      <c r="G1095">
        <v>65322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43619</v>
      </c>
      <c r="B1096" s="116">
        <v>594</v>
      </c>
      <c r="C1096" s="116">
        <v>590.9</v>
      </c>
      <c r="D1096" s="116">
        <v>579</v>
      </c>
      <c r="E1096" s="116">
        <v>584</v>
      </c>
      <c r="F1096" s="116">
        <v>590.9</v>
      </c>
      <c r="G1096">
        <v>54529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43620</v>
      </c>
      <c r="B1097" s="116">
        <v>601.79999999999995</v>
      </c>
      <c r="C1097" s="116">
        <v>598.29999999999995</v>
      </c>
      <c r="D1097" s="116">
        <v>591.1</v>
      </c>
      <c r="E1097" s="116">
        <v>594.5</v>
      </c>
      <c r="F1097" s="116">
        <v>598.29999999999995</v>
      </c>
      <c r="G1097">
        <v>47291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43622</v>
      </c>
      <c r="B1098" s="116">
        <v>606.4</v>
      </c>
      <c r="C1098" s="116">
        <v>587.70000000000005</v>
      </c>
      <c r="D1098" s="116">
        <v>574.95000000000005</v>
      </c>
      <c r="E1098" s="116">
        <v>600</v>
      </c>
      <c r="F1098" s="116">
        <v>587.70000000000005</v>
      </c>
      <c r="G1098">
        <v>47458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43623</v>
      </c>
      <c r="B1099" s="116">
        <v>618.5</v>
      </c>
      <c r="C1099" s="116">
        <v>617.20000000000005</v>
      </c>
      <c r="D1099" s="116">
        <v>586</v>
      </c>
      <c r="E1099" s="116">
        <v>586.5</v>
      </c>
      <c r="F1099" s="116">
        <v>617.20000000000005</v>
      </c>
      <c r="G1099">
        <v>202538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43626</v>
      </c>
      <c r="B1100" s="116">
        <v>624.75</v>
      </c>
      <c r="C1100" s="116">
        <v>620.6</v>
      </c>
      <c r="D1100" s="116">
        <v>615.20000000000005</v>
      </c>
      <c r="E1100" s="116">
        <v>620</v>
      </c>
      <c r="F1100" s="116">
        <v>620.6</v>
      </c>
      <c r="G1100">
        <v>85433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43627</v>
      </c>
      <c r="B1101" s="116">
        <v>625</v>
      </c>
      <c r="C1101" s="116">
        <v>615.54999999999995</v>
      </c>
      <c r="D1101" s="116">
        <v>613.15</v>
      </c>
      <c r="E1101" s="116">
        <v>625</v>
      </c>
      <c r="F1101" s="116">
        <v>615.54999999999995</v>
      </c>
      <c r="G1101">
        <v>51920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43628</v>
      </c>
      <c r="B1102" s="116">
        <v>621</v>
      </c>
      <c r="C1102" s="116">
        <v>608.15</v>
      </c>
      <c r="D1102" s="116">
        <v>605</v>
      </c>
      <c r="E1102" s="116">
        <v>621</v>
      </c>
      <c r="F1102" s="116">
        <v>608.15</v>
      </c>
      <c r="G1102">
        <v>43936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43629</v>
      </c>
      <c r="B1103" s="116">
        <v>616</v>
      </c>
      <c r="C1103" s="116">
        <v>613.35</v>
      </c>
      <c r="D1103" s="116">
        <v>607.6</v>
      </c>
      <c r="E1103" s="116">
        <v>608.4</v>
      </c>
      <c r="F1103" s="116">
        <v>613.35</v>
      </c>
      <c r="G1103">
        <v>60755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43630</v>
      </c>
      <c r="B1104" s="116">
        <v>615.15</v>
      </c>
      <c r="C1104" s="116">
        <v>605.1</v>
      </c>
      <c r="D1104" s="116">
        <v>604.6</v>
      </c>
      <c r="E1104" s="116">
        <v>614</v>
      </c>
      <c r="F1104" s="116">
        <v>605.1</v>
      </c>
      <c r="G1104">
        <v>26329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43633</v>
      </c>
      <c r="B1105" s="116">
        <v>615</v>
      </c>
      <c r="C1105" s="116">
        <v>594.65</v>
      </c>
      <c r="D1105" s="116">
        <v>593</v>
      </c>
      <c r="E1105" s="116">
        <v>615</v>
      </c>
      <c r="F1105" s="116">
        <v>594.65</v>
      </c>
      <c r="G1105">
        <v>43824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43634</v>
      </c>
      <c r="B1106" s="116">
        <v>603.04999999999995</v>
      </c>
      <c r="C1106" s="116">
        <v>600.65</v>
      </c>
      <c r="D1106" s="116">
        <v>593</v>
      </c>
      <c r="E1106" s="116">
        <v>596</v>
      </c>
      <c r="F1106" s="116">
        <v>600.65</v>
      </c>
      <c r="G1106">
        <v>26237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43635</v>
      </c>
      <c r="B1107" s="116">
        <v>613.79999999999995</v>
      </c>
      <c r="C1107" s="116">
        <v>609.70000000000005</v>
      </c>
      <c r="D1107" s="116">
        <v>599.95000000000005</v>
      </c>
      <c r="E1107" s="116">
        <v>599.95000000000005</v>
      </c>
      <c r="F1107" s="116">
        <v>609.70000000000005</v>
      </c>
      <c r="G1107">
        <v>89478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43636</v>
      </c>
      <c r="B1108" s="116">
        <v>625.20000000000005</v>
      </c>
      <c r="C1108" s="116">
        <v>621.20000000000005</v>
      </c>
      <c r="D1108" s="116">
        <v>608.5</v>
      </c>
      <c r="E1108" s="116">
        <v>612.95000000000005</v>
      </c>
      <c r="F1108" s="116">
        <v>621.20000000000005</v>
      </c>
      <c r="G1108">
        <v>62717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43637</v>
      </c>
      <c r="B1109" s="116">
        <v>625</v>
      </c>
      <c r="C1109" s="116">
        <v>623.20000000000005</v>
      </c>
      <c r="D1109" s="116">
        <v>612.9</v>
      </c>
      <c r="E1109" s="116">
        <v>623</v>
      </c>
      <c r="F1109" s="116">
        <v>623.20000000000005</v>
      </c>
      <c r="G1109">
        <v>43806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43640</v>
      </c>
      <c r="B1110" s="116">
        <v>634.85</v>
      </c>
      <c r="C1110" s="116">
        <v>632.1</v>
      </c>
      <c r="D1110" s="116">
        <v>625</v>
      </c>
      <c r="E1110" s="116">
        <v>625</v>
      </c>
      <c r="F1110" s="116">
        <v>632.1</v>
      </c>
      <c r="G1110">
        <v>97640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43641</v>
      </c>
      <c r="B1111" s="116">
        <v>654.29999999999995</v>
      </c>
      <c r="C1111" s="116">
        <v>651.29999999999995</v>
      </c>
      <c r="D1111" s="116">
        <v>632</v>
      </c>
      <c r="E1111" s="116">
        <v>635</v>
      </c>
      <c r="F1111" s="116">
        <v>651.29999999999995</v>
      </c>
      <c r="G1111">
        <v>157226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43642</v>
      </c>
      <c r="B1112" s="116">
        <v>658.55</v>
      </c>
      <c r="C1112" s="116">
        <v>653.70000000000005</v>
      </c>
      <c r="D1112" s="116">
        <v>645.95000000000005</v>
      </c>
      <c r="E1112" s="116">
        <v>648</v>
      </c>
      <c r="F1112" s="116">
        <v>653.70000000000005</v>
      </c>
      <c r="G1112">
        <v>144987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43643</v>
      </c>
      <c r="B1113" s="116">
        <v>658.6</v>
      </c>
      <c r="C1113" s="116">
        <v>652.70000000000005</v>
      </c>
      <c r="D1113" s="116">
        <v>649.5</v>
      </c>
      <c r="E1113" s="116">
        <v>655</v>
      </c>
      <c r="F1113" s="116">
        <v>652.70000000000005</v>
      </c>
      <c r="G1113">
        <v>72680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43644</v>
      </c>
      <c r="B1114" s="116">
        <v>654.35</v>
      </c>
      <c r="C1114" s="116">
        <v>643.54999999999995</v>
      </c>
      <c r="D1114" s="116">
        <v>641.4</v>
      </c>
      <c r="E1114" s="116">
        <v>647.04999999999995</v>
      </c>
      <c r="F1114" s="116">
        <v>643.54999999999995</v>
      </c>
      <c r="G1114">
        <v>42858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43647</v>
      </c>
      <c r="B1115" s="116">
        <v>662.15</v>
      </c>
      <c r="C1115" s="116">
        <v>655.55</v>
      </c>
      <c r="D1115" s="116">
        <v>638.04999999999995</v>
      </c>
      <c r="E1115" s="116">
        <v>645.15</v>
      </c>
      <c r="F1115" s="116">
        <v>655.55</v>
      </c>
      <c r="G1115">
        <v>96911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43648</v>
      </c>
      <c r="B1116" s="116">
        <v>658</v>
      </c>
      <c r="C1116" s="116">
        <v>645</v>
      </c>
      <c r="D1116" s="116">
        <v>640.29999999999995</v>
      </c>
      <c r="E1116" s="116">
        <v>657.95</v>
      </c>
      <c r="F1116" s="116">
        <v>645</v>
      </c>
      <c r="G1116">
        <v>64816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43649</v>
      </c>
      <c r="B1117" s="116">
        <v>647.15</v>
      </c>
      <c r="C1117" s="116">
        <v>641</v>
      </c>
      <c r="D1117" s="116">
        <v>636</v>
      </c>
      <c r="E1117" s="116">
        <v>647.15</v>
      </c>
      <c r="F1117" s="116">
        <v>641</v>
      </c>
      <c r="G1117">
        <v>43568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43650</v>
      </c>
      <c r="B1118" s="116">
        <v>640.5</v>
      </c>
      <c r="C1118" s="116">
        <v>635</v>
      </c>
      <c r="D1118" s="116">
        <v>634</v>
      </c>
      <c r="E1118" s="116">
        <v>640.5</v>
      </c>
      <c r="F1118" s="116">
        <v>635</v>
      </c>
      <c r="G1118">
        <v>28475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43651</v>
      </c>
      <c r="B1119" s="116">
        <v>637.70000000000005</v>
      </c>
      <c r="C1119" s="116">
        <v>615.65</v>
      </c>
      <c r="D1119" s="116">
        <v>613</v>
      </c>
      <c r="E1119" s="116">
        <v>634.04999999999995</v>
      </c>
      <c r="F1119" s="116">
        <v>615.65</v>
      </c>
      <c r="G1119">
        <v>64466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43654</v>
      </c>
      <c r="B1120" s="116">
        <v>615</v>
      </c>
      <c r="C1120" s="116">
        <v>603.29999999999995</v>
      </c>
      <c r="D1120" s="116">
        <v>599.6</v>
      </c>
      <c r="E1120" s="116">
        <v>615</v>
      </c>
      <c r="F1120" s="116">
        <v>603.29999999999995</v>
      </c>
      <c r="G1120">
        <v>32505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43655</v>
      </c>
      <c r="B1121" s="116">
        <v>620</v>
      </c>
      <c r="C1121" s="116">
        <v>596.6</v>
      </c>
      <c r="D1121" s="116">
        <v>587.35</v>
      </c>
      <c r="E1121" s="116">
        <v>620</v>
      </c>
      <c r="F1121" s="116">
        <v>596.6</v>
      </c>
      <c r="G1121">
        <v>43362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43656</v>
      </c>
      <c r="B1122" s="116">
        <v>599.85</v>
      </c>
      <c r="C1122" s="116">
        <v>590.85</v>
      </c>
      <c r="D1122" s="116">
        <v>589.65</v>
      </c>
      <c r="E1122" s="116">
        <v>597.20000000000005</v>
      </c>
      <c r="F1122" s="116">
        <v>590.85</v>
      </c>
      <c r="G1122">
        <v>34496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43657</v>
      </c>
      <c r="B1123" s="116">
        <v>595.4</v>
      </c>
      <c r="C1123" s="116">
        <v>591.20000000000005</v>
      </c>
      <c r="D1123" s="116">
        <v>583.45000000000005</v>
      </c>
      <c r="E1123" s="116">
        <v>591</v>
      </c>
      <c r="F1123" s="116">
        <v>591.20000000000005</v>
      </c>
      <c r="G1123">
        <v>45648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43658</v>
      </c>
      <c r="B1124" s="116">
        <v>600</v>
      </c>
      <c r="C1124" s="116">
        <v>589</v>
      </c>
      <c r="D1124" s="116">
        <v>584.70000000000005</v>
      </c>
      <c r="E1124" s="116">
        <v>592</v>
      </c>
      <c r="F1124" s="116">
        <v>589</v>
      </c>
      <c r="G1124">
        <v>40896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43661</v>
      </c>
      <c r="B1125" s="116">
        <v>590.04999999999995</v>
      </c>
      <c r="C1125" s="116">
        <v>587.04999999999995</v>
      </c>
      <c r="D1125" s="116">
        <v>580</v>
      </c>
      <c r="E1125" s="116">
        <v>590.04999999999995</v>
      </c>
      <c r="F1125" s="116">
        <v>587.04999999999995</v>
      </c>
      <c r="G1125">
        <v>27664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43662</v>
      </c>
      <c r="B1126" s="116">
        <v>598.65</v>
      </c>
      <c r="C1126" s="116">
        <v>597.25</v>
      </c>
      <c r="D1126" s="116">
        <v>585</v>
      </c>
      <c r="E1126" s="116">
        <v>588.29999999999995</v>
      </c>
      <c r="F1126" s="116">
        <v>597.25</v>
      </c>
      <c r="G1126">
        <v>290130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43663</v>
      </c>
      <c r="B1127" s="116">
        <v>598.54999999999995</v>
      </c>
      <c r="C1127" s="116">
        <v>590.54999999999995</v>
      </c>
      <c r="D1127" s="116">
        <v>588</v>
      </c>
      <c r="E1127" s="116">
        <v>596</v>
      </c>
      <c r="F1127" s="116">
        <v>590.54999999999995</v>
      </c>
      <c r="G1127">
        <v>29024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43664</v>
      </c>
      <c r="B1128" s="116">
        <v>590.54999999999995</v>
      </c>
      <c r="C1128" s="116">
        <v>580.45000000000005</v>
      </c>
      <c r="D1128" s="116">
        <v>578</v>
      </c>
      <c r="E1128" s="116">
        <v>590.54999999999995</v>
      </c>
      <c r="F1128" s="116">
        <v>580.45000000000005</v>
      </c>
      <c r="G1128">
        <v>20876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43665</v>
      </c>
      <c r="B1129" s="116">
        <v>585.4</v>
      </c>
      <c r="C1129" s="116">
        <v>578.25</v>
      </c>
      <c r="D1129" s="116">
        <v>571.20000000000005</v>
      </c>
      <c r="E1129" s="116">
        <v>585</v>
      </c>
      <c r="F1129" s="116">
        <v>578.25</v>
      </c>
      <c r="G1129">
        <v>217322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43668</v>
      </c>
      <c r="B1130" s="116">
        <v>585.15</v>
      </c>
      <c r="C1130" s="116">
        <v>582.5</v>
      </c>
      <c r="D1130" s="116">
        <v>569.45000000000005</v>
      </c>
      <c r="E1130" s="116">
        <v>578</v>
      </c>
      <c r="F1130" s="116">
        <v>582.5</v>
      </c>
      <c r="G1130">
        <v>27851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43669</v>
      </c>
      <c r="B1131" s="116">
        <v>592.35</v>
      </c>
      <c r="C1131" s="116">
        <v>589.20000000000005</v>
      </c>
      <c r="D1131" s="116">
        <v>581.25</v>
      </c>
      <c r="E1131" s="116">
        <v>587.4</v>
      </c>
      <c r="F1131" s="116">
        <v>589.20000000000005</v>
      </c>
      <c r="G1131">
        <v>56712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43670</v>
      </c>
      <c r="B1132" s="116">
        <v>590.75</v>
      </c>
      <c r="C1132" s="116">
        <v>579.9</v>
      </c>
      <c r="D1132" s="116">
        <v>574.29999999999995</v>
      </c>
      <c r="E1132" s="116">
        <v>590</v>
      </c>
      <c r="F1132" s="116">
        <v>579.9</v>
      </c>
      <c r="G1132">
        <v>45942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43671</v>
      </c>
      <c r="B1133" s="116">
        <v>584.29999999999995</v>
      </c>
      <c r="C1133" s="116">
        <v>579.35</v>
      </c>
      <c r="D1133" s="116">
        <v>576.20000000000005</v>
      </c>
      <c r="E1133" s="116">
        <v>580.45000000000005</v>
      </c>
      <c r="F1133" s="116">
        <v>579.35</v>
      </c>
      <c r="G1133">
        <v>33816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43672</v>
      </c>
      <c r="B1134" s="116">
        <v>585.25</v>
      </c>
      <c r="C1134" s="116">
        <v>582.79999999999995</v>
      </c>
      <c r="D1134" s="116">
        <v>572.35</v>
      </c>
      <c r="E1134" s="116">
        <v>576.04999999999995</v>
      </c>
      <c r="F1134" s="116">
        <v>582.79999999999995</v>
      </c>
      <c r="G1134">
        <v>367961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43675</v>
      </c>
      <c r="B1135" s="116">
        <v>581.79999999999995</v>
      </c>
      <c r="C1135" s="116">
        <v>572.6</v>
      </c>
      <c r="D1135" s="116">
        <v>566.35</v>
      </c>
      <c r="E1135" s="116">
        <v>579</v>
      </c>
      <c r="F1135" s="116">
        <v>572.6</v>
      </c>
      <c r="G1135">
        <v>27964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43676</v>
      </c>
      <c r="B1136" s="116">
        <v>578.65</v>
      </c>
      <c r="C1136" s="116">
        <v>564.5</v>
      </c>
      <c r="D1136" s="116">
        <v>562.6</v>
      </c>
      <c r="E1136" s="116">
        <v>573</v>
      </c>
      <c r="F1136" s="116">
        <v>564.5</v>
      </c>
      <c r="G1136">
        <v>19964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43677</v>
      </c>
      <c r="B1137" s="116">
        <v>585</v>
      </c>
      <c r="C1137" s="116">
        <v>582.15</v>
      </c>
      <c r="D1137" s="116">
        <v>557.20000000000005</v>
      </c>
      <c r="E1137" s="116">
        <v>561</v>
      </c>
      <c r="F1137" s="116">
        <v>582.15</v>
      </c>
      <c r="G1137">
        <v>61584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43678</v>
      </c>
      <c r="B1138" s="116">
        <v>611.85</v>
      </c>
      <c r="C1138" s="116">
        <v>608.45000000000005</v>
      </c>
      <c r="D1138" s="116">
        <v>583.25</v>
      </c>
      <c r="E1138" s="116">
        <v>583.9</v>
      </c>
      <c r="F1138" s="116">
        <v>608.45000000000005</v>
      </c>
      <c r="G1138">
        <v>177233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43679</v>
      </c>
      <c r="B1139" s="116">
        <v>615.29999999999995</v>
      </c>
      <c r="C1139" s="116">
        <v>611.9</v>
      </c>
      <c r="D1139" s="116">
        <v>601.45000000000005</v>
      </c>
      <c r="E1139" s="116">
        <v>608</v>
      </c>
      <c r="F1139" s="116">
        <v>611.9</v>
      </c>
      <c r="G1139">
        <v>81278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43682</v>
      </c>
      <c r="B1140" s="116">
        <v>611</v>
      </c>
      <c r="C1140" s="116">
        <v>601.20000000000005</v>
      </c>
      <c r="D1140" s="116">
        <v>596.4</v>
      </c>
      <c r="E1140" s="116">
        <v>611</v>
      </c>
      <c r="F1140" s="116">
        <v>601.20000000000005</v>
      </c>
      <c r="G1140">
        <v>35605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43683</v>
      </c>
      <c r="B1141" s="116">
        <v>621</v>
      </c>
      <c r="C1141" s="116">
        <v>617.79999999999995</v>
      </c>
      <c r="D1141" s="116">
        <v>599</v>
      </c>
      <c r="E1141" s="116">
        <v>599</v>
      </c>
      <c r="F1141" s="116">
        <v>617.79999999999995</v>
      </c>
      <c r="G1141">
        <v>71902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43684</v>
      </c>
      <c r="B1142" s="116">
        <v>624.35</v>
      </c>
      <c r="C1142" s="116">
        <v>605.9</v>
      </c>
      <c r="D1142" s="116">
        <v>594.15</v>
      </c>
      <c r="E1142" s="116">
        <v>617.45000000000005</v>
      </c>
      <c r="F1142" s="116">
        <v>605.9</v>
      </c>
      <c r="G1142">
        <v>163420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43685</v>
      </c>
      <c r="B1143" s="116">
        <v>612.4</v>
      </c>
      <c r="C1143" s="116">
        <v>597.75</v>
      </c>
      <c r="D1143" s="116">
        <v>590.54999999999995</v>
      </c>
      <c r="E1143" s="116">
        <v>606</v>
      </c>
      <c r="F1143" s="116">
        <v>597.75</v>
      </c>
      <c r="G1143">
        <v>59169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43686</v>
      </c>
      <c r="B1144" s="116">
        <v>616.20000000000005</v>
      </c>
      <c r="C1144" s="116">
        <v>604.9</v>
      </c>
      <c r="D1144" s="116">
        <v>600.45000000000005</v>
      </c>
      <c r="E1144" s="116">
        <v>602.79999999999995</v>
      </c>
      <c r="F1144" s="116">
        <v>604.9</v>
      </c>
      <c r="G1144">
        <v>81795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43690</v>
      </c>
      <c r="B1145" s="116">
        <v>610.65</v>
      </c>
      <c r="C1145" s="116">
        <v>585.20000000000005</v>
      </c>
      <c r="D1145" s="116">
        <v>579.1</v>
      </c>
      <c r="E1145" s="116">
        <v>606</v>
      </c>
      <c r="F1145" s="116">
        <v>585.20000000000005</v>
      </c>
      <c r="G1145">
        <v>35468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43691</v>
      </c>
      <c r="B1146" s="116">
        <v>597.85</v>
      </c>
      <c r="C1146" s="116">
        <v>591.4</v>
      </c>
      <c r="D1146" s="116">
        <v>586.54999999999995</v>
      </c>
      <c r="E1146" s="116">
        <v>589.1</v>
      </c>
      <c r="F1146" s="116">
        <v>591.4</v>
      </c>
      <c r="G1146">
        <v>24993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43693</v>
      </c>
      <c r="B1147" s="116">
        <v>609</v>
      </c>
      <c r="C1147" s="116">
        <v>601.4</v>
      </c>
      <c r="D1147" s="116">
        <v>585.25</v>
      </c>
      <c r="E1147" s="116">
        <v>589.15</v>
      </c>
      <c r="F1147" s="116">
        <v>601.4</v>
      </c>
      <c r="G1147">
        <v>88534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43696</v>
      </c>
      <c r="B1148" s="116">
        <v>614.5</v>
      </c>
      <c r="C1148" s="116">
        <v>606.45000000000005</v>
      </c>
      <c r="D1148" s="116">
        <v>602</v>
      </c>
      <c r="E1148" s="116">
        <v>602</v>
      </c>
      <c r="F1148" s="116">
        <v>606.45000000000005</v>
      </c>
      <c r="G1148">
        <v>42383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43697</v>
      </c>
      <c r="B1149" s="116">
        <v>612</v>
      </c>
      <c r="C1149" s="116">
        <v>604.85</v>
      </c>
      <c r="D1149" s="116">
        <v>599.70000000000005</v>
      </c>
      <c r="E1149" s="116">
        <v>612</v>
      </c>
      <c r="F1149" s="116">
        <v>604.85</v>
      </c>
      <c r="G1149">
        <v>23040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43698</v>
      </c>
      <c r="B1150" s="116">
        <v>609.04999999999995</v>
      </c>
      <c r="C1150" s="116">
        <v>592.4</v>
      </c>
      <c r="D1150" s="116">
        <v>588.45000000000005</v>
      </c>
      <c r="E1150" s="116">
        <v>604.85</v>
      </c>
      <c r="F1150" s="116">
        <v>592.4</v>
      </c>
      <c r="G1150">
        <v>129757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43699</v>
      </c>
      <c r="B1151" s="116">
        <v>605.5</v>
      </c>
      <c r="C1151" s="116">
        <v>597.95000000000005</v>
      </c>
      <c r="D1151" s="116">
        <v>586</v>
      </c>
      <c r="E1151" s="116">
        <v>588</v>
      </c>
      <c r="F1151" s="116">
        <v>597.95000000000005</v>
      </c>
      <c r="G1151">
        <v>40820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43700</v>
      </c>
      <c r="B1152" s="116">
        <v>614.95000000000005</v>
      </c>
      <c r="C1152" s="116">
        <v>612.70000000000005</v>
      </c>
      <c r="D1152" s="116">
        <v>586.6</v>
      </c>
      <c r="E1152" s="116">
        <v>596.9</v>
      </c>
      <c r="F1152" s="116">
        <v>612.70000000000005</v>
      </c>
      <c r="G1152">
        <v>44466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43703</v>
      </c>
      <c r="B1153" s="116">
        <v>624.79999999999995</v>
      </c>
      <c r="C1153" s="116">
        <v>614.70000000000005</v>
      </c>
      <c r="D1153" s="116">
        <v>611</v>
      </c>
      <c r="E1153" s="116">
        <v>618</v>
      </c>
      <c r="F1153" s="116">
        <v>614.70000000000005</v>
      </c>
      <c r="G1153">
        <v>57108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43704</v>
      </c>
      <c r="B1154" s="116">
        <v>626</v>
      </c>
      <c r="C1154" s="116">
        <v>618.20000000000005</v>
      </c>
      <c r="D1154" s="116">
        <v>608.6</v>
      </c>
      <c r="E1154" s="116">
        <v>616.6</v>
      </c>
      <c r="F1154" s="116">
        <v>618.20000000000005</v>
      </c>
      <c r="G1154">
        <v>85734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43705</v>
      </c>
      <c r="B1155" s="116">
        <v>628.4</v>
      </c>
      <c r="C1155" s="116">
        <v>625.85</v>
      </c>
      <c r="D1155" s="116">
        <v>614.65</v>
      </c>
      <c r="E1155" s="116">
        <v>619</v>
      </c>
      <c r="F1155" s="116">
        <v>625.85</v>
      </c>
      <c r="G1155">
        <v>61826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43706</v>
      </c>
      <c r="B1156" s="116">
        <v>631.95000000000005</v>
      </c>
      <c r="C1156" s="116">
        <v>630.04999999999995</v>
      </c>
      <c r="D1156" s="116">
        <v>617.29999999999995</v>
      </c>
      <c r="E1156" s="116">
        <v>626</v>
      </c>
      <c r="F1156" s="116">
        <v>630.04999999999995</v>
      </c>
      <c r="G1156">
        <v>85658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43707</v>
      </c>
      <c r="B1157" s="116">
        <v>643.70000000000005</v>
      </c>
      <c r="C1157" s="116">
        <v>640.85</v>
      </c>
      <c r="D1157" s="116">
        <v>624</v>
      </c>
      <c r="E1157" s="116">
        <v>630.54999999999995</v>
      </c>
      <c r="F1157" s="116">
        <v>640.85</v>
      </c>
      <c r="G1157">
        <v>54266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43711</v>
      </c>
      <c r="B1158" s="116">
        <v>636.04999999999995</v>
      </c>
      <c r="C1158" s="116">
        <v>619.54999999999995</v>
      </c>
      <c r="D1158" s="116">
        <v>617</v>
      </c>
      <c r="E1158" s="116">
        <v>633</v>
      </c>
      <c r="F1158" s="116">
        <v>619.54999999999995</v>
      </c>
      <c r="G1158">
        <v>44181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43712</v>
      </c>
      <c r="B1159" s="116">
        <v>624.70000000000005</v>
      </c>
      <c r="C1159" s="116">
        <v>621.9</v>
      </c>
      <c r="D1159" s="116">
        <v>606.79999999999995</v>
      </c>
      <c r="E1159" s="116">
        <v>624.70000000000005</v>
      </c>
      <c r="F1159" s="116">
        <v>621.9</v>
      </c>
      <c r="G1159">
        <v>422437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43713</v>
      </c>
      <c r="B1160" s="116">
        <v>632.70000000000005</v>
      </c>
      <c r="C1160" s="116">
        <v>630.25</v>
      </c>
      <c r="D1160" s="116">
        <v>621.9</v>
      </c>
      <c r="E1160" s="116">
        <v>621.9</v>
      </c>
      <c r="F1160" s="116">
        <v>630.25</v>
      </c>
      <c r="G1160">
        <v>37379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43714</v>
      </c>
      <c r="B1161" s="116">
        <v>633.9</v>
      </c>
      <c r="C1161" s="116">
        <v>629.54999999999995</v>
      </c>
      <c r="D1161" s="116">
        <v>624.5</v>
      </c>
      <c r="E1161" s="116">
        <v>633.9</v>
      </c>
      <c r="F1161" s="116">
        <v>629.54999999999995</v>
      </c>
      <c r="G1161">
        <v>34554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43717</v>
      </c>
      <c r="B1162" s="116">
        <v>642.79999999999995</v>
      </c>
      <c r="C1162" s="116">
        <v>640.04999999999995</v>
      </c>
      <c r="D1162" s="116">
        <v>626.54999999999995</v>
      </c>
      <c r="E1162" s="116">
        <v>629</v>
      </c>
      <c r="F1162" s="116">
        <v>640.04999999999995</v>
      </c>
      <c r="G1162">
        <v>83708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43719</v>
      </c>
      <c r="B1163" s="116">
        <v>644</v>
      </c>
      <c r="C1163" s="116">
        <v>632.6</v>
      </c>
      <c r="D1163" s="116">
        <v>630</v>
      </c>
      <c r="E1163" s="116">
        <v>644</v>
      </c>
      <c r="F1163" s="116">
        <v>632.6</v>
      </c>
      <c r="G1163">
        <v>28416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43720</v>
      </c>
      <c r="B1164" s="116">
        <v>641.45000000000005</v>
      </c>
      <c r="C1164" s="116">
        <v>634.9</v>
      </c>
      <c r="D1164" s="116">
        <v>628.20000000000005</v>
      </c>
      <c r="E1164" s="116">
        <v>634</v>
      </c>
      <c r="F1164" s="116">
        <v>634.9</v>
      </c>
      <c r="G1164">
        <v>36215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43721</v>
      </c>
      <c r="B1165" s="116">
        <v>645</v>
      </c>
      <c r="C1165" s="116">
        <v>637.15</v>
      </c>
      <c r="D1165" s="116">
        <v>629.20000000000005</v>
      </c>
      <c r="E1165" s="116">
        <v>645</v>
      </c>
      <c r="F1165" s="116">
        <v>637.15</v>
      </c>
      <c r="G1165">
        <v>24083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43724</v>
      </c>
      <c r="B1166" s="116">
        <v>639</v>
      </c>
      <c r="C1166" s="116">
        <v>634.95000000000005</v>
      </c>
      <c r="D1166" s="116">
        <v>629.54999999999995</v>
      </c>
      <c r="E1166" s="116">
        <v>630.20000000000005</v>
      </c>
      <c r="F1166" s="116">
        <v>634.95000000000005</v>
      </c>
      <c r="G1166">
        <v>29799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43725</v>
      </c>
      <c r="B1167" s="116">
        <v>634.5</v>
      </c>
      <c r="C1167" s="116">
        <v>620.29999999999995</v>
      </c>
      <c r="D1167" s="116">
        <v>619.9</v>
      </c>
      <c r="E1167" s="116">
        <v>634.1</v>
      </c>
      <c r="F1167" s="116">
        <v>620.29999999999995</v>
      </c>
      <c r="G1167">
        <v>23680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43726</v>
      </c>
      <c r="B1168" s="116">
        <v>633.9</v>
      </c>
      <c r="C1168" s="116">
        <v>630.6</v>
      </c>
      <c r="D1168" s="116">
        <v>620.04999999999995</v>
      </c>
      <c r="E1168" s="116">
        <v>624.70000000000005</v>
      </c>
      <c r="F1168" s="116">
        <v>630.6</v>
      </c>
      <c r="G1168">
        <v>47417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43727</v>
      </c>
      <c r="B1169" s="116">
        <v>632</v>
      </c>
      <c r="C1169" s="116">
        <v>625</v>
      </c>
      <c r="D1169" s="116">
        <v>622</v>
      </c>
      <c r="E1169" s="116">
        <v>630.6</v>
      </c>
      <c r="F1169" s="116">
        <v>625</v>
      </c>
      <c r="G1169">
        <v>35541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43728</v>
      </c>
      <c r="B1170" s="116">
        <v>673</v>
      </c>
      <c r="C1170" s="116">
        <v>668.15</v>
      </c>
      <c r="D1170" s="116">
        <v>619.65</v>
      </c>
      <c r="E1170" s="116">
        <v>625</v>
      </c>
      <c r="F1170" s="116">
        <v>668.15</v>
      </c>
      <c r="G1170">
        <v>249013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43731</v>
      </c>
      <c r="B1171" s="116">
        <v>704.25</v>
      </c>
      <c r="C1171" s="116">
        <v>669.3</v>
      </c>
      <c r="D1171" s="116">
        <v>666.2</v>
      </c>
      <c r="E1171" s="116">
        <v>677.05</v>
      </c>
      <c r="F1171" s="116">
        <v>669.3</v>
      </c>
      <c r="G1171">
        <v>186553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43732</v>
      </c>
      <c r="B1172" s="116">
        <v>674.1</v>
      </c>
      <c r="C1172" s="116">
        <v>665.55</v>
      </c>
      <c r="D1172" s="116">
        <v>662</v>
      </c>
      <c r="E1172" s="116">
        <v>672.45</v>
      </c>
      <c r="F1172" s="116">
        <v>665.55</v>
      </c>
      <c r="G1172">
        <v>77329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43733</v>
      </c>
      <c r="B1173" s="116">
        <v>679</v>
      </c>
      <c r="C1173" s="116">
        <v>669.05</v>
      </c>
      <c r="D1173" s="116">
        <v>662.3</v>
      </c>
      <c r="E1173" s="116">
        <v>668.2</v>
      </c>
      <c r="F1173" s="116">
        <v>669.05</v>
      </c>
      <c r="G1173">
        <v>71341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43734</v>
      </c>
      <c r="B1174" s="116">
        <v>684.9</v>
      </c>
      <c r="C1174" s="116">
        <v>677.55</v>
      </c>
      <c r="D1174" s="116">
        <v>664.05</v>
      </c>
      <c r="E1174" s="116">
        <v>671.05</v>
      </c>
      <c r="F1174" s="116">
        <v>677.55</v>
      </c>
      <c r="G1174">
        <v>85411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43735</v>
      </c>
      <c r="B1175" s="116">
        <v>686.2</v>
      </c>
      <c r="C1175" s="116">
        <v>682.3</v>
      </c>
      <c r="D1175" s="116">
        <v>673.05</v>
      </c>
      <c r="E1175" s="116">
        <v>682</v>
      </c>
      <c r="F1175" s="116">
        <v>682.3</v>
      </c>
      <c r="G1175">
        <v>45560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43738</v>
      </c>
      <c r="B1176" s="116">
        <v>684.45</v>
      </c>
      <c r="C1176" s="116">
        <v>679.85</v>
      </c>
      <c r="D1176" s="116">
        <v>671.85</v>
      </c>
      <c r="E1176" s="116">
        <v>684.1</v>
      </c>
      <c r="F1176" s="116">
        <v>679.85</v>
      </c>
      <c r="G1176">
        <v>40470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43739</v>
      </c>
      <c r="B1177" s="116">
        <v>696.4</v>
      </c>
      <c r="C1177" s="116">
        <v>674</v>
      </c>
      <c r="D1177" s="116">
        <v>671</v>
      </c>
      <c r="E1177" s="116">
        <v>680.45</v>
      </c>
      <c r="F1177" s="116">
        <v>674</v>
      </c>
      <c r="G1177">
        <v>69666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43741</v>
      </c>
      <c r="B1178" s="116">
        <v>681.8</v>
      </c>
      <c r="C1178" s="116">
        <v>674.6</v>
      </c>
      <c r="D1178" s="116">
        <v>665.8</v>
      </c>
      <c r="E1178" s="116">
        <v>672</v>
      </c>
      <c r="F1178" s="116">
        <v>674.6</v>
      </c>
      <c r="G1178">
        <v>38350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43742</v>
      </c>
      <c r="B1179" s="116">
        <v>679</v>
      </c>
      <c r="C1179" s="116">
        <v>655.6</v>
      </c>
      <c r="D1179" s="116">
        <v>653</v>
      </c>
      <c r="E1179" s="116">
        <v>679</v>
      </c>
      <c r="F1179" s="116">
        <v>655.6</v>
      </c>
      <c r="G1179">
        <v>22210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43745</v>
      </c>
      <c r="B1180" s="116">
        <v>667.05</v>
      </c>
      <c r="C1180" s="116">
        <v>664.35</v>
      </c>
      <c r="D1180" s="116">
        <v>650</v>
      </c>
      <c r="E1180" s="116">
        <v>660</v>
      </c>
      <c r="F1180" s="116">
        <v>664.35</v>
      </c>
      <c r="G1180">
        <v>33842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43747</v>
      </c>
      <c r="B1181" s="116">
        <v>685</v>
      </c>
      <c r="C1181" s="116">
        <v>681.25</v>
      </c>
      <c r="D1181" s="116">
        <v>657.85</v>
      </c>
      <c r="E1181" s="116">
        <v>672</v>
      </c>
      <c r="F1181" s="116">
        <v>681.25</v>
      </c>
      <c r="G1181">
        <v>43986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43748</v>
      </c>
      <c r="B1182" s="116">
        <v>695</v>
      </c>
      <c r="C1182" s="116">
        <v>674.15</v>
      </c>
      <c r="D1182" s="116">
        <v>671</v>
      </c>
      <c r="E1182" s="116">
        <v>690</v>
      </c>
      <c r="F1182" s="116">
        <v>674.15</v>
      </c>
      <c r="G1182">
        <v>85015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43749</v>
      </c>
      <c r="B1183" s="116">
        <v>683.1</v>
      </c>
      <c r="C1183" s="116">
        <v>678.8</v>
      </c>
      <c r="D1183" s="116">
        <v>672.95</v>
      </c>
      <c r="E1183" s="116">
        <v>677.5</v>
      </c>
      <c r="F1183" s="116">
        <v>678.8</v>
      </c>
      <c r="G1183">
        <v>29254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43752</v>
      </c>
      <c r="B1184" s="116">
        <v>686.15</v>
      </c>
      <c r="C1184" s="116">
        <v>673.6</v>
      </c>
      <c r="D1184" s="116">
        <v>671.8</v>
      </c>
      <c r="E1184" s="116">
        <v>680</v>
      </c>
      <c r="F1184" s="116">
        <v>673.6</v>
      </c>
      <c r="G1184">
        <v>22480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43753</v>
      </c>
      <c r="B1185" s="116">
        <v>681</v>
      </c>
      <c r="C1185" s="116">
        <v>675.8</v>
      </c>
      <c r="D1185" s="116">
        <v>669.8</v>
      </c>
      <c r="E1185" s="116">
        <v>673</v>
      </c>
      <c r="F1185" s="116">
        <v>675.8</v>
      </c>
      <c r="G1185">
        <v>49308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43754</v>
      </c>
      <c r="B1186" s="116">
        <v>675.65</v>
      </c>
      <c r="C1186" s="116">
        <v>670.5</v>
      </c>
      <c r="D1186" s="116">
        <v>661.1</v>
      </c>
      <c r="E1186" s="116">
        <v>675</v>
      </c>
      <c r="F1186" s="116">
        <v>670.5</v>
      </c>
      <c r="G1186">
        <v>36275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43755</v>
      </c>
      <c r="B1187" s="116">
        <v>678.25</v>
      </c>
      <c r="C1187" s="116">
        <v>676.1</v>
      </c>
      <c r="D1187" s="116">
        <v>670.4</v>
      </c>
      <c r="E1187" s="116">
        <v>671.7</v>
      </c>
      <c r="F1187" s="116">
        <v>676.1</v>
      </c>
      <c r="G1187">
        <v>22282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43756</v>
      </c>
      <c r="B1188" s="116">
        <v>697</v>
      </c>
      <c r="C1188" s="116">
        <v>691.4</v>
      </c>
      <c r="D1188" s="116">
        <v>677.4</v>
      </c>
      <c r="E1188" s="116">
        <v>677.4</v>
      </c>
      <c r="F1188" s="116">
        <v>691.4</v>
      </c>
      <c r="G1188">
        <v>62830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43760</v>
      </c>
      <c r="B1189" s="116">
        <v>713</v>
      </c>
      <c r="C1189" s="116">
        <v>693.15</v>
      </c>
      <c r="D1189" s="116">
        <v>691</v>
      </c>
      <c r="E1189" s="116">
        <v>694.95</v>
      </c>
      <c r="F1189" s="116">
        <v>693.15</v>
      </c>
      <c r="G1189">
        <v>90666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43761</v>
      </c>
      <c r="B1190" s="116">
        <v>708.9</v>
      </c>
      <c r="C1190" s="116">
        <v>707.45</v>
      </c>
      <c r="D1190" s="116">
        <v>689</v>
      </c>
      <c r="E1190" s="116">
        <v>694</v>
      </c>
      <c r="F1190" s="116">
        <v>707.45</v>
      </c>
      <c r="G1190">
        <v>42137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43762</v>
      </c>
      <c r="B1191" s="116">
        <v>721</v>
      </c>
      <c r="C1191" s="116">
        <v>707.95</v>
      </c>
      <c r="D1191" s="116">
        <v>696.15</v>
      </c>
      <c r="E1191" s="116">
        <v>710.4</v>
      </c>
      <c r="F1191" s="116">
        <v>707.95</v>
      </c>
      <c r="G1191">
        <v>95897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43763</v>
      </c>
      <c r="B1192" s="116">
        <v>712.35</v>
      </c>
      <c r="C1192" s="116">
        <v>699.05</v>
      </c>
      <c r="D1192" s="116">
        <v>693.8</v>
      </c>
      <c r="E1192" s="116">
        <v>710</v>
      </c>
      <c r="F1192" s="116">
        <v>699.05</v>
      </c>
      <c r="G1192">
        <v>94922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43765</v>
      </c>
      <c r="B1193" s="116">
        <v>707</v>
      </c>
      <c r="C1193" s="116">
        <v>703.85</v>
      </c>
      <c r="D1193" s="116">
        <v>702</v>
      </c>
      <c r="E1193" s="116">
        <v>707</v>
      </c>
      <c r="F1193" s="116">
        <v>703.85</v>
      </c>
      <c r="G1193">
        <v>4376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43767</v>
      </c>
      <c r="B1194" s="116">
        <v>725.45</v>
      </c>
      <c r="C1194" s="116">
        <v>719.85</v>
      </c>
      <c r="D1194" s="116">
        <v>703.9</v>
      </c>
      <c r="E1194" s="116">
        <v>704</v>
      </c>
      <c r="F1194" s="116">
        <v>719.85</v>
      </c>
      <c r="G1194">
        <v>71057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43768</v>
      </c>
      <c r="B1195" s="116">
        <v>722.65</v>
      </c>
      <c r="C1195" s="116">
        <v>713</v>
      </c>
      <c r="D1195" s="116">
        <v>706</v>
      </c>
      <c r="E1195" s="116">
        <v>719.8</v>
      </c>
      <c r="F1195" s="116">
        <v>713</v>
      </c>
      <c r="G1195">
        <v>34332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43769</v>
      </c>
      <c r="B1196" s="116">
        <v>720</v>
      </c>
      <c r="C1196" s="116">
        <v>708.3</v>
      </c>
      <c r="D1196" s="116">
        <v>705.55</v>
      </c>
      <c r="E1196" s="116">
        <v>717.55</v>
      </c>
      <c r="F1196" s="116">
        <v>708.3</v>
      </c>
      <c r="G1196">
        <v>28051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43770</v>
      </c>
      <c r="B1197" s="116">
        <v>708.55</v>
      </c>
      <c r="C1197" s="116">
        <v>695.6</v>
      </c>
      <c r="D1197" s="116">
        <v>694.45</v>
      </c>
      <c r="E1197" s="116">
        <v>707.4</v>
      </c>
      <c r="F1197" s="116">
        <v>695.6</v>
      </c>
      <c r="G1197">
        <v>32558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43773</v>
      </c>
      <c r="B1198" s="116">
        <v>700.2</v>
      </c>
      <c r="C1198" s="116">
        <v>687.3</v>
      </c>
      <c r="D1198" s="116">
        <v>685.95</v>
      </c>
      <c r="E1198" s="116">
        <v>697</v>
      </c>
      <c r="F1198" s="116">
        <v>687.3</v>
      </c>
      <c r="G1198">
        <v>26592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43774</v>
      </c>
      <c r="B1199" s="116">
        <v>688.6</v>
      </c>
      <c r="C1199" s="116">
        <v>679.35</v>
      </c>
      <c r="D1199" s="116">
        <v>675</v>
      </c>
      <c r="E1199" s="116">
        <v>688</v>
      </c>
      <c r="F1199" s="116">
        <v>679.35</v>
      </c>
      <c r="G1199">
        <v>23413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43775</v>
      </c>
      <c r="B1200" s="116">
        <v>693.6</v>
      </c>
      <c r="C1200" s="116">
        <v>672.75</v>
      </c>
      <c r="D1200" s="116">
        <v>670.25</v>
      </c>
      <c r="E1200" s="116">
        <v>693.6</v>
      </c>
      <c r="F1200" s="116">
        <v>672.75</v>
      </c>
      <c r="G1200">
        <v>46875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43776</v>
      </c>
      <c r="B1201" s="116">
        <v>681.2</v>
      </c>
      <c r="C1201" s="116">
        <v>666.55</v>
      </c>
      <c r="D1201" s="116">
        <v>658.35</v>
      </c>
      <c r="E1201" s="116">
        <v>674.6</v>
      </c>
      <c r="F1201" s="116">
        <v>666.55</v>
      </c>
      <c r="G1201">
        <v>65974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43777</v>
      </c>
      <c r="B1202" s="116">
        <v>701</v>
      </c>
      <c r="C1202" s="116">
        <v>693.85</v>
      </c>
      <c r="D1202" s="116">
        <v>665</v>
      </c>
      <c r="E1202" s="116">
        <v>665</v>
      </c>
      <c r="F1202" s="116">
        <v>693.85</v>
      </c>
      <c r="G1202">
        <v>81613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43780</v>
      </c>
      <c r="B1203" s="116">
        <v>703.8</v>
      </c>
      <c r="C1203" s="116">
        <v>686.7</v>
      </c>
      <c r="D1203" s="116">
        <v>685</v>
      </c>
      <c r="E1203" s="116">
        <v>702</v>
      </c>
      <c r="F1203" s="116">
        <v>686.7</v>
      </c>
      <c r="G1203">
        <v>41677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43782</v>
      </c>
      <c r="B1204" s="116">
        <v>706.95</v>
      </c>
      <c r="C1204" s="116">
        <v>702.05</v>
      </c>
      <c r="D1204" s="116">
        <v>686</v>
      </c>
      <c r="E1204" s="116">
        <v>686</v>
      </c>
      <c r="F1204" s="116">
        <v>702.05</v>
      </c>
      <c r="G1204">
        <v>57724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43783</v>
      </c>
      <c r="B1205" s="116">
        <v>715.9</v>
      </c>
      <c r="C1205" s="116">
        <v>713.4</v>
      </c>
      <c r="D1205" s="116">
        <v>700.4</v>
      </c>
      <c r="E1205" s="116">
        <v>702.05</v>
      </c>
      <c r="F1205" s="116">
        <v>713.4</v>
      </c>
      <c r="G1205">
        <v>51231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43784</v>
      </c>
      <c r="B1206" s="116">
        <v>719</v>
      </c>
      <c r="C1206" s="116">
        <v>713.25</v>
      </c>
      <c r="D1206" s="116">
        <v>711.5</v>
      </c>
      <c r="E1206" s="116">
        <v>716</v>
      </c>
      <c r="F1206" s="116">
        <v>713.25</v>
      </c>
      <c r="G1206">
        <v>30648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43787</v>
      </c>
      <c r="B1207" s="116">
        <v>719.4</v>
      </c>
      <c r="C1207" s="116">
        <v>715.1</v>
      </c>
      <c r="D1207" s="116">
        <v>708.4</v>
      </c>
      <c r="E1207" s="116">
        <v>714</v>
      </c>
      <c r="F1207" s="116">
        <v>715.1</v>
      </c>
      <c r="G1207">
        <v>41135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43788</v>
      </c>
      <c r="B1208" s="116">
        <v>717.95</v>
      </c>
      <c r="C1208" s="116">
        <v>713.4</v>
      </c>
      <c r="D1208" s="116">
        <v>709.5</v>
      </c>
      <c r="E1208" s="116">
        <v>711.9</v>
      </c>
      <c r="F1208" s="116">
        <v>713.4</v>
      </c>
      <c r="G1208">
        <v>24502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43789</v>
      </c>
      <c r="B1209" s="116">
        <v>719</v>
      </c>
      <c r="C1209" s="116">
        <v>708.15</v>
      </c>
      <c r="D1209" s="116">
        <v>703.95</v>
      </c>
      <c r="E1209" s="116">
        <v>712.65</v>
      </c>
      <c r="F1209" s="116">
        <v>708.15</v>
      </c>
      <c r="G1209">
        <v>33163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43790</v>
      </c>
      <c r="B1210" s="116">
        <v>708.25</v>
      </c>
      <c r="C1210" s="116">
        <v>703.6</v>
      </c>
      <c r="D1210" s="116">
        <v>700.25</v>
      </c>
      <c r="E1210" s="116">
        <v>708.2</v>
      </c>
      <c r="F1210" s="116">
        <v>703.6</v>
      </c>
      <c r="G1210">
        <v>20039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43791</v>
      </c>
      <c r="B1211" s="116">
        <v>706.15</v>
      </c>
      <c r="C1211" s="116">
        <v>694.05</v>
      </c>
      <c r="D1211" s="116">
        <v>689</v>
      </c>
      <c r="E1211" s="116">
        <v>705</v>
      </c>
      <c r="F1211" s="116">
        <v>694.05</v>
      </c>
      <c r="G1211">
        <v>50172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43794</v>
      </c>
      <c r="B1212" s="116">
        <v>705</v>
      </c>
      <c r="C1212" s="116">
        <v>702.1</v>
      </c>
      <c r="D1212" s="116">
        <v>689.95</v>
      </c>
      <c r="E1212" s="116">
        <v>698.9</v>
      </c>
      <c r="F1212" s="116">
        <v>702.1</v>
      </c>
      <c r="G1212">
        <v>22667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43795</v>
      </c>
      <c r="B1213" s="116">
        <v>708.55</v>
      </c>
      <c r="C1213" s="116">
        <v>701.5</v>
      </c>
      <c r="D1213" s="116">
        <v>699</v>
      </c>
      <c r="E1213" s="116">
        <v>703</v>
      </c>
      <c r="F1213" s="116">
        <v>701.5</v>
      </c>
      <c r="G1213">
        <v>40843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43796</v>
      </c>
      <c r="B1214" s="116">
        <v>713.95</v>
      </c>
      <c r="C1214" s="116">
        <v>702.1</v>
      </c>
      <c r="D1214" s="116">
        <v>692.9</v>
      </c>
      <c r="E1214" s="116">
        <v>713.95</v>
      </c>
      <c r="F1214" s="116">
        <v>702.1</v>
      </c>
      <c r="G1214">
        <v>144893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43797</v>
      </c>
      <c r="B1215" s="116">
        <v>714</v>
      </c>
      <c r="C1215" s="116">
        <v>710.3</v>
      </c>
      <c r="D1215" s="116">
        <v>697.85</v>
      </c>
      <c r="E1215" s="116">
        <v>703.35</v>
      </c>
      <c r="F1215" s="116">
        <v>710.3</v>
      </c>
      <c r="G1215">
        <v>27807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43798</v>
      </c>
      <c r="B1216" s="116">
        <v>712.4</v>
      </c>
      <c r="C1216" s="116">
        <v>700.5</v>
      </c>
      <c r="D1216" s="116">
        <v>698.6</v>
      </c>
      <c r="E1216" s="116">
        <v>707.95</v>
      </c>
      <c r="F1216" s="116">
        <v>700.5</v>
      </c>
      <c r="G1216">
        <v>17376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43801</v>
      </c>
      <c r="B1217" s="116">
        <v>700.05</v>
      </c>
      <c r="C1217" s="116">
        <v>694.75</v>
      </c>
      <c r="D1217" s="116">
        <v>689.55</v>
      </c>
      <c r="E1217" s="116">
        <v>699.8</v>
      </c>
      <c r="F1217" s="116">
        <v>694.75</v>
      </c>
      <c r="G1217">
        <v>17793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43802</v>
      </c>
      <c r="B1218" s="116">
        <v>701.75</v>
      </c>
      <c r="C1218" s="116">
        <v>689.35</v>
      </c>
      <c r="D1218" s="116">
        <v>687.1</v>
      </c>
      <c r="E1218" s="116">
        <v>695</v>
      </c>
      <c r="F1218" s="116">
        <v>689.35</v>
      </c>
      <c r="G1218">
        <v>17114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43803</v>
      </c>
      <c r="B1219" s="116">
        <v>695.3</v>
      </c>
      <c r="C1219" s="116">
        <v>693.45</v>
      </c>
      <c r="D1219" s="116">
        <v>684.5</v>
      </c>
      <c r="E1219" s="116">
        <v>690</v>
      </c>
      <c r="F1219" s="116">
        <v>693.45</v>
      </c>
      <c r="G1219">
        <v>22928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43804</v>
      </c>
      <c r="B1220" s="116">
        <v>706.9</v>
      </c>
      <c r="C1220" s="116">
        <v>696.05</v>
      </c>
      <c r="D1220" s="116">
        <v>691</v>
      </c>
      <c r="E1220" s="116">
        <v>695</v>
      </c>
      <c r="F1220" s="116">
        <v>696.05</v>
      </c>
      <c r="G1220">
        <v>56035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43805</v>
      </c>
      <c r="B1221" s="116">
        <v>695.6</v>
      </c>
      <c r="C1221" s="116">
        <v>689.65</v>
      </c>
      <c r="D1221" s="116">
        <v>674.5</v>
      </c>
      <c r="E1221" s="116">
        <v>695.6</v>
      </c>
      <c r="F1221" s="116">
        <v>689.65</v>
      </c>
      <c r="G1221">
        <v>71479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43808</v>
      </c>
      <c r="B1222" s="116">
        <v>691</v>
      </c>
      <c r="C1222" s="116">
        <v>679.4</v>
      </c>
      <c r="D1222" s="116">
        <v>677.85</v>
      </c>
      <c r="E1222" s="116">
        <v>690</v>
      </c>
      <c r="F1222" s="116">
        <v>679.4</v>
      </c>
      <c r="G1222">
        <v>19992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43809</v>
      </c>
      <c r="B1223" s="116">
        <v>685.5</v>
      </c>
      <c r="C1223" s="116">
        <v>679.7</v>
      </c>
      <c r="D1223" s="116">
        <v>675.5</v>
      </c>
      <c r="E1223" s="116">
        <v>679.5</v>
      </c>
      <c r="F1223" s="116">
        <v>679.7</v>
      </c>
      <c r="G1223">
        <v>19083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43810</v>
      </c>
      <c r="B1224" s="116">
        <v>682.2</v>
      </c>
      <c r="C1224" s="116">
        <v>680.35</v>
      </c>
      <c r="D1224" s="116">
        <v>670.95</v>
      </c>
      <c r="E1224" s="116">
        <v>680</v>
      </c>
      <c r="F1224" s="116">
        <v>680.35</v>
      </c>
      <c r="G1224">
        <v>30712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43811</v>
      </c>
      <c r="B1225" s="116">
        <v>695.6</v>
      </c>
      <c r="C1225" s="116">
        <v>692.6</v>
      </c>
      <c r="D1225" s="116">
        <v>680</v>
      </c>
      <c r="E1225" s="116">
        <v>680</v>
      </c>
      <c r="F1225" s="116">
        <v>692.6</v>
      </c>
      <c r="G1225">
        <v>30152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43812</v>
      </c>
      <c r="B1226" s="116">
        <v>698.95</v>
      </c>
      <c r="C1226" s="116">
        <v>679.45</v>
      </c>
      <c r="D1226" s="116">
        <v>672.8</v>
      </c>
      <c r="E1226" s="116">
        <v>698.95</v>
      </c>
      <c r="F1226" s="116">
        <v>679.45</v>
      </c>
      <c r="G1226">
        <v>54153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43815</v>
      </c>
      <c r="B1227" s="116">
        <v>690.3</v>
      </c>
      <c r="C1227" s="116">
        <v>678.95</v>
      </c>
      <c r="D1227" s="116">
        <v>676.45</v>
      </c>
      <c r="E1227" s="116">
        <v>682.25</v>
      </c>
      <c r="F1227" s="116">
        <v>678.95</v>
      </c>
      <c r="G1227">
        <v>44441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43816</v>
      </c>
      <c r="B1228" s="116">
        <v>680.75</v>
      </c>
      <c r="C1228" s="116">
        <v>669.1</v>
      </c>
      <c r="D1228" s="116">
        <v>666.65</v>
      </c>
      <c r="E1228" s="116">
        <v>678.7</v>
      </c>
      <c r="F1228" s="116">
        <v>669.1</v>
      </c>
      <c r="G1228">
        <v>36158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43817</v>
      </c>
      <c r="B1229" s="116">
        <v>672.95</v>
      </c>
      <c r="C1229" s="116">
        <v>654</v>
      </c>
      <c r="D1229" s="116">
        <v>649.15</v>
      </c>
      <c r="E1229" s="116">
        <v>672.95</v>
      </c>
      <c r="F1229" s="116">
        <v>654</v>
      </c>
      <c r="G1229">
        <v>41829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43818</v>
      </c>
      <c r="B1230" s="116">
        <v>661.8</v>
      </c>
      <c r="C1230" s="116">
        <v>656.05</v>
      </c>
      <c r="D1230" s="116">
        <v>651.79999999999995</v>
      </c>
      <c r="E1230" s="116">
        <v>659.85</v>
      </c>
      <c r="F1230" s="116">
        <v>656.05</v>
      </c>
      <c r="G1230">
        <v>20926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43819</v>
      </c>
      <c r="B1231" s="116">
        <v>661.2</v>
      </c>
      <c r="C1231" s="116">
        <v>650.5</v>
      </c>
      <c r="D1231" s="116">
        <v>648</v>
      </c>
      <c r="E1231" s="116">
        <v>655</v>
      </c>
      <c r="F1231" s="116">
        <v>650.5</v>
      </c>
      <c r="G1231">
        <v>22386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43822</v>
      </c>
      <c r="B1232" s="116">
        <v>656.55</v>
      </c>
      <c r="C1232" s="116">
        <v>654.5</v>
      </c>
      <c r="D1232" s="116">
        <v>638.95000000000005</v>
      </c>
      <c r="E1232" s="116">
        <v>650.75</v>
      </c>
      <c r="F1232" s="116">
        <v>654.5</v>
      </c>
      <c r="G1232">
        <v>716167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43823</v>
      </c>
      <c r="B1233" s="116">
        <v>659</v>
      </c>
      <c r="C1233" s="116">
        <v>651.6</v>
      </c>
      <c r="D1233" s="116">
        <v>650.15</v>
      </c>
      <c r="E1233" s="116">
        <v>656.7</v>
      </c>
      <c r="F1233" s="116">
        <v>651.6</v>
      </c>
      <c r="G1233">
        <v>51268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43825</v>
      </c>
      <c r="B1234" s="116">
        <v>654.75</v>
      </c>
      <c r="C1234" s="116">
        <v>651.6</v>
      </c>
      <c r="D1234" s="116">
        <v>645.5</v>
      </c>
      <c r="E1234" s="116">
        <v>651.5</v>
      </c>
      <c r="F1234" s="116">
        <v>651.6</v>
      </c>
      <c r="G1234">
        <v>16753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43826</v>
      </c>
      <c r="B1235" s="116">
        <v>655.25</v>
      </c>
      <c r="C1235" s="116">
        <v>649</v>
      </c>
      <c r="D1235" s="116">
        <v>646.6</v>
      </c>
      <c r="E1235" s="116">
        <v>651.6</v>
      </c>
      <c r="F1235" s="116">
        <v>649</v>
      </c>
      <c r="G1235">
        <v>34592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43829</v>
      </c>
      <c r="B1236" s="116">
        <v>663.1</v>
      </c>
      <c r="C1236" s="116">
        <v>659.45</v>
      </c>
      <c r="D1236" s="116">
        <v>648</v>
      </c>
      <c r="E1236" s="116">
        <v>649</v>
      </c>
      <c r="F1236" s="116">
        <v>659.45</v>
      </c>
      <c r="G1236">
        <v>96697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43830</v>
      </c>
      <c r="B1237" s="116">
        <v>663.4</v>
      </c>
      <c r="C1237" s="116">
        <v>659.3</v>
      </c>
      <c r="D1237" s="116">
        <v>656.1</v>
      </c>
      <c r="E1237" s="116">
        <v>663.4</v>
      </c>
      <c r="F1237" s="116">
        <v>659.3</v>
      </c>
      <c r="G1237">
        <v>41822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43831</v>
      </c>
      <c r="B1238" s="116">
        <v>662.5</v>
      </c>
      <c r="C1238" s="116">
        <v>653.15</v>
      </c>
      <c r="D1238" s="116">
        <v>648.15</v>
      </c>
      <c r="E1238" s="116">
        <v>648.15</v>
      </c>
      <c r="F1238" s="116">
        <v>653.15</v>
      </c>
      <c r="G1238">
        <v>29022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43832</v>
      </c>
      <c r="B1239" s="116">
        <v>660.75</v>
      </c>
      <c r="C1239" s="116">
        <v>659.25</v>
      </c>
      <c r="D1239" s="116">
        <v>647.65</v>
      </c>
      <c r="E1239" s="116">
        <v>652.5</v>
      </c>
      <c r="F1239" s="116">
        <v>659.25</v>
      </c>
      <c r="G1239">
        <v>18484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43833</v>
      </c>
      <c r="B1240" s="116">
        <v>665.35</v>
      </c>
      <c r="C1240" s="116">
        <v>663.95</v>
      </c>
      <c r="D1240" s="116">
        <v>657</v>
      </c>
      <c r="E1240" s="116">
        <v>661</v>
      </c>
      <c r="F1240" s="116">
        <v>663.95</v>
      </c>
      <c r="G1240">
        <v>20587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43836</v>
      </c>
      <c r="B1241" s="116">
        <v>660.15</v>
      </c>
      <c r="C1241" s="116">
        <v>650.20000000000005</v>
      </c>
      <c r="D1241" s="116">
        <v>646.85</v>
      </c>
      <c r="E1241" s="116">
        <v>660.15</v>
      </c>
      <c r="F1241" s="116">
        <v>650.20000000000005</v>
      </c>
      <c r="G1241">
        <v>19890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43837</v>
      </c>
      <c r="B1242" s="116">
        <v>660.15</v>
      </c>
      <c r="C1242" s="116">
        <v>654.25</v>
      </c>
      <c r="D1242" s="116">
        <v>650.45000000000005</v>
      </c>
      <c r="E1242" s="116">
        <v>652</v>
      </c>
      <c r="F1242" s="116">
        <v>654.25</v>
      </c>
      <c r="G1242">
        <v>12383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43838</v>
      </c>
      <c r="B1243" s="116">
        <v>654</v>
      </c>
      <c r="C1243" s="116">
        <v>651.1</v>
      </c>
      <c r="D1243" s="116">
        <v>648.29999999999995</v>
      </c>
      <c r="E1243" s="116">
        <v>654</v>
      </c>
      <c r="F1243" s="116">
        <v>651.1</v>
      </c>
      <c r="G1243">
        <v>13258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43839</v>
      </c>
      <c r="B1244" s="116">
        <v>685.6</v>
      </c>
      <c r="C1244" s="116">
        <v>684.2</v>
      </c>
      <c r="D1244" s="116">
        <v>655.7</v>
      </c>
      <c r="E1244" s="116">
        <v>658.7</v>
      </c>
      <c r="F1244" s="116">
        <v>684.2</v>
      </c>
      <c r="G1244">
        <v>55274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43840</v>
      </c>
      <c r="B1245" s="116">
        <v>691.5</v>
      </c>
      <c r="C1245" s="116">
        <v>687.4</v>
      </c>
      <c r="D1245" s="116">
        <v>682.45</v>
      </c>
      <c r="E1245" s="116">
        <v>686</v>
      </c>
      <c r="F1245" s="116">
        <v>687.4</v>
      </c>
      <c r="G1245">
        <v>25163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43843</v>
      </c>
      <c r="B1246" s="116">
        <v>695</v>
      </c>
      <c r="C1246" s="116">
        <v>693.55</v>
      </c>
      <c r="D1246" s="116">
        <v>686.5</v>
      </c>
      <c r="E1246" s="116">
        <v>687.45</v>
      </c>
      <c r="F1246" s="116">
        <v>693.55</v>
      </c>
      <c r="G1246">
        <v>15919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43844</v>
      </c>
      <c r="B1247" s="116">
        <v>700.3</v>
      </c>
      <c r="C1247" s="116">
        <v>693</v>
      </c>
      <c r="D1247" s="116">
        <v>691.5</v>
      </c>
      <c r="E1247" s="116">
        <v>695</v>
      </c>
      <c r="F1247" s="116">
        <v>693</v>
      </c>
      <c r="G1247">
        <v>39123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43845</v>
      </c>
      <c r="B1248" s="116">
        <v>697.85</v>
      </c>
      <c r="C1248" s="116">
        <v>695.7</v>
      </c>
      <c r="D1248" s="116">
        <v>684</v>
      </c>
      <c r="E1248" s="116">
        <v>692.35</v>
      </c>
      <c r="F1248" s="116">
        <v>695.7</v>
      </c>
      <c r="G1248">
        <v>9963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43846</v>
      </c>
      <c r="B1249" s="116">
        <v>711.9</v>
      </c>
      <c r="C1249" s="116">
        <v>700.85</v>
      </c>
      <c r="D1249" s="116">
        <v>695.5</v>
      </c>
      <c r="E1249" s="116">
        <v>695.5</v>
      </c>
      <c r="F1249" s="116">
        <v>700.85</v>
      </c>
      <c r="G1249">
        <v>34156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43847</v>
      </c>
      <c r="B1250" s="116">
        <v>712.8</v>
      </c>
      <c r="C1250" s="116">
        <v>705.05</v>
      </c>
      <c r="D1250" s="116">
        <v>698.35</v>
      </c>
      <c r="E1250" s="116">
        <v>698.9</v>
      </c>
      <c r="F1250" s="116">
        <v>705.05</v>
      </c>
      <c r="G1250">
        <v>28938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43850</v>
      </c>
      <c r="B1251" s="116">
        <v>715</v>
      </c>
      <c r="C1251" s="116">
        <v>700.75</v>
      </c>
      <c r="D1251" s="116">
        <v>696.5</v>
      </c>
      <c r="E1251" s="116">
        <v>708.4</v>
      </c>
      <c r="F1251" s="116">
        <v>700.75</v>
      </c>
      <c r="G1251">
        <v>19809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43851</v>
      </c>
      <c r="B1252" s="116">
        <v>704.65</v>
      </c>
      <c r="C1252" s="116">
        <v>702.5</v>
      </c>
      <c r="D1252" s="116">
        <v>696.05</v>
      </c>
      <c r="E1252" s="116">
        <v>697.6</v>
      </c>
      <c r="F1252" s="116">
        <v>702.5</v>
      </c>
      <c r="G1252">
        <v>22169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43852</v>
      </c>
      <c r="B1253" s="116">
        <v>705.05</v>
      </c>
      <c r="C1253" s="116">
        <v>695.1</v>
      </c>
      <c r="D1253" s="116">
        <v>692.5</v>
      </c>
      <c r="E1253" s="116">
        <v>705</v>
      </c>
      <c r="F1253" s="116">
        <v>695.1</v>
      </c>
      <c r="G1253">
        <v>203068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43853</v>
      </c>
      <c r="B1254" s="116">
        <v>717.7</v>
      </c>
      <c r="C1254" s="116">
        <v>713.4</v>
      </c>
      <c r="D1254" s="116">
        <v>695</v>
      </c>
      <c r="E1254" s="116">
        <v>695</v>
      </c>
      <c r="F1254" s="116">
        <v>713.4</v>
      </c>
      <c r="G1254">
        <v>47472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43854</v>
      </c>
      <c r="B1255" s="116">
        <v>731.05</v>
      </c>
      <c r="C1255" s="116">
        <v>723.8</v>
      </c>
      <c r="D1255" s="116">
        <v>704.8</v>
      </c>
      <c r="E1255" s="116">
        <v>704.8</v>
      </c>
      <c r="F1255" s="116">
        <v>723.8</v>
      </c>
      <c r="G1255">
        <v>47114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43857</v>
      </c>
      <c r="B1256" s="116">
        <v>725.05</v>
      </c>
      <c r="C1256" s="116">
        <v>710.25</v>
      </c>
      <c r="D1256" s="116">
        <v>707.6</v>
      </c>
      <c r="E1256" s="116">
        <v>725</v>
      </c>
      <c r="F1256" s="116">
        <v>710.25</v>
      </c>
      <c r="G1256">
        <v>43730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43858</v>
      </c>
      <c r="B1257" s="116">
        <v>722.5</v>
      </c>
      <c r="C1257" s="116">
        <v>715.85</v>
      </c>
      <c r="D1257" s="116">
        <v>710</v>
      </c>
      <c r="E1257" s="116">
        <v>710</v>
      </c>
      <c r="F1257" s="116">
        <v>715.85</v>
      </c>
      <c r="G1257">
        <v>27332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43859</v>
      </c>
      <c r="B1258" s="116">
        <v>718.4</v>
      </c>
      <c r="C1258" s="116">
        <v>707.8</v>
      </c>
      <c r="D1258" s="116">
        <v>706</v>
      </c>
      <c r="E1258" s="116">
        <v>715.85</v>
      </c>
      <c r="F1258" s="116">
        <v>707.8</v>
      </c>
      <c r="G1258">
        <v>12160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43860</v>
      </c>
      <c r="B1259" s="116">
        <v>707.25</v>
      </c>
      <c r="C1259" s="116">
        <v>697.65</v>
      </c>
      <c r="D1259" s="116">
        <v>691.65</v>
      </c>
      <c r="E1259" s="116">
        <v>700.15</v>
      </c>
      <c r="F1259" s="116">
        <v>697.65</v>
      </c>
      <c r="G1259">
        <v>21082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43861</v>
      </c>
      <c r="B1260" s="116">
        <v>708.65</v>
      </c>
      <c r="C1260" s="116">
        <v>695.05</v>
      </c>
      <c r="D1260" s="116">
        <v>691.55</v>
      </c>
      <c r="E1260" s="116">
        <v>702.35</v>
      </c>
      <c r="F1260" s="116">
        <v>695.05</v>
      </c>
      <c r="G1260">
        <v>14272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43862</v>
      </c>
      <c r="B1261" s="116">
        <v>708.25</v>
      </c>
      <c r="C1261" s="116">
        <v>684.55</v>
      </c>
      <c r="D1261" s="116">
        <v>677.8</v>
      </c>
      <c r="E1261" s="116">
        <v>695.75</v>
      </c>
      <c r="F1261" s="116">
        <v>684.55</v>
      </c>
      <c r="G1261">
        <v>37497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43864</v>
      </c>
      <c r="B1262" s="116">
        <v>697.65</v>
      </c>
      <c r="C1262" s="116">
        <v>690.15</v>
      </c>
      <c r="D1262" s="116">
        <v>680</v>
      </c>
      <c r="E1262" s="116">
        <v>683.05</v>
      </c>
      <c r="F1262" s="116">
        <v>690.15</v>
      </c>
      <c r="G1262">
        <v>21005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43865</v>
      </c>
      <c r="B1263" s="116">
        <v>702.25</v>
      </c>
      <c r="C1263" s="116">
        <v>699.75</v>
      </c>
      <c r="D1263" s="116">
        <v>682.1</v>
      </c>
      <c r="E1263" s="116">
        <v>697.65</v>
      </c>
      <c r="F1263" s="116">
        <v>699.75</v>
      </c>
      <c r="G1263">
        <v>32423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43866</v>
      </c>
      <c r="B1264" s="116">
        <v>715.3</v>
      </c>
      <c r="C1264" s="116">
        <v>694.3</v>
      </c>
      <c r="D1264" s="116">
        <v>688.15</v>
      </c>
      <c r="E1264" s="116">
        <v>707.4</v>
      </c>
      <c r="F1264" s="116">
        <v>694.3</v>
      </c>
      <c r="G1264">
        <v>34723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43867</v>
      </c>
      <c r="B1265" s="116">
        <v>694.8</v>
      </c>
      <c r="C1265" s="116">
        <v>683.5</v>
      </c>
      <c r="D1265" s="116">
        <v>678</v>
      </c>
      <c r="E1265" s="116">
        <v>694.4</v>
      </c>
      <c r="F1265" s="116">
        <v>683.5</v>
      </c>
      <c r="G1265">
        <v>50751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43868</v>
      </c>
      <c r="B1266" s="116">
        <v>707.5</v>
      </c>
      <c r="C1266" s="116">
        <v>701.6</v>
      </c>
      <c r="D1266" s="116">
        <v>671.95</v>
      </c>
      <c r="E1266" s="116">
        <v>683</v>
      </c>
      <c r="F1266" s="116">
        <v>701.6</v>
      </c>
      <c r="G1266">
        <v>210310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43871</v>
      </c>
      <c r="B1267" s="116">
        <v>699</v>
      </c>
      <c r="C1267" s="116">
        <v>681.35</v>
      </c>
      <c r="D1267" s="116">
        <v>667.3</v>
      </c>
      <c r="E1267" s="116">
        <v>699</v>
      </c>
      <c r="F1267" s="116">
        <v>681.35</v>
      </c>
      <c r="G1267">
        <v>59929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43872</v>
      </c>
      <c r="B1268" s="116">
        <v>705.6</v>
      </c>
      <c r="C1268" s="116">
        <v>683.05</v>
      </c>
      <c r="D1268" s="116">
        <v>681.05</v>
      </c>
      <c r="E1268" s="116">
        <v>689</v>
      </c>
      <c r="F1268" s="116">
        <v>683.05</v>
      </c>
      <c r="G1268">
        <v>47635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43873</v>
      </c>
      <c r="B1269" s="116">
        <v>687.6</v>
      </c>
      <c r="C1269" s="116">
        <v>682.1</v>
      </c>
      <c r="D1269" s="116">
        <v>677.8</v>
      </c>
      <c r="E1269" s="116">
        <v>685.25</v>
      </c>
      <c r="F1269" s="116">
        <v>682.1</v>
      </c>
      <c r="G1269">
        <v>13426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43874</v>
      </c>
      <c r="B1270" s="116">
        <v>688.95</v>
      </c>
      <c r="C1270" s="116">
        <v>685.75</v>
      </c>
      <c r="D1270" s="116">
        <v>677.25</v>
      </c>
      <c r="E1270" s="116">
        <v>683.8</v>
      </c>
      <c r="F1270" s="116">
        <v>685.75</v>
      </c>
      <c r="G1270">
        <v>14678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43875</v>
      </c>
      <c r="B1271" s="116">
        <v>692.1</v>
      </c>
      <c r="C1271" s="116">
        <v>688.1</v>
      </c>
      <c r="D1271" s="116">
        <v>683.9</v>
      </c>
      <c r="E1271" s="116">
        <v>688.25</v>
      </c>
      <c r="F1271" s="116">
        <v>688.1</v>
      </c>
      <c r="G1271">
        <v>9669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43878</v>
      </c>
      <c r="B1272" s="116">
        <v>704.55</v>
      </c>
      <c r="C1272" s="116">
        <v>694.9</v>
      </c>
      <c r="D1272" s="116">
        <v>683.55</v>
      </c>
      <c r="E1272" s="116">
        <v>688</v>
      </c>
      <c r="F1272" s="116">
        <v>694.9</v>
      </c>
      <c r="G1272">
        <v>53560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43879</v>
      </c>
      <c r="B1273" s="116">
        <v>700.7</v>
      </c>
      <c r="C1273" s="116">
        <v>693.85</v>
      </c>
      <c r="D1273" s="116">
        <v>684.65</v>
      </c>
      <c r="E1273" s="116">
        <v>694</v>
      </c>
      <c r="F1273" s="116">
        <v>693.85</v>
      </c>
      <c r="G1273">
        <v>42825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43880</v>
      </c>
      <c r="B1274" s="116">
        <v>737</v>
      </c>
      <c r="C1274" s="116">
        <v>733.35</v>
      </c>
      <c r="D1274" s="116">
        <v>700</v>
      </c>
      <c r="E1274" s="116">
        <v>700</v>
      </c>
      <c r="F1274" s="116">
        <v>733.35</v>
      </c>
      <c r="G1274">
        <v>111478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43881</v>
      </c>
      <c r="B1275" s="116">
        <v>740.5</v>
      </c>
      <c r="C1275" s="116">
        <v>725.15</v>
      </c>
      <c r="D1275" s="116">
        <v>721</v>
      </c>
      <c r="E1275" s="116">
        <v>734</v>
      </c>
      <c r="F1275" s="116">
        <v>725.15</v>
      </c>
      <c r="G1275">
        <v>70054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43885</v>
      </c>
      <c r="B1276" s="116">
        <v>733.85</v>
      </c>
      <c r="C1276" s="116">
        <v>718.4</v>
      </c>
      <c r="D1276" s="116">
        <v>715.75</v>
      </c>
      <c r="E1276" s="116">
        <v>720</v>
      </c>
      <c r="F1276" s="116">
        <v>718.4</v>
      </c>
      <c r="G1276">
        <v>45384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43886</v>
      </c>
      <c r="B1277" s="116">
        <v>731.3</v>
      </c>
      <c r="C1277" s="116">
        <v>703.2</v>
      </c>
      <c r="D1277" s="116">
        <v>701.55</v>
      </c>
      <c r="E1277" s="116">
        <v>720.05</v>
      </c>
      <c r="F1277" s="116">
        <v>703.2</v>
      </c>
      <c r="G1277">
        <v>45253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43887</v>
      </c>
      <c r="B1278" s="116">
        <v>704.45</v>
      </c>
      <c r="C1278" s="116">
        <v>691.65</v>
      </c>
      <c r="D1278" s="116">
        <v>685.3</v>
      </c>
      <c r="E1278" s="116">
        <v>703</v>
      </c>
      <c r="F1278" s="116">
        <v>691.65</v>
      </c>
      <c r="G1278">
        <v>26958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43888</v>
      </c>
      <c r="B1279" s="116">
        <v>696</v>
      </c>
      <c r="C1279" s="116">
        <v>685.1</v>
      </c>
      <c r="D1279" s="116">
        <v>680</v>
      </c>
      <c r="E1279" s="116">
        <v>695.75</v>
      </c>
      <c r="F1279" s="116">
        <v>685.1</v>
      </c>
      <c r="G1279">
        <v>24452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43889</v>
      </c>
      <c r="B1280" s="116">
        <v>685.2</v>
      </c>
      <c r="C1280" s="116">
        <v>678.95</v>
      </c>
      <c r="D1280" s="116">
        <v>656.6</v>
      </c>
      <c r="E1280" s="116">
        <v>679</v>
      </c>
      <c r="F1280" s="116">
        <v>678.95</v>
      </c>
      <c r="G1280">
        <v>43202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43892</v>
      </c>
      <c r="B1281" s="116">
        <v>692.5</v>
      </c>
      <c r="C1281" s="116">
        <v>663.2</v>
      </c>
      <c r="D1281" s="116">
        <v>655.4</v>
      </c>
      <c r="E1281" s="116">
        <v>678.1</v>
      </c>
      <c r="F1281" s="116">
        <v>663.2</v>
      </c>
      <c r="G1281">
        <v>121322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43893</v>
      </c>
      <c r="B1282" s="116">
        <v>695</v>
      </c>
      <c r="C1282" s="116">
        <v>691.65</v>
      </c>
      <c r="D1282" s="116">
        <v>665.75</v>
      </c>
      <c r="E1282" s="116">
        <v>666</v>
      </c>
      <c r="F1282" s="116">
        <v>691.65</v>
      </c>
      <c r="G1282">
        <v>56040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43894</v>
      </c>
      <c r="B1283" s="116">
        <v>697.95</v>
      </c>
      <c r="C1283" s="116">
        <v>685.95</v>
      </c>
      <c r="D1283" s="116">
        <v>668.8</v>
      </c>
      <c r="E1283" s="116">
        <v>697.95</v>
      </c>
      <c r="F1283" s="116">
        <v>685.95</v>
      </c>
      <c r="G1283">
        <v>28119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43895</v>
      </c>
      <c r="B1284" s="116">
        <v>697</v>
      </c>
      <c r="C1284" s="116">
        <v>688.8</v>
      </c>
      <c r="D1284" s="116">
        <v>676</v>
      </c>
      <c r="E1284" s="116">
        <v>690</v>
      </c>
      <c r="F1284" s="116">
        <v>688.8</v>
      </c>
      <c r="G1284">
        <v>41937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43896</v>
      </c>
      <c r="B1285" s="116">
        <v>682</v>
      </c>
      <c r="C1285" s="116">
        <v>673.2</v>
      </c>
      <c r="D1285" s="116">
        <v>657.75</v>
      </c>
      <c r="E1285" s="116">
        <v>682</v>
      </c>
      <c r="F1285" s="116">
        <v>673.2</v>
      </c>
      <c r="G1285">
        <v>36777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43899</v>
      </c>
      <c r="B1286" s="116">
        <v>664.95</v>
      </c>
      <c r="C1286" s="116">
        <v>645.75</v>
      </c>
      <c r="D1286" s="116">
        <v>634.79999999999995</v>
      </c>
      <c r="E1286" s="116">
        <v>664.95</v>
      </c>
      <c r="F1286" s="116">
        <v>645.75</v>
      </c>
      <c r="G1286">
        <v>54454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43901</v>
      </c>
      <c r="B1287" s="116">
        <v>655</v>
      </c>
      <c r="C1287" s="116">
        <v>640.79999999999995</v>
      </c>
      <c r="D1287" s="116">
        <v>634.9</v>
      </c>
      <c r="E1287" s="116">
        <v>650</v>
      </c>
      <c r="F1287" s="116">
        <v>640.79999999999995</v>
      </c>
      <c r="G1287">
        <v>24770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43902</v>
      </c>
      <c r="B1288" s="116">
        <v>638</v>
      </c>
      <c r="C1288" s="116">
        <v>618.9</v>
      </c>
      <c r="D1288" s="116">
        <v>587.5</v>
      </c>
      <c r="E1288" s="116">
        <v>638</v>
      </c>
      <c r="F1288" s="116">
        <v>618.9</v>
      </c>
      <c r="G1288">
        <v>55074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43903</v>
      </c>
      <c r="B1289" s="116">
        <v>663.45</v>
      </c>
      <c r="C1289" s="116">
        <v>656.5</v>
      </c>
      <c r="D1289" s="116">
        <v>560</v>
      </c>
      <c r="E1289" s="116">
        <v>577</v>
      </c>
      <c r="F1289" s="116">
        <v>656.5</v>
      </c>
      <c r="G1289">
        <v>83261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43906</v>
      </c>
      <c r="B1290" s="116">
        <v>633.20000000000005</v>
      </c>
      <c r="C1290" s="116">
        <v>603.15</v>
      </c>
      <c r="D1290" s="116">
        <v>599</v>
      </c>
      <c r="E1290" s="116">
        <v>630</v>
      </c>
      <c r="F1290" s="116">
        <v>603.15</v>
      </c>
      <c r="G1290">
        <v>42317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43907</v>
      </c>
      <c r="B1291" s="116">
        <v>626.04999999999995</v>
      </c>
      <c r="C1291" s="116">
        <v>595</v>
      </c>
      <c r="D1291" s="116">
        <v>590.79999999999995</v>
      </c>
      <c r="E1291" s="116">
        <v>615.25</v>
      </c>
      <c r="F1291" s="116">
        <v>595</v>
      </c>
      <c r="G1291">
        <v>45013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43908</v>
      </c>
      <c r="B1292" s="116">
        <v>607.85</v>
      </c>
      <c r="C1292" s="116">
        <v>576.45000000000005</v>
      </c>
      <c r="D1292" s="116">
        <v>571</v>
      </c>
      <c r="E1292" s="116">
        <v>605</v>
      </c>
      <c r="F1292" s="116">
        <v>576.45000000000005</v>
      </c>
      <c r="G1292">
        <v>22307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43909</v>
      </c>
      <c r="B1293" s="116">
        <v>566</v>
      </c>
      <c r="C1293" s="116">
        <v>547.65</v>
      </c>
      <c r="D1293" s="116">
        <v>528</v>
      </c>
      <c r="E1293" s="116">
        <v>548.5</v>
      </c>
      <c r="F1293" s="116">
        <v>547.65</v>
      </c>
      <c r="G1293">
        <v>53046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43910</v>
      </c>
      <c r="B1294" s="116">
        <v>585.20000000000005</v>
      </c>
      <c r="C1294" s="116">
        <v>566.29999999999995</v>
      </c>
      <c r="D1294" s="116">
        <v>547.65</v>
      </c>
      <c r="E1294" s="116">
        <v>547.65</v>
      </c>
      <c r="F1294" s="116">
        <v>566.29999999999995</v>
      </c>
      <c r="G1294">
        <v>38581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43913</v>
      </c>
      <c r="B1295" s="116">
        <v>540</v>
      </c>
      <c r="C1295" s="116">
        <v>489.35</v>
      </c>
      <c r="D1295" s="116">
        <v>476.85</v>
      </c>
      <c r="E1295" s="116">
        <v>540</v>
      </c>
      <c r="F1295" s="116">
        <v>489.35</v>
      </c>
      <c r="G1295">
        <v>34285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43914</v>
      </c>
      <c r="B1296" s="116">
        <v>525.95000000000005</v>
      </c>
      <c r="C1296" s="116">
        <v>479.2</v>
      </c>
      <c r="D1296" s="116">
        <v>474</v>
      </c>
      <c r="E1296" s="116">
        <v>512</v>
      </c>
      <c r="F1296" s="116">
        <v>479.2</v>
      </c>
      <c r="G1296">
        <v>38143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43915</v>
      </c>
      <c r="B1297" s="116">
        <v>502.75</v>
      </c>
      <c r="C1297" s="116">
        <v>490.9</v>
      </c>
      <c r="D1297" s="116">
        <v>449.2</v>
      </c>
      <c r="E1297" s="116">
        <v>478</v>
      </c>
      <c r="F1297" s="116">
        <v>490.9</v>
      </c>
      <c r="G1297">
        <v>60009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43916</v>
      </c>
      <c r="B1298" s="116">
        <v>522</v>
      </c>
      <c r="C1298" s="116">
        <v>503.5</v>
      </c>
      <c r="D1298" s="116">
        <v>474</v>
      </c>
      <c r="E1298" s="116">
        <v>489</v>
      </c>
      <c r="F1298" s="116">
        <v>503.5</v>
      </c>
      <c r="G1298">
        <v>47699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43917</v>
      </c>
      <c r="B1299" s="116">
        <v>520.9</v>
      </c>
      <c r="C1299" s="116">
        <v>490.45</v>
      </c>
      <c r="D1299" s="116">
        <v>474.5</v>
      </c>
      <c r="E1299" s="116">
        <v>518</v>
      </c>
      <c r="F1299" s="116">
        <v>490.45</v>
      </c>
      <c r="G1299">
        <v>47499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43920</v>
      </c>
      <c r="B1300" s="116">
        <v>490</v>
      </c>
      <c r="C1300" s="116">
        <v>465.65</v>
      </c>
      <c r="D1300" s="116">
        <v>449.5</v>
      </c>
      <c r="E1300" s="116">
        <v>490</v>
      </c>
      <c r="F1300" s="116">
        <v>465.65</v>
      </c>
      <c r="G1300">
        <v>28375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43921</v>
      </c>
      <c r="B1301" s="116">
        <v>492.4</v>
      </c>
      <c r="C1301" s="116">
        <v>478.85</v>
      </c>
      <c r="D1301" s="116">
        <v>464.5</v>
      </c>
      <c r="E1301" s="116">
        <v>484</v>
      </c>
      <c r="F1301" s="116">
        <v>478.85</v>
      </c>
      <c r="G1301">
        <v>26895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43922</v>
      </c>
      <c r="B1302" s="116">
        <v>484.9</v>
      </c>
      <c r="C1302" s="116">
        <v>470.85</v>
      </c>
      <c r="D1302" s="116">
        <v>464.5</v>
      </c>
      <c r="E1302" s="116">
        <v>476.2</v>
      </c>
      <c r="F1302" s="116">
        <v>470.85</v>
      </c>
      <c r="G1302">
        <v>37839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43924</v>
      </c>
      <c r="B1303" s="116">
        <v>479</v>
      </c>
      <c r="C1303" s="116">
        <v>471.4</v>
      </c>
      <c r="D1303" s="116">
        <v>461.25</v>
      </c>
      <c r="E1303" s="116">
        <v>472</v>
      </c>
      <c r="F1303" s="116">
        <v>471.4</v>
      </c>
      <c r="G1303">
        <v>32731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43928</v>
      </c>
      <c r="B1304" s="116">
        <v>501.8</v>
      </c>
      <c r="C1304" s="116">
        <v>485.45</v>
      </c>
      <c r="D1304" s="116">
        <v>478.3</v>
      </c>
      <c r="E1304" s="116">
        <v>480</v>
      </c>
      <c r="F1304" s="116">
        <v>485.45</v>
      </c>
      <c r="G1304">
        <v>65102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43929</v>
      </c>
      <c r="B1305" s="116">
        <v>522.5</v>
      </c>
      <c r="C1305" s="116">
        <v>482.15</v>
      </c>
      <c r="D1305" s="116">
        <v>476</v>
      </c>
      <c r="E1305" s="116">
        <v>484</v>
      </c>
      <c r="F1305" s="116">
        <v>482.15</v>
      </c>
      <c r="G1305">
        <v>83437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43930</v>
      </c>
      <c r="B1306" s="116">
        <v>515</v>
      </c>
      <c r="C1306" s="116">
        <v>509.35</v>
      </c>
      <c r="D1306" s="116">
        <v>481.5</v>
      </c>
      <c r="E1306" s="116">
        <v>492</v>
      </c>
      <c r="F1306" s="116">
        <v>509.35</v>
      </c>
      <c r="G1306">
        <v>105992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43934</v>
      </c>
      <c r="B1307" s="116">
        <v>511.3</v>
      </c>
      <c r="C1307" s="116">
        <v>505.35</v>
      </c>
      <c r="D1307" s="116">
        <v>482.85</v>
      </c>
      <c r="E1307" s="116">
        <v>511.3</v>
      </c>
      <c r="F1307" s="116">
        <v>505.35</v>
      </c>
      <c r="G1307">
        <v>44507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43936</v>
      </c>
      <c r="B1308" s="116">
        <v>538.29999999999995</v>
      </c>
      <c r="C1308" s="116">
        <v>515.5</v>
      </c>
      <c r="D1308" s="116">
        <v>505</v>
      </c>
      <c r="E1308" s="116">
        <v>505</v>
      </c>
      <c r="F1308" s="116">
        <v>515.5</v>
      </c>
      <c r="G1308">
        <v>94752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43937</v>
      </c>
      <c r="B1309" s="116">
        <v>532.5</v>
      </c>
      <c r="C1309" s="116">
        <v>521.4</v>
      </c>
      <c r="D1309" s="116">
        <v>509.8</v>
      </c>
      <c r="E1309" s="116">
        <v>515.5</v>
      </c>
      <c r="F1309" s="116">
        <v>521.4</v>
      </c>
      <c r="G1309">
        <v>78579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43938</v>
      </c>
      <c r="B1310" s="116">
        <v>545.45000000000005</v>
      </c>
      <c r="C1310" s="116">
        <v>523.75</v>
      </c>
      <c r="D1310" s="116">
        <v>515</v>
      </c>
      <c r="E1310" s="116">
        <v>539.95000000000005</v>
      </c>
      <c r="F1310" s="116">
        <v>523.75</v>
      </c>
      <c r="G1310">
        <v>86552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43941</v>
      </c>
      <c r="B1311" s="116">
        <v>530.85</v>
      </c>
      <c r="C1311" s="116">
        <v>522</v>
      </c>
      <c r="D1311" s="116">
        <v>518.5</v>
      </c>
      <c r="E1311" s="116">
        <v>524</v>
      </c>
      <c r="F1311" s="116">
        <v>522</v>
      </c>
      <c r="G1311">
        <v>52509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43942</v>
      </c>
      <c r="B1312" s="116">
        <v>520.04999999999995</v>
      </c>
      <c r="C1312" s="116">
        <v>499.8</v>
      </c>
      <c r="D1312" s="116">
        <v>491.75</v>
      </c>
      <c r="E1312" s="116">
        <v>520.04999999999995</v>
      </c>
      <c r="F1312" s="116">
        <v>499.8</v>
      </c>
      <c r="G1312">
        <v>53179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43943</v>
      </c>
      <c r="B1313" s="116">
        <v>507.15</v>
      </c>
      <c r="C1313" s="116">
        <v>503.55</v>
      </c>
      <c r="D1313" s="116">
        <v>485</v>
      </c>
      <c r="E1313" s="116">
        <v>505</v>
      </c>
      <c r="F1313" s="116">
        <v>503.55</v>
      </c>
      <c r="G1313">
        <v>68064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43944</v>
      </c>
      <c r="B1314" s="116">
        <v>512.9</v>
      </c>
      <c r="C1314" s="116">
        <v>507.7</v>
      </c>
      <c r="D1314" s="116">
        <v>498</v>
      </c>
      <c r="E1314" s="116">
        <v>500</v>
      </c>
      <c r="F1314" s="116">
        <v>507.7</v>
      </c>
      <c r="G1314">
        <v>84131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43945</v>
      </c>
      <c r="B1315" s="116">
        <v>505.25</v>
      </c>
      <c r="C1315" s="116">
        <v>487.5</v>
      </c>
      <c r="D1315" s="116">
        <v>485.3</v>
      </c>
      <c r="E1315" s="116">
        <v>501.5</v>
      </c>
      <c r="F1315" s="116">
        <v>487.5</v>
      </c>
      <c r="G1315">
        <v>61056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43948</v>
      </c>
      <c r="B1316" s="116">
        <v>509</v>
      </c>
      <c r="C1316" s="116">
        <v>490.8</v>
      </c>
      <c r="D1316" s="116">
        <v>485.05</v>
      </c>
      <c r="E1316" s="116">
        <v>509</v>
      </c>
      <c r="F1316" s="116">
        <v>490.8</v>
      </c>
      <c r="G1316">
        <v>27772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43949</v>
      </c>
      <c r="B1317" s="116">
        <v>501.55</v>
      </c>
      <c r="C1317" s="116">
        <v>497.15</v>
      </c>
      <c r="D1317" s="116">
        <v>493.2</v>
      </c>
      <c r="E1317" s="116">
        <v>494.15</v>
      </c>
      <c r="F1317" s="116">
        <v>497.15</v>
      </c>
      <c r="G1317">
        <v>41476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43950</v>
      </c>
      <c r="B1318" s="116">
        <v>498.35</v>
      </c>
      <c r="C1318" s="116">
        <v>491.4</v>
      </c>
      <c r="D1318" s="116">
        <v>489</v>
      </c>
      <c r="E1318" s="116">
        <v>497.5</v>
      </c>
      <c r="F1318" s="116">
        <v>491.4</v>
      </c>
      <c r="G1318">
        <v>47883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43951</v>
      </c>
      <c r="B1319" s="116">
        <v>517.5</v>
      </c>
      <c r="C1319" s="116">
        <v>505.8</v>
      </c>
      <c r="D1319" s="116">
        <v>495</v>
      </c>
      <c r="E1319" s="116">
        <v>495</v>
      </c>
      <c r="F1319" s="116">
        <v>505.8</v>
      </c>
      <c r="G1319">
        <v>59225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43955</v>
      </c>
      <c r="B1320" s="116">
        <v>503</v>
      </c>
      <c r="C1320" s="116">
        <v>466.35</v>
      </c>
      <c r="D1320" s="116">
        <v>461.05</v>
      </c>
      <c r="E1320" s="116">
        <v>503</v>
      </c>
      <c r="F1320" s="116">
        <v>466.35</v>
      </c>
      <c r="G1320">
        <v>84686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43956</v>
      </c>
      <c r="B1321" s="116">
        <v>481.8</v>
      </c>
      <c r="C1321" s="116">
        <v>438.25</v>
      </c>
      <c r="D1321" s="116">
        <v>432.5</v>
      </c>
      <c r="E1321" s="116">
        <v>474.45</v>
      </c>
      <c r="F1321" s="116">
        <v>438.25</v>
      </c>
      <c r="G1321">
        <v>105992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43957</v>
      </c>
      <c r="B1322" s="116">
        <v>463</v>
      </c>
      <c r="C1322" s="116">
        <v>457.35</v>
      </c>
      <c r="D1322" s="116">
        <v>428</v>
      </c>
      <c r="E1322" s="116">
        <v>444.7</v>
      </c>
      <c r="F1322" s="116">
        <v>457.35</v>
      </c>
      <c r="G1322">
        <v>161771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43958</v>
      </c>
      <c r="B1323" s="116">
        <v>469</v>
      </c>
      <c r="C1323" s="116">
        <v>441.75</v>
      </c>
      <c r="D1323" s="116">
        <v>439.05</v>
      </c>
      <c r="E1323" s="116">
        <v>457.9</v>
      </c>
      <c r="F1323" s="116">
        <v>441.75</v>
      </c>
      <c r="G1323">
        <v>181937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43959</v>
      </c>
      <c r="B1324" s="116">
        <v>459.9</v>
      </c>
      <c r="C1324" s="116">
        <v>456.65</v>
      </c>
      <c r="D1324" s="116">
        <v>445.45</v>
      </c>
      <c r="E1324" s="116">
        <v>455</v>
      </c>
      <c r="F1324" s="116">
        <v>456.65</v>
      </c>
      <c r="G1324">
        <v>82621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43962</v>
      </c>
      <c r="B1325" s="116">
        <v>472.5</v>
      </c>
      <c r="C1325" s="116">
        <v>468.3</v>
      </c>
      <c r="D1325" s="116">
        <v>458.3</v>
      </c>
      <c r="E1325" s="116">
        <v>463.5</v>
      </c>
      <c r="F1325" s="116">
        <v>468.3</v>
      </c>
      <c r="G1325">
        <v>46552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43963</v>
      </c>
      <c r="B1326" s="116">
        <v>474</v>
      </c>
      <c r="C1326" s="116">
        <v>460.15</v>
      </c>
      <c r="D1326" s="116">
        <v>457.25</v>
      </c>
      <c r="E1326" s="116">
        <v>467.5</v>
      </c>
      <c r="F1326" s="116">
        <v>460.15</v>
      </c>
      <c r="G1326">
        <v>68553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43964</v>
      </c>
      <c r="B1327" s="116">
        <v>481</v>
      </c>
      <c r="C1327" s="116">
        <v>464.15</v>
      </c>
      <c r="D1327" s="116">
        <v>453.1</v>
      </c>
      <c r="E1327" s="116">
        <v>480.95</v>
      </c>
      <c r="F1327" s="116">
        <v>464.15</v>
      </c>
      <c r="G1327">
        <v>330074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43965</v>
      </c>
      <c r="B1328" s="116">
        <v>472.3</v>
      </c>
      <c r="C1328" s="116">
        <v>456.95</v>
      </c>
      <c r="D1328" s="116">
        <v>453.5</v>
      </c>
      <c r="E1328" s="116">
        <v>460.75</v>
      </c>
      <c r="F1328" s="116">
        <v>456.95</v>
      </c>
      <c r="G1328">
        <v>54996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43966</v>
      </c>
      <c r="B1329" s="116">
        <v>465.6</v>
      </c>
      <c r="C1329" s="116">
        <v>462.45</v>
      </c>
      <c r="D1329" s="116">
        <v>448.45</v>
      </c>
      <c r="E1329" s="116">
        <v>462.6</v>
      </c>
      <c r="F1329" s="116">
        <v>462.45</v>
      </c>
      <c r="G1329">
        <v>52771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43969</v>
      </c>
      <c r="B1330" s="116">
        <v>463.25</v>
      </c>
      <c r="C1330" s="116">
        <v>441.55</v>
      </c>
      <c r="D1330" s="116">
        <v>438.5</v>
      </c>
      <c r="E1330" s="116">
        <v>463.25</v>
      </c>
      <c r="F1330" s="116">
        <v>441.55</v>
      </c>
      <c r="G1330">
        <v>50496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43970</v>
      </c>
      <c r="B1331" s="116">
        <v>452.9</v>
      </c>
      <c r="C1331" s="116">
        <v>436.8</v>
      </c>
      <c r="D1331" s="116">
        <v>432.2</v>
      </c>
      <c r="E1331" s="116">
        <v>447.55</v>
      </c>
      <c r="F1331" s="116">
        <v>436.8</v>
      </c>
      <c r="G1331">
        <v>46587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43971</v>
      </c>
      <c r="B1332" s="116">
        <v>459.8</v>
      </c>
      <c r="C1332" s="116">
        <v>454.85</v>
      </c>
      <c r="D1332" s="116">
        <v>434.35</v>
      </c>
      <c r="E1332" s="116">
        <v>438.95</v>
      </c>
      <c r="F1332" s="116">
        <v>454.85</v>
      </c>
      <c r="G1332">
        <v>53986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43972</v>
      </c>
      <c r="B1333" s="116">
        <v>466.5</v>
      </c>
      <c r="C1333" s="116">
        <v>460.8</v>
      </c>
      <c r="D1333" s="116">
        <v>454.45</v>
      </c>
      <c r="E1333" s="116">
        <v>457.6</v>
      </c>
      <c r="F1333" s="116">
        <v>460.8</v>
      </c>
      <c r="G1333">
        <v>40966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43973</v>
      </c>
      <c r="B1334" s="116">
        <v>466.65</v>
      </c>
      <c r="C1334" s="116">
        <v>450.3</v>
      </c>
      <c r="D1334" s="116">
        <v>445.2</v>
      </c>
      <c r="E1334" s="116">
        <v>461.25</v>
      </c>
      <c r="F1334" s="116">
        <v>450.3</v>
      </c>
      <c r="G1334">
        <v>52543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43977</v>
      </c>
      <c r="B1335" s="116">
        <v>459</v>
      </c>
      <c r="C1335" s="116">
        <v>449.8</v>
      </c>
      <c r="D1335" s="116">
        <v>446.6</v>
      </c>
      <c r="E1335" s="116">
        <v>459</v>
      </c>
      <c r="F1335" s="116">
        <v>449.8</v>
      </c>
      <c r="G1335">
        <v>28999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43978</v>
      </c>
      <c r="B1336" s="116">
        <v>466</v>
      </c>
      <c r="C1336" s="116">
        <v>464.25</v>
      </c>
      <c r="D1336" s="116">
        <v>448.55</v>
      </c>
      <c r="E1336" s="116">
        <v>451.9</v>
      </c>
      <c r="F1336" s="116">
        <v>464.25</v>
      </c>
      <c r="G1336">
        <v>70305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43979</v>
      </c>
      <c r="B1337" s="116">
        <v>489.55</v>
      </c>
      <c r="C1337" s="116">
        <v>486.6</v>
      </c>
      <c r="D1337" s="116">
        <v>467</v>
      </c>
      <c r="E1337" s="116">
        <v>470</v>
      </c>
      <c r="F1337" s="116">
        <v>486.6</v>
      </c>
      <c r="G1337">
        <v>127585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43980</v>
      </c>
      <c r="B1338" s="116">
        <v>493.15</v>
      </c>
      <c r="C1338" s="116">
        <v>480</v>
      </c>
      <c r="D1338" s="116">
        <v>477.35</v>
      </c>
      <c r="E1338" s="116">
        <v>486.6</v>
      </c>
      <c r="F1338" s="116">
        <v>480</v>
      </c>
      <c r="G1338">
        <v>92075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43983</v>
      </c>
      <c r="B1339" s="116">
        <v>544</v>
      </c>
      <c r="C1339" s="116">
        <v>539.75</v>
      </c>
      <c r="D1339" s="116">
        <v>505</v>
      </c>
      <c r="E1339" s="116">
        <v>505</v>
      </c>
      <c r="F1339" s="116">
        <v>539.75</v>
      </c>
      <c r="G1339">
        <v>374191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43984</v>
      </c>
      <c r="B1340" s="116">
        <v>577</v>
      </c>
      <c r="C1340" s="116">
        <v>557.79999999999995</v>
      </c>
      <c r="D1340" s="116">
        <v>536.4</v>
      </c>
      <c r="E1340" s="116">
        <v>577</v>
      </c>
      <c r="F1340" s="116">
        <v>557.79999999999995</v>
      </c>
      <c r="G1340">
        <v>156668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43985</v>
      </c>
      <c r="B1341" s="116">
        <v>580</v>
      </c>
      <c r="C1341" s="116">
        <v>569.5</v>
      </c>
      <c r="D1341" s="116">
        <v>560</v>
      </c>
      <c r="E1341" s="116">
        <v>562.45000000000005</v>
      </c>
      <c r="F1341" s="116">
        <v>569.5</v>
      </c>
      <c r="G1341">
        <v>108533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43986</v>
      </c>
      <c r="B1342" s="116">
        <v>575.6</v>
      </c>
      <c r="C1342" s="116">
        <v>566</v>
      </c>
      <c r="D1342" s="116">
        <v>554.54999999999995</v>
      </c>
      <c r="E1342" s="116">
        <v>570</v>
      </c>
      <c r="F1342" s="116">
        <v>566</v>
      </c>
      <c r="G1342">
        <v>83011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43987</v>
      </c>
      <c r="B1343" s="116">
        <v>582</v>
      </c>
      <c r="C1343" s="116">
        <v>579.85</v>
      </c>
      <c r="D1343" s="116">
        <v>564.6</v>
      </c>
      <c r="E1343" s="116">
        <v>568</v>
      </c>
      <c r="F1343" s="116">
        <v>579.85</v>
      </c>
      <c r="G1343">
        <v>67313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43990</v>
      </c>
      <c r="B1344" s="116">
        <v>587.15</v>
      </c>
      <c r="C1344" s="116">
        <v>560.79999999999995</v>
      </c>
      <c r="D1344" s="116">
        <v>554</v>
      </c>
      <c r="E1344" s="116">
        <v>585</v>
      </c>
      <c r="F1344" s="116">
        <v>560.79999999999995</v>
      </c>
      <c r="G1344">
        <v>132884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43991</v>
      </c>
      <c r="B1345" s="116">
        <v>571.9</v>
      </c>
      <c r="C1345" s="116">
        <v>547.79999999999995</v>
      </c>
      <c r="D1345" s="116">
        <v>544.5</v>
      </c>
      <c r="E1345" s="116">
        <v>565</v>
      </c>
      <c r="F1345" s="116">
        <v>547.79999999999995</v>
      </c>
      <c r="G1345">
        <v>68555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43992</v>
      </c>
      <c r="B1346" s="116">
        <v>558.6</v>
      </c>
      <c r="C1346" s="116">
        <v>553.6</v>
      </c>
      <c r="D1346" s="116">
        <v>545.4</v>
      </c>
      <c r="E1346" s="116">
        <v>550.54999999999995</v>
      </c>
      <c r="F1346" s="116">
        <v>553.6</v>
      </c>
      <c r="G1346">
        <v>48085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43993</v>
      </c>
      <c r="B1347" s="116">
        <v>563.45000000000005</v>
      </c>
      <c r="C1347" s="116">
        <v>556.45000000000005</v>
      </c>
      <c r="D1347" s="116">
        <v>547</v>
      </c>
      <c r="E1347" s="116">
        <v>553.6</v>
      </c>
      <c r="F1347" s="116">
        <v>556.45000000000005</v>
      </c>
      <c r="G1347">
        <v>46990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43994</v>
      </c>
      <c r="B1348" s="116">
        <v>557.5</v>
      </c>
      <c r="C1348" s="116">
        <v>553.79999999999995</v>
      </c>
      <c r="D1348" s="116">
        <v>537.45000000000005</v>
      </c>
      <c r="E1348" s="116">
        <v>542.20000000000005</v>
      </c>
      <c r="F1348" s="116">
        <v>553.79999999999995</v>
      </c>
      <c r="G1348">
        <v>57977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43997</v>
      </c>
      <c r="B1349" s="116">
        <v>565.25</v>
      </c>
      <c r="C1349" s="116">
        <v>547.1</v>
      </c>
      <c r="D1349" s="116">
        <v>544.6</v>
      </c>
      <c r="E1349" s="116">
        <v>558</v>
      </c>
      <c r="F1349" s="116">
        <v>547.1</v>
      </c>
      <c r="G1349">
        <v>65264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43998</v>
      </c>
      <c r="B1350" s="116">
        <v>559.85</v>
      </c>
      <c r="C1350" s="116">
        <v>549.70000000000005</v>
      </c>
      <c r="D1350" s="116">
        <v>540.20000000000005</v>
      </c>
      <c r="E1350" s="116">
        <v>559.85</v>
      </c>
      <c r="F1350" s="116">
        <v>549.70000000000005</v>
      </c>
      <c r="G1350">
        <v>25171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43999</v>
      </c>
      <c r="B1351" s="116">
        <v>556.79999999999995</v>
      </c>
      <c r="C1351" s="116">
        <v>545.79999999999995</v>
      </c>
      <c r="D1351" s="116">
        <v>543.6</v>
      </c>
      <c r="E1351" s="116">
        <v>552.9</v>
      </c>
      <c r="F1351" s="116">
        <v>545.79999999999995</v>
      </c>
      <c r="G1351">
        <v>43804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44000</v>
      </c>
      <c r="B1352" s="116">
        <v>548</v>
      </c>
      <c r="C1352" s="116">
        <v>543.6</v>
      </c>
      <c r="D1352" s="116">
        <v>539.35</v>
      </c>
      <c r="E1352" s="116">
        <v>542</v>
      </c>
      <c r="F1352" s="116">
        <v>543.6</v>
      </c>
      <c r="G1352">
        <v>36547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44001</v>
      </c>
      <c r="B1353" s="116">
        <v>550.35</v>
      </c>
      <c r="C1353" s="116">
        <v>548.4</v>
      </c>
      <c r="D1353" s="116">
        <v>539.4</v>
      </c>
      <c r="E1353" s="116">
        <v>545</v>
      </c>
      <c r="F1353" s="116">
        <v>548.4</v>
      </c>
      <c r="G1353">
        <v>34180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44004</v>
      </c>
      <c r="B1354" s="116">
        <v>557.29999999999995</v>
      </c>
      <c r="C1354" s="116">
        <v>552.1</v>
      </c>
      <c r="D1354" s="116">
        <v>548.5</v>
      </c>
      <c r="E1354" s="116">
        <v>550.20000000000005</v>
      </c>
      <c r="F1354" s="116">
        <v>552.1</v>
      </c>
      <c r="G1354">
        <v>39057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44005</v>
      </c>
      <c r="B1355" s="116">
        <v>565.54999999999995</v>
      </c>
      <c r="C1355" s="116">
        <v>547.4</v>
      </c>
      <c r="D1355" s="116">
        <v>544.85</v>
      </c>
      <c r="E1355" s="116">
        <v>550</v>
      </c>
      <c r="F1355" s="116">
        <v>547.4</v>
      </c>
      <c r="G1355">
        <v>64958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44006</v>
      </c>
      <c r="B1356" s="116">
        <v>553.29999999999995</v>
      </c>
      <c r="C1356" s="116">
        <v>538.15</v>
      </c>
      <c r="D1356" s="116">
        <v>533.5</v>
      </c>
      <c r="E1356" s="116">
        <v>552</v>
      </c>
      <c r="F1356" s="116">
        <v>538.15</v>
      </c>
      <c r="G1356">
        <v>59552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44007</v>
      </c>
      <c r="B1357" s="116">
        <v>554.70000000000005</v>
      </c>
      <c r="C1357" s="116">
        <v>551.85</v>
      </c>
      <c r="D1357" s="116">
        <v>530.04999999999995</v>
      </c>
      <c r="E1357" s="116">
        <v>530.04999999999995</v>
      </c>
      <c r="F1357" s="116">
        <v>551.85</v>
      </c>
      <c r="G1357">
        <v>96225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44008</v>
      </c>
      <c r="B1358" s="116">
        <v>557</v>
      </c>
      <c r="C1358" s="116">
        <v>545.1</v>
      </c>
      <c r="D1358" s="116">
        <v>542.5</v>
      </c>
      <c r="E1358" s="116">
        <v>557</v>
      </c>
      <c r="F1358" s="116">
        <v>545.1</v>
      </c>
      <c r="G1358">
        <v>33573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44011</v>
      </c>
      <c r="B1359" s="116">
        <v>546</v>
      </c>
      <c r="C1359" s="116">
        <v>536.65</v>
      </c>
      <c r="D1359" s="116">
        <v>534.9</v>
      </c>
      <c r="E1359" s="116">
        <v>545.4</v>
      </c>
      <c r="F1359" s="116">
        <v>536.65</v>
      </c>
      <c r="G1359">
        <v>22042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44012</v>
      </c>
      <c r="B1360" s="116">
        <v>548.9</v>
      </c>
      <c r="C1360" s="116">
        <v>546.15</v>
      </c>
      <c r="D1360" s="116">
        <v>536.25</v>
      </c>
      <c r="E1360" s="116">
        <v>536.25</v>
      </c>
      <c r="F1360" s="116">
        <v>546.15</v>
      </c>
      <c r="G1360">
        <v>41742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44013</v>
      </c>
      <c r="B1361" s="116">
        <v>548.79999999999995</v>
      </c>
      <c r="C1361" s="116">
        <v>542.75</v>
      </c>
      <c r="D1361" s="116">
        <v>539.6</v>
      </c>
      <c r="E1361" s="116">
        <v>548</v>
      </c>
      <c r="F1361" s="116">
        <v>542.75</v>
      </c>
      <c r="G1361">
        <v>37613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44014</v>
      </c>
      <c r="B1362" s="116">
        <v>564.75</v>
      </c>
      <c r="C1362" s="116">
        <v>562.25</v>
      </c>
      <c r="D1362" s="116">
        <v>545</v>
      </c>
      <c r="E1362" s="116">
        <v>546.25</v>
      </c>
      <c r="F1362" s="116">
        <v>562.25</v>
      </c>
      <c r="G1362">
        <v>141971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44015</v>
      </c>
      <c r="B1363" s="116">
        <v>570</v>
      </c>
      <c r="C1363" s="116">
        <v>558.95000000000005</v>
      </c>
      <c r="D1363" s="116">
        <v>552.35</v>
      </c>
      <c r="E1363" s="116">
        <v>567.65</v>
      </c>
      <c r="F1363" s="116">
        <v>558.95000000000005</v>
      </c>
      <c r="G1363">
        <v>99074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44018</v>
      </c>
      <c r="B1364" s="116">
        <v>569.79999999999995</v>
      </c>
      <c r="C1364" s="116">
        <v>566.54999999999995</v>
      </c>
      <c r="D1364" s="116">
        <v>557.54999999999995</v>
      </c>
      <c r="E1364" s="116">
        <v>562.15</v>
      </c>
      <c r="F1364" s="116">
        <v>566.54999999999995</v>
      </c>
      <c r="G1364">
        <v>41741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44019</v>
      </c>
      <c r="B1365" s="116">
        <v>577</v>
      </c>
      <c r="C1365" s="116">
        <v>574.4</v>
      </c>
      <c r="D1365" s="116">
        <v>554</v>
      </c>
      <c r="E1365" s="116">
        <v>565</v>
      </c>
      <c r="F1365" s="116">
        <v>574.4</v>
      </c>
      <c r="G1365">
        <v>124162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44020</v>
      </c>
      <c r="B1366" s="116">
        <v>578</v>
      </c>
      <c r="C1366" s="116">
        <v>562.65</v>
      </c>
      <c r="D1366" s="116">
        <v>560</v>
      </c>
      <c r="E1366" s="116">
        <v>574</v>
      </c>
      <c r="F1366" s="116">
        <v>562.65</v>
      </c>
      <c r="G1366">
        <v>39620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44021</v>
      </c>
      <c r="B1367" s="116">
        <v>564.4</v>
      </c>
      <c r="C1367" s="116">
        <v>560.85</v>
      </c>
      <c r="D1367" s="116">
        <v>556.15</v>
      </c>
      <c r="E1367" s="116">
        <v>562</v>
      </c>
      <c r="F1367" s="116">
        <v>560.85</v>
      </c>
      <c r="G1367">
        <v>25329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44022</v>
      </c>
      <c r="B1368" s="116">
        <v>567</v>
      </c>
      <c r="C1368" s="116">
        <v>562.4</v>
      </c>
      <c r="D1368" s="116">
        <v>555.15</v>
      </c>
      <c r="E1368" s="116">
        <v>555.79999999999995</v>
      </c>
      <c r="F1368" s="116">
        <v>562.4</v>
      </c>
      <c r="G1368">
        <v>42735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44025</v>
      </c>
      <c r="B1369" s="116">
        <v>565.65</v>
      </c>
      <c r="C1369" s="116">
        <v>554.15</v>
      </c>
      <c r="D1369" s="116">
        <v>548.70000000000005</v>
      </c>
      <c r="E1369" s="116">
        <v>565.1</v>
      </c>
      <c r="F1369" s="116">
        <v>554.15</v>
      </c>
      <c r="G1369">
        <v>42343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44026</v>
      </c>
      <c r="B1370" s="116">
        <v>553.20000000000005</v>
      </c>
      <c r="C1370" s="116">
        <v>547.6</v>
      </c>
      <c r="D1370" s="116">
        <v>542</v>
      </c>
      <c r="E1370" s="116">
        <v>553.20000000000005</v>
      </c>
      <c r="F1370" s="116">
        <v>547.6</v>
      </c>
      <c r="G1370">
        <v>32133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44027</v>
      </c>
      <c r="B1371" s="116">
        <v>555.70000000000005</v>
      </c>
      <c r="C1371" s="116">
        <v>543.79999999999995</v>
      </c>
      <c r="D1371" s="116">
        <v>541.29999999999995</v>
      </c>
      <c r="E1371" s="116">
        <v>547.54999999999995</v>
      </c>
      <c r="F1371" s="116">
        <v>543.79999999999995</v>
      </c>
      <c r="G1371">
        <v>23195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44028</v>
      </c>
      <c r="B1372" s="116">
        <v>552.29999999999995</v>
      </c>
      <c r="C1372" s="116">
        <v>549.9</v>
      </c>
      <c r="D1372" s="116">
        <v>529.4</v>
      </c>
      <c r="E1372" s="116">
        <v>540.54999999999995</v>
      </c>
      <c r="F1372" s="116">
        <v>549.9</v>
      </c>
      <c r="G1372">
        <v>28317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44029</v>
      </c>
      <c r="B1373" s="116">
        <v>580.9</v>
      </c>
      <c r="C1373" s="116">
        <v>576.54999999999995</v>
      </c>
      <c r="D1373" s="116">
        <v>555.79999999999995</v>
      </c>
      <c r="E1373" s="116">
        <v>557.75</v>
      </c>
      <c r="F1373" s="116">
        <v>576.54999999999995</v>
      </c>
      <c r="G1373">
        <v>135612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44032</v>
      </c>
      <c r="B1374" s="116">
        <v>601.9</v>
      </c>
      <c r="C1374" s="116">
        <v>597.54999999999995</v>
      </c>
      <c r="D1374" s="116">
        <v>580.9</v>
      </c>
      <c r="E1374" s="116">
        <v>581</v>
      </c>
      <c r="F1374" s="116">
        <v>597.54999999999995</v>
      </c>
      <c r="G1374">
        <v>129391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44033</v>
      </c>
      <c r="B1375" s="116">
        <v>609.6</v>
      </c>
      <c r="C1375" s="116">
        <v>596.85</v>
      </c>
      <c r="D1375" s="116">
        <v>595</v>
      </c>
      <c r="E1375" s="116">
        <v>597.6</v>
      </c>
      <c r="F1375" s="116">
        <v>596.85</v>
      </c>
      <c r="G1375">
        <v>87322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44034</v>
      </c>
      <c r="B1376" s="116">
        <v>605</v>
      </c>
      <c r="C1376" s="116">
        <v>595.54999999999995</v>
      </c>
      <c r="D1376" s="116">
        <v>590.20000000000005</v>
      </c>
      <c r="E1376" s="116">
        <v>596.54999999999995</v>
      </c>
      <c r="F1376" s="116">
        <v>595.54999999999995</v>
      </c>
      <c r="G1376">
        <v>45566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44035</v>
      </c>
      <c r="B1377" s="116">
        <v>611.25</v>
      </c>
      <c r="C1377" s="116">
        <v>595.85</v>
      </c>
      <c r="D1377" s="116">
        <v>594.15</v>
      </c>
      <c r="E1377" s="116">
        <v>595.54999999999995</v>
      </c>
      <c r="F1377" s="116">
        <v>595.85</v>
      </c>
      <c r="G1377">
        <v>82079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44036</v>
      </c>
      <c r="B1378" s="116">
        <v>599.9</v>
      </c>
      <c r="C1378" s="116">
        <v>593.79999999999995</v>
      </c>
      <c r="D1378" s="116">
        <v>589.79999999999995</v>
      </c>
      <c r="E1378" s="116">
        <v>595</v>
      </c>
      <c r="F1378" s="116">
        <v>593.79999999999995</v>
      </c>
      <c r="G1378">
        <v>40811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44039</v>
      </c>
      <c r="B1379" s="116">
        <v>598.25</v>
      </c>
      <c r="C1379" s="116">
        <v>589.5</v>
      </c>
      <c r="D1379" s="116">
        <v>577.04999999999995</v>
      </c>
      <c r="E1379" s="116">
        <v>596.29999999999995</v>
      </c>
      <c r="F1379" s="116">
        <v>589.5</v>
      </c>
      <c r="G1379">
        <v>34239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44040</v>
      </c>
      <c r="B1380" s="116">
        <v>587.29999999999995</v>
      </c>
      <c r="C1380" s="116">
        <v>580.70000000000005</v>
      </c>
      <c r="D1380" s="116">
        <v>574.04999999999995</v>
      </c>
      <c r="E1380" s="116">
        <v>586.15</v>
      </c>
      <c r="F1380" s="116">
        <v>580.70000000000005</v>
      </c>
      <c r="G1380">
        <v>24052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44041</v>
      </c>
      <c r="B1381" s="116">
        <v>598.6</v>
      </c>
      <c r="C1381" s="116">
        <v>589.04999999999995</v>
      </c>
      <c r="D1381" s="116">
        <v>583.95000000000005</v>
      </c>
      <c r="E1381" s="116">
        <v>583.95000000000005</v>
      </c>
      <c r="F1381" s="116">
        <v>589.04999999999995</v>
      </c>
      <c r="G1381">
        <v>36665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44042</v>
      </c>
      <c r="B1382" s="116">
        <v>598.65</v>
      </c>
      <c r="C1382" s="116">
        <v>595</v>
      </c>
      <c r="D1382" s="116">
        <v>587.79999999999995</v>
      </c>
      <c r="E1382" s="116">
        <v>588.75</v>
      </c>
      <c r="F1382" s="116">
        <v>595</v>
      </c>
      <c r="G1382">
        <v>23085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44043</v>
      </c>
      <c r="B1383" s="116">
        <v>603.4</v>
      </c>
      <c r="C1383" s="116">
        <v>597.35</v>
      </c>
      <c r="D1383" s="116">
        <v>590</v>
      </c>
      <c r="E1383" s="116">
        <v>597</v>
      </c>
      <c r="F1383" s="116">
        <v>597.35</v>
      </c>
      <c r="G1383">
        <v>35382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44046</v>
      </c>
      <c r="B1384" s="116">
        <v>600.35</v>
      </c>
      <c r="C1384" s="116">
        <v>595.6</v>
      </c>
      <c r="D1384" s="116">
        <v>591.95000000000005</v>
      </c>
      <c r="E1384" s="116">
        <v>595</v>
      </c>
      <c r="F1384" s="116">
        <v>595.6</v>
      </c>
      <c r="G1384">
        <v>17005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44047</v>
      </c>
      <c r="B1385" s="116">
        <v>615.1</v>
      </c>
      <c r="C1385" s="116">
        <v>610.79999999999995</v>
      </c>
      <c r="D1385" s="116">
        <v>595.70000000000005</v>
      </c>
      <c r="E1385" s="116">
        <v>595.70000000000005</v>
      </c>
      <c r="F1385" s="116">
        <v>610.79999999999995</v>
      </c>
      <c r="G1385">
        <v>74741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44048</v>
      </c>
      <c r="B1386" s="116">
        <v>617.29999999999995</v>
      </c>
      <c r="C1386" s="116">
        <v>605</v>
      </c>
      <c r="D1386" s="116">
        <v>599.20000000000005</v>
      </c>
      <c r="E1386" s="116">
        <v>610.6</v>
      </c>
      <c r="F1386" s="116">
        <v>605</v>
      </c>
      <c r="G1386">
        <v>57390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44049</v>
      </c>
      <c r="B1387" s="116">
        <v>615</v>
      </c>
      <c r="C1387" s="116">
        <v>602.45000000000005</v>
      </c>
      <c r="D1387" s="116">
        <v>601.5</v>
      </c>
      <c r="E1387" s="116">
        <v>615</v>
      </c>
      <c r="F1387" s="116">
        <v>602.45000000000005</v>
      </c>
      <c r="G1387">
        <v>20626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44050</v>
      </c>
      <c r="B1388" s="116">
        <v>602.95000000000005</v>
      </c>
      <c r="C1388" s="116">
        <v>593.85</v>
      </c>
      <c r="D1388" s="116">
        <v>592.1</v>
      </c>
      <c r="E1388" s="116">
        <v>602.95000000000005</v>
      </c>
      <c r="F1388" s="116">
        <v>593.85</v>
      </c>
      <c r="G1388">
        <v>14903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44053</v>
      </c>
      <c r="B1389" s="116">
        <v>599.9</v>
      </c>
      <c r="C1389" s="116">
        <v>586.70000000000005</v>
      </c>
      <c r="D1389" s="116">
        <v>585.75</v>
      </c>
      <c r="E1389" s="116">
        <v>599.9</v>
      </c>
      <c r="F1389" s="116">
        <v>586.70000000000005</v>
      </c>
      <c r="G1389">
        <v>44892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44054</v>
      </c>
      <c r="B1390" s="116">
        <v>617.35</v>
      </c>
      <c r="C1390" s="116">
        <v>608.20000000000005</v>
      </c>
      <c r="D1390" s="116">
        <v>589.35</v>
      </c>
      <c r="E1390" s="116">
        <v>595.29999999999995</v>
      </c>
      <c r="F1390" s="116">
        <v>608.20000000000005</v>
      </c>
      <c r="G1390">
        <v>80851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44055</v>
      </c>
      <c r="B1391" s="116">
        <v>616.15</v>
      </c>
      <c r="C1391" s="116">
        <v>604.45000000000005</v>
      </c>
      <c r="D1391" s="116">
        <v>602.15</v>
      </c>
      <c r="E1391" s="116">
        <v>607</v>
      </c>
      <c r="F1391" s="116">
        <v>604.45000000000005</v>
      </c>
      <c r="G1391">
        <v>52225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44056</v>
      </c>
      <c r="B1392" s="116">
        <v>620.75</v>
      </c>
      <c r="C1392" s="116">
        <v>618.5</v>
      </c>
      <c r="D1392" s="116">
        <v>606.35</v>
      </c>
      <c r="E1392" s="116">
        <v>611.5</v>
      </c>
      <c r="F1392" s="116">
        <v>618.5</v>
      </c>
      <c r="G1392">
        <v>86261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44057</v>
      </c>
      <c r="B1393" s="116">
        <v>631.5</v>
      </c>
      <c r="C1393" s="116">
        <v>615.15</v>
      </c>
      <c r="D1393" s="116">
        <v>603.79999999999995</v>
      </c>
      <c r="E1393" s="116">
        <v>621.5</v>
      </c>
      <c r="F1393" s="116">
        <v>615.15</v>
      </c>
      <c r="G1393">
        <v>190514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44060</v>
      </c>
      <c r="B1394" s="116">
        <v>637.15</v>
      </c>
      <c r="C1394" s="116">
        <v>628.70000000000005</v>
      </c>
      <c r="D1394" s="116">
        <v>618</v>
      </c>
      <c r="E1394" s="116">
        <v>618</v>
      </c>
      <c r="F1394" s="116">
        <v>628.70000000000005</v>
      </c>
      <c r="G1394">
        <v>67623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44061</v>
      </c>
      <c r="B1395" s="116">
        <v>646.79999999999995</v>
      </c>
      <c r="C1395" s="116">
        <v>644.85</v>
      </c>
      <c r="D1395" s="116">
        <v>629.35</v>
      </c>
      <c r="E1395" s="116">
        <v>630.9</v>
      </c>
      <c r="F1395" s="116">
        <v>644.85</v>
      </c>
      <c r="G1395">
        <v>78600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44062</v>
      </c>
      <c r="B1396" s="116">
        <v>653.4</v>
      </c>
      <c r="C1396" s="116">
        <v>649.35</v>
      </c>
      <c r="D1396" s="116">
        <v>638.25</v>
      </c>
      <c r="E1396" s="116">
        <v>648</v>
      </c>
      <c r="F1396" s="116">
        <v>649.35</v>
      </c>
      <c r="G1396">
        <v>55426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44063</v>
      </c>
      <c r="B1397" s="116">
        <v>675</v>
      </c>
      <c r="C1397" s="116">
        <v>669.85</v>
      </c>
      <c r="D1397" s="116">
        <v>640</v>
      </c>
      <c r="E1397" s="116">
        <v>640</v>
      </c>
      <c r="F1397" s="116">
        <v>669.85</v>
      </c>
      <c r="G1397">
        <v>83028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44064</v>
      </c>
      <c r="B1398" s="116">
        <v>681.85</v>
      </c>
      <c r="C1398" s="116">
        <v>659.1</v>
      </c>
      <c r="D1398" s="116">
        <v>656.05</v>
      </c>
      <c r="E1398" s="116">
        <v>670.05</v>
      </c>
      <c r="F1398" s="116">
        <v>659.1</v>
      </c>
      <c r="G1398">
        <v>77823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44067</v>
      </c>
      <c r="B1399" s="116">
        <v>672.5</v>
      </c>
      <c r="C1399" s="116">
        <v>661.45</v>
      </c>
      <c r="D1399" s="116">
        <v>659</v>
      </c>
      <c r="E1399" s="116">
        <v>661</v>
      </c>
      <c r="F1399" s="116">
        <v>661.45</v>
      </c>
      <c r="G1399">
        <v>30178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44068</v>
      </c>
      <c r="B1400" s="116">
        <v>673</v>
      </c>
      <c r="C1400" s="116">
        <v>654.1</v>
      </c>
      <c r="D1400" s="116">
        <v>652.85</v>
      </c>
      <c r="E1400" s="116">
        <v>665.1</v>
      </c>
      <c r="F1400" s="116">
        <v>654.1</v>
      </c>
      <c r="G1400">
        <v>35322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44069</v>
      </c>
      <c r="B1401" s="116">
        <v>662</v>
      </c>
      <c r="C1401" s="116">
        <v>648.70000000000005</v>
      </c>
      <c r="D1401" s="116">
        <v>645.70000000000005</v>
      </c>
      <c r="E1401" s="116">
        <v>662</v>
      </c>
      <c r="F1401" s="116">
        <v>648.70000000000005</v>
      </c>
      <c r="G1401">
        <v>29531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44070</v>
      </c>
      <c r="B1402" s="116">
        <v>669.2</v>
      </c>
      <c r="C1402" s="116">
        <v>662.95</v>
      </c>
      <c r="D1402" s="116">
        <v>650</v>
      </c>
      <c r="E1402" s="116">
        <v>650</v>
      </c>
      <c r="F1402" s="116">
        <v>662.95</v>
      </c>
      <c r="G1402">
        <v>66518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44071</v>
      </c>
      <c r="B1403" s="116">
        <v>669.5</v>
      </c>
      <c r="C1403" s="116">
        <v>661.9</v>
      </c>
      <c r="D1403" s="116">
        <v>659.45</v>
      </c>
      <c r="E1403" s="116">
        <v>668</v>
      </c>
      <c r="F1403" s="116">
        <v>661.9</v>
      </c>
      <c r="G1403">
        <v>39216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44074</v>
      </c>
      <c r="B1404" s="116">
        <v>669.25</v>
      </c>
      <c r="C1404" s="116">
        <v>635.35</v>
      </c>
      <c r="D1404" s="116">
        <v>630</v>
      </c>
      <c r="E1404" s="116">
        <v>658.4</v>
      </c>
      <c r="F1404" s="116">
        <v>635.35</v>
      </c>
      <c r="G1404">
        <v>96027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44075</v>
      </c>
      <c r="B1405" s="116">
        <v>649.15</v>
      </c>
      <c r="C1405" s="116">
        <v>634.79999999999995</v>
      </c>
      <c r="D1405" s="116">
        <v>632</v>
      </c>
      <c r="E1405" s="116">
        <v>635.1</v>
      </c>
      <c r="F1405" s="116">
        <v>634.79999999999995</v>
      </c>
      <c r="G1405">
        <v>23266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44076</v>
      </c>
      <c r="B1406" s="116">
        <v>644.75</v>
      </c>
      <c r="C1406" s="116">
        <v>642.79999999999995</v>
      </c>
      <c r="D1406" s="116">
        <v>627</v>
      </c>
      <c r="E1406" s="116">
        <v>627</v>
      </c>
      <c r="F1406" s="116">
        <v>642.79999999999995</v>
      </c>
      <c r="G1406">
        <v>25388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44077</v>
      </c>
      <c r="B1407" s="116">
        <v>661</v>
      </c>
      <c r="C1407" s="116">
        <v>657.7</v>
      </c>
      <c r="D1407" s="116">
        <v>645.5</v>
      </c>
      <c r="E1407" s="116">
        <v>647.79999999999995</v>
      </c>
      <c r="F1407" s="116">
        <v>657.7</v>
      </c>
      <c r="G1407">
        <v>42545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44078</v>
      </c>
      <c r="B1408" s="116">
        <v>662.2</v>
      </c>
      <c r="C1408" s="116">
        <v>645.54999999999995</v>
      </c>
      <c r="D1408" s="116">
        <v>640.29999999999995</v>
      </c>
      <c r="E1408" s="116">
        <v>650</v>
      </c>
      <c r="F1408" s="116">
        <v>645.54999999999995</v>
      </c>
      <c r="G1408">
        <v>32019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44081</v>
      </c>
      <c r="B1409" s="116">
        <v>654.29999999999995</v>
      </c>
      <c r="C1409" s="116">
        <v>646.5</v>
      </c>
      <c r="D1409" s="116">
        <v>637.5</v>
      </c>
      <c r="E1409" s="116">
        <v>650</v>
      </c>
      <c r="F1409" s="116">
        <v>646.5</v>
      </c>
      <c r="G1409">
        <v>19338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44082</v>
      </c>
      <c r="B1410" s="116">
        <v>650</v>
      </c>
      <c r="C1410" s="116">
        <v>637.54999999999995</v>
      </c>
      <c r="D1410" s="116">
        <v>635.4</v>
      </c>
      <c r="E1410" s="116">
        <v>646</v>
      </c>
      <c r="F1410" s="116">
        <v>637.54999999999995</v>
      </c>
      <c r="G1410">
        <v>19438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44083</v>
      </c>
      <c r="B1411" s="116">
        <v>654</v>
      </c>
      <c r="C1411" s="116">
        <v>651.04999999999995</v>
      </c>
      <c r="D1411" s="116">
        <v>631.54999999999995</v>
      </c>
      <c r="E1411" s="116">
        <v>635.6</v>
      </c>
      <c r="F1411" s="116">
        <v>651.04999999999995</v>
      </c>
      <c r="G1411">
        <v>17357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44084</v>
      </c>
      <c r="B1412" s="116">
        <v>658</v>
      </c>
      <c r="C1412" s="116">
        <v>648.65</v>
      </c>
      <c r="D1412" s="116">
        <v>643.85</v>
      </c>
      <c r="E1412" s="116">
        <v>656.9</v>
      </c>
      <c r="F1412" s="116">
        <v>648.65</v>
      </c>
      <c r="G1412">
        <v>25241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44085</v>
      </c>
      <c r="B1413" s="116">
        <v>662.05</v>
      </c>
      <c r="C1413" s="116">
        <v>656.55</v>
      </c>
      <c r="D1413" s="116">
        <v>644</v>
      </c>
      <c r="E1413" s="116">
        <v>644</v>
      </c>
      <c r="F1413" s="116">
        <v>656.55</v>
      </c>
      <c r="G1413">
        <v>39907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44088</v>
      </c>
      <c r="B1414" s="116">
        <v>699.3</v>
      </c>
      <c r="C1414" s="116">
        <v>685.15</v>
      </c>
      <c r="D1414" s="116">
        <v>657</v>
      </c>
      <c r="E1414" s="116">
        <v>657</v>
      </c>
      <c r="F1414" s="116">
        <v>685.15</v>
      </c>
      <c r="G1414">
        <v>248163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44089</v>
      </c>
      <c r="B1415" s="116">
        <v>695</v>
      </c>
      <c r="C1415" s="116">
        <v>679.15</v>
      </c>
      <c r="D1415" s="116">
        <v>678.1</v>
      </c>
      <c r="E1415" s="116">
        <v>695</v>
      </c>
      <c r="F1415" s="116">
        <v>679.15</v>
      </c>
      <c r="G1415">
        <v>30651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44090</v>
      </c>
      <c r="B1416" s="116">
        <v>694.7</v>
      </c>
      <c r="C1416" s="116">
        <v>683.35</v>
      </c>
      <c r="D1416" s="116">
        <v>676</v>
      </c>
      <c r="E1416" s="116">
        <v>688.8</v>
      </c>
      <c r="F1416" s="116">
        <v>683.35</v>
      </c>
      <c r="G1416">
        <v>37551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44091</v>
      </c>
      <c r="B1417" s="116">
        <v>698.4</v>
      </c>
      <c r="C1417" s="116">
        <v>693.25</v>
      </c>
      <c r="D1417" s="116">
        <v>684.1</v>
      </c>
      <c r="E1417" s="116">
        <v>686</v>
      </c>
      <c r="F1417" s="116">
        <v>693.25</v>
      </c>
      <c r="G1417">
        <v>33359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44092</v>
      </c>
      <c r="B1418" s="116">
        <v>713.7</v>
      </c>
      <c r="C1418" s="116">
        <v>679.05</v>
      </c>
      <c r="D1418" s="116">
        <v>676.35</v>
      </c>
      <c r="E1418" s="116">
        <v>699</v>
      </c>
      <c r="F1418" s="116">
        <v>679.05</v>
      </c>
      <c r="G1418">
        <v>106810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44095</v>
      </c>
      <c r="B1419" s="116">
        <v>689.45</v>
      </c>
      <c r="C1419" s="116">
        <v>670.6</v>
      </c>
      <c r="D1419" s="116">
        <v>661.25</v>
      </c>
      <c r="E1419" s="116">
        <v>678</v>
      </c>
      <c r="F1419" s="116">
        <v>670.6</v>
      </c>
      <c r="G1419">
        <v>53779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44096</v>
      </c>
      <c r="B1420" s="116">
        <v>672</v>
      </c>
      <c r="C1420" s="116">
        <v>657.85</v>
      </c>
      <c r="D1420" s="116">
        <v>645.4</v>
      </c>
      <c r="E1420" s="116">
        <v>665.35</v>
      </c>
      <c r="F1420" s="116">
        <v>657.85</v>
      </c>
      <c r="G1420">
        <v>45353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44097</v>
      </c>
      <c r="B1421" s="116">
        <v>676.6</v>
      </c>
      <c r="C1421" s="116">
        <v>666.3</v>
      </c>
      <c r="D1421" s="116">
        <v>653.5</v>
      </c>
      <c r="E1421" s="116">
        <v>660.8</v>
      </c>
      <c r="F1421" s="116">
        <v>666.3</v>
      </c>
      <c r="G1421">
        <v>1142196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44098</v>
      </c>
      <c r="B1422" s="116">
        <v>667</v>
      </c>
      <c r="C1422" s="116">
        <v>648.6</v>
      </c>
      <c r="D1422" s="116">
        <v>646.70000000000005</v>
      </c>
      <c r="E1422" s="116">
        <v>667</v>
      </c>
      <c r="F1422" s="116">
        <v>648.6</v>
      </c>
      <c r="G1422">
        <v>13107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44099</v>
      </c>
      <c r="B1423" s="116">
        <v>672.5</v>
      </c>
      <c r="C1423" s="116">
        <v>670.05</v>
      </c>
      <c r="D1423" s="116">
        <v>640</v>
      </c>
      <c r="E1423" s="116">
        <v>653.9</v>
      </c>
      <c r="F1423" s="116">
        <v>670.05</v>
      </c>
      <c r="G1423">
        <v>28534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44102</v>
      </c>
      <c r="B1424" s="116">
        <v>693</v>
      </c>
      <c r="C1424" s="116">
        <v>689.7</v>
      </c>
      <c r="D1424" s="116">
        <v>667.1</v>
      </c>
      <c r="E1424" s="116">
        <v>674.8</v>
      </c>
      <c r="F1424" s="116">
        <v>689.7</v>
      </c>
      <c r="G1424">
        <v>59684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44103</v>
      </c>
      <c r="B1425" s="116">
        <v>700</v>
      </c>
      <c r="C1425" s="116">
        <v>682.9</v>
      </c>
      <c r="D1425" s="116">
        <v>677.6</v>
      </c>
      <c r="E1425" s="116">
        <v>700</v>
      </c>
      <c r="F1425" s="116">
        <v>682.9</v>
      </c>
      <c r="G1425">
        <v>24760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44104</v>
      </c>
      <c r="B1426" s="116">
        <v>687.85</v>
      </c>
      <c r="C1426" s="116">
        <v>680.8</v>
      </c>
      <c r="D1426" s="116">
        <v>672</v>
      </c>
      <c r="E1426" s="116">
        <v>672.25</v>
      </c>
      <c r="F1426" s="116">
        <v>680.8</v>
      </c>
      <c r="G1426">
        <v>20518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44105</v>
      </c>
      <c r="B1427" s="116">
        <v>690.55</v>
      </c>
      <c r="C1427" s="116">
        <v>678.3</v>
      </c>
      <c r="D1427" s="116">
        <v>676.45</v>
      </c>
      <c r="E1427" s="116">
        <v>687.15</v>
      </c>
      <c r="F1427" s="116">
        <v>678.3</v>
      </c>
      <c r="G1427">
        <v>32770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44109</v>
      </c>
      <c r="B1428" s="116">
        <v>685.5</v>
      </c>
      <c r="C1428" s="116">
        <v>669</v>
      </c>
      <c r="D1428" s="116">
        <v>663.8</v>
      </c>
      <c r="E1428" s="116">
        <v>678.55</v>
      </c>
      <c r="F1428" s="116">
        <v>669</v>
      </c>
      <c r="G1428">
        <v>43095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44110</v>
      </c>
      <c r="B1429" s="116">
        <v>680</v>
      </c>
      <c r="C1429" s="116">
        <v>672.1</v>
      </c>
      <c r="D1429" s="116">
        <v>667.5</v>
      </c>
      <c r="E1429" s="116">
        <v>672</v>
      </c>
      <c r="F1429" s="116">
        <v>672.1</v>
      </c>
      <c r="G1429">
        <v>29678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44111</v>
      </c>
      <c r="B1430" s="116">
        <v>679.65</v>
      </c>
      <c r="C1430" s="116">
        <v>677.8</v>
      </c>
      <c r="D1430" s="116">
        <v>669.4</v>
      </c>
      <c r="E1430" s="116">
        <v>669.9</v>
      </c>
      <c r="F1430" s="116">
        <v>677.8</v>
      </c>
      <c r="G1430">
        <v>11926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44112</v>
      </c>
      <c r="B1431" s="116">
        <v>694.35</v>
      </c>
      <c r="C1431" s="116">
        <v>692.4</v>
      </c>
      <c r="D1431" s="116">
        <v>680</v>
      </c>
      <c r="E1431" s="116">
        <v>680</v>
      </c>
      <c r="F1431" s="116">
        <v>692.4</v>
      </c>
      <c r="G1431">
        <v>84070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44113</v>
      </c>
      <c r="B1432" s="116">
        <v>697.75</v>
      </c>
      <c r="C1432" s="116">
        <v>689.6</v>
      </c>
      <c r="D1432" s="116">
        <v>679.75</v>
      </c>
      <c r="E1432" s="116">
        <v>693.1</v>
      </c>
      <c r="F1432" s="116">
        <v>689.6</v>
      </c>
      <c r="G1432">
        <v>37086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44116</v>
      </c>
      <c r="B1433" s="116">
        <v>694.75</v>
      </c>
      <c r="C1433" s="116">
        <v>677.45</v>
      </c>
      <c r="D1433" s="116">
        <v>675.4</v>
      </c>
      <c r="E1433" s="116">
        <v>689.3</v>
      </c>
      <c r="F1433" s="116">
        <v>677.45</v>
      </c>
      <c r="G1433">
        <v>21876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44117</v>
      </c>
      <c r="B1434" s="116">
        <v>681.6</v>
      </c>
      <c r="C1434" s="116">
        <v>667</v>
      </c>
      <c r="D1434" s="116">
        <v>662</v>
      </c>
      <c r="E1434" s="116">
        <v>662</v>
      </c>
      <c r="F1434" s="116">
        <v>667</v>
      </c>
      <c r="G1434">
        <v>26072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44118</v>
      </c>
      <c r="B1435" s="116">
        <v>674.45</v>
      </c>
      <c r="C1435" s="116">
        <v>672.75</v>
      </c>
      <c r="D1435" s="116">
        <v>656.55</v>
      </c>
      <c r="E1435" s="116">
        <v>665.85</v>
      </c>
      <c r="F1435" s="116">
        <v>672.75</v>
      </c>
      <c r="G1435">
        <v>30690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44119</v>
      </c>
      <c r="B1436" s="116">
        <v>676.45</v>
      </c>
      <c r="C1436" s="116">
        <v>672.4</v>
      </c>
      <c r="D1436" s="116">
        <v>665.2</v>
      </c>
      <c r="E1436" s="116">
        <v>665.2</v>
      </c>
      <c r="F1436" s="116">
        <v>672.4</v>
      </c>
      <c r="G1436">
        <v>20431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44120</v>
      </c>
      <c r="B1437" s="116">
        <v>703.9</v>
      </c>
      <c r="C1437" s="116">
        <v>700.65</v>
      </c>
      <c r="D1437" s="116">
        <v>683</v>
      </c>
      <c r="E1437" s="116">
        <v>688.1</v>
      </c>
      <c r="F1437" s="116">
        <v>700.65</v>
      </c>
      <c r="G1437">
        <v>312926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44123</v>
      </c>
      <c r="B1438" s="116">
        <v>709.9</v>
      </c>
      <c r="C1438" s="116">
        <v>687.9</v>
      </c>
      <c r="D1438" s="116">
        <v>684.85</v>
      </c>
      <c r="E1438" s="116">
        <v>705.6</v>
      </c>
      <c r="F1438" s="116">
        <v>687.9</v>
      </c>
      <c r="G1438">
        <v>248090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44124</v>
      </c>
      <c r="B1439" s="116">
        <v>700</v>
      </c>
      <c r="C1439" s="116">
        <v>698.2</v>
      </c>
      <c r="D1439" s="116">
        <v>681.65</v>
      </c>
      <c r="E1439" s="116">
        <v>683</v>
      </c>
      <c r="F1439" s="116">
        <v>698.2</v>
      </c>
      <c r="G1439">
        <v>25278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44125</v>
      </c>
      <c r="B1440" s="116">
        <v>711</v>
      </c>
      <c r="C1440" s="116">
        <v>706.35</v>
      </c>
      <c r="D1440" s="116">
        <v>695.7</v>
      </c>
      <c r="E1440" s="116">
        <v>699</v>
      </c>
      <c r="F1440" s="116">
        <v>706.35</v>
      </c>
      <c r="G1440">
        <v>50941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44126</v>
      </c>
      <c r="B1441" s="116">
        <v>718.55</v>
      </c>
      <c r="C1441" s="116">
        <v>709.65</v>
      </c>
      <c r="D1441" s="116">
        <v>699.75</v>
      </c>
      <c r="E1441" s="116">
        <v>701</v>
      </c>
      <c r="F1441" s="116">
        <v>709.65</v>
      </c>
      <c r="G1441">
        <v>201266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44127</v>
      </c>
      <c r="B1442" s="116">
        <v>721</v>
      </c>
      <c r="C1442" s="116">
        <v>705.35</v>
      </c>
      <c r="D1442" s="116">
        <v>703.2</v>
      </c>
      <c r="E1442" s="116">
        <v>710.6</v>
      </c>
      <c r="F1442" s="116">
        <v>705.35</v>
      </c>
      <c r="G1442">
        <v>65314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44130</v>
      </c>
      <c r="B1443" s="116">
        <v>708.15</v>
      </c>
      <c r="C1443" s="116">
        <v>688.6</v>
      </c>
      <c r="D1443" s="116">
        <v>687.1</v>
      </c>
      <c r="E1443" s="116">
        <v>704</v>
      </c>
      <c r="F1443" s="116">
        <v>688.6</v>
      </c>
      <c r="G1443">
        <v>27486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44131</v>
      </c>
      <c r="B1444" s="116">
        <v>704.5</v>
      </c>
      <c r="C1444" s="116">
        <v>702.25</v>
      </c>
      <c r="D1444" s="116">
        <v>692</v>
      </c>
      <c r="E1444" s="116">
        <v>696.25</v>
      </c>
      <c r="F1444" s="116">
        <v>702.25</v>
      </c>
      <c r="G1444">
        <v>30622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44132</v>
      </c>
      <c r="B1445" s="116">
        <v>717.45</v>
      </c>
      <c r="C1445" s="116">
        <v>702.2</v>
      </c>
      <c r="D1445" s="116">
        <v>700.45</v>
      </c>
      <c r="E1445" s="116">
        <v>701.1</v>
      </c>
      <c r="F1445" s="116">
        <v>702.2</v>
      </c>
      <c r="G1445">
        <v>83523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44133</v>
      </c>
      <c r="B1446" s="116">
        <v>707.1</v>
      </c>
      <c r="C1446" s="116">
        <v>702.5</v>
      </c>
      <c r="D1446" s="116">
        <v>690.35</v>
      </c>
      <c r="E1446" s="116">
        <v>705</v>
      </c>
      <c r="F1446" s="116">
        <v>702.5</v>
      </c>
      <c r="G1446">
        <v>31959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44134</v>
      </c>
      <c r="B1447" s="116">
        <v>711.15</v>
      </c>
      <c r="C1447" s="116">
        <v>706.4</v>
      </c>
      <c r="D1447" s="116">
        <v>701.75</v>
      </c>
      <c r="E1447" s="116">
        <v>702.8</v>
      </c>
      <c r="F1447" s="116">
        <v>706.4</v>
      </c>
      <c r="G1447">
        <v>25596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44137</v>
      </c>
      <c r="B1448" s="116">
        <v>723.8</v>
      </c>
      <c r="C1448" s="116">
        <v>720.1</v>
      </c>
      <c r="D1448" s="116">
        <v>696.2</v>
      </c>
      <c r="E1448" s="116">
        <v>705</v>
      </c>
      <c r="F1448" s="116">
        <v>720.1</v>
      </c>
      <c r="G1448">
        <v>47986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44138</v>
      </c>
      <c r="B1449" s="116">
        <v>732.5</v>
      </c>
      <c r="C1449" s="116">
        <v>709.15</v>
      </c>
      <c r="D1449" s="116">
        <v>706.95</v>
      </c>
      <c r="E1449" s="116">
        <v>726.9</v>
      </c>
      <c r="F1449" s="116">
        <v>709.15</v>
      </c>
      <c r="G1449">
        <v>57013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44139</v>
      </c>
      <c r="B1450" s="116">
        <v>727</v>
      </c>
      <c r="C1450" s="116">
        <v>724.85</v>
      </c>
      <c r="D1450" s="116">
        <v>708.4</v>
      </c>
      <c r="E1450" s="116">
        <v>713.1</v>
      </c>
      <c r="F1450" s="116">
        <v>724.85</v>
      </c>
      <c r="G1450">
        <v>83566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44140</v>
      </c>
      <c r="B1451" s="116">
        <v>744.05</v>
      </c>
      <c r="C1451" s="116">
        <v>740.55</v>
      </c>
      <c r="D1451" s="116">
        <v>719</v>
      </c>
      <c r="E1451" s="116">
        <v>720</v>
      </c>
      <c r="F1451" s="116">
        <v>740.55</v>
      </c>
      <c r="G1451">
        <v>109148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44141</v>
      </c>
      <c r="B1452" s="116">
        <v>768</v>
      </c>
      <c r="C1452" s="116">
        <v>753.35</v>
      </c>
      <c r="D1452" s="116">
        <v>734</v>
      </c>
      <c r="E1452" s="116">
        <v>745.1</v>
      </c>
      <c r="F1452" s="116">
        <v>753.35</v>
      </c>
      <c r="G1452">
        <v>148524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44144</v>
      </c>
      <c r="B1453" s="116">
        <v>803</v>
      </c>
      <c r="C1453" s="116">
        <v>791.45</v>
      </c>
      <c r="D1453" s="116">
        <v>756.5</v>
      </c>
      <c r="E1453" s="116">
        <v>757.1</v>
      </c>
      <c r="F1453" s="116">
        <v>791.45</v>
      </c>
      <c r="G1453">
        <v>444089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44145</v>
      </c>
      <c r="B1454" s="116">
        <v>800</v>
      </c>
      <c r="C1454" s="116">
        <v>764.55</v>
      </c>
      <c r="D1454" s="116">
        <v>759.5</v>
      </c>
      <c r="E1454" s="116">
        <v>795.35</v>
      </c>
      <c r="F1454" s="116">
        <v>764.55</v>
      </c>
      <c r="G1454">
        <v>72865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44146</v>
      </c>
      <c r="B1455" s="116">
        <v>767</v>
      </c>
      <c r="C1455" s="116">
        <v>761.15</v>
      </c>
      <c r="D1455" s="116">
        <v>745</v>
      </c>
      <c r="E1455" s="116">
        <v>763.15</v>
      </c>
      <c r="F1455" s="116">
        <v>761.15</v>
      </c>
      <c r="G1455">
        <v>44732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44147</v>
      </c>
      <c r="B1456" s="116">
        <v>763.05</v>
      </c>
      <c r="C1456" s="116">
        <v>755.35</v>
      </c>
      <c r="D1456" s="116">
        <v>746</v>
      </c>
      <c r="E1456" s="116">
        <v>761.15</v>
      </c>
      <c r="F1456" s="116">
        <v>755.35</v>
      </c>
      <c r="G1456">
        <v>70897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44148</v>
      </c>
      <c r="B1457" s="116">
        <v>761.2</v>
      </c>
      <c r="C1457" s="116">
        <v>758.1</v>
      </c>
      <c r="D1457" s="116">
        <v>748.75</v>
      </c>
      <c r="E1457" s="116">
        <v>750</v>
      </c>
      <c r="F1457" s="116">
        <v>758.1</v>
      </c>
      <c r="G1457">
        <v>48735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44149</v>
      </c>
      <c r="B1458" s="116">
        <v>765</v>
      </c>
      <c r="C1458" s="116">
        <v>759.3</v>
      </c>
      <c r="D1458" s="116">
        <v>755.2</v>
      </c>
      <c r="E1458" s="116">
        <v>765</v>
      </c>
      <c r="F1458" s="116">
        <v>759.3</v>
      </c>
      <c r="G1458">
        <v>2758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44152</v>
      </c>
      <c r="B1459" s="116">
        <v>776.35</v>
      </c>
      <c r="C1459" s="116">
        <v>774.7</v>
      </c>
      <c r="D1459" s="116">
        <v>756.4</v>
      </c>
      <c r="E1459" s="116">
        <v>762</v>
      </c>
      <c r="F1459" s="116">
        <v>774.7</v>
      </c>
      <c r="G1459">
        <v>34960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44153</v>
      </c>
      <c r="B1460" s="116">
        <v>781.85</v>
      </c>
      <c r="C1460" s="116">
        <v>770.4</v>
      </c>
      <c r="D1460" s="116">
        <v>767</v>
      </c>
      <c r="E1460" s="116">
        <v>776.9</v>
      </c>
      <c r="F1460" s="116">
        <v>770.4</v>
      </c>
      <c r="G1460">
        <v>43149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44154</v>
      </c>
      <c r="B1461" s="116">
        <v>785.75</v>
      </c>
      <c r="C1461" s="116">
        <v>773.5</v>
      </c>
      <c r="D1461" s="116">
        <v>765</v>
      </c>
      <c r="E1461" s="116">
        <v>765</v>
      </c>
      <c r="F1461" s="116">
        <v>773.5</v>
      </c>
      <c r="G1461">
        <v>328054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44155</v>
      </c>
      <c r="B1462" s="116">
        <v>781.75</v>
      </c>
      <c r="C1462" s="116">
        <v>770.05</v>
      </c>
      <c r="D1462" s="116">
        <v>765.75</v>
      </c>
      <c r="E1462" s="116">
        <v>780.7</v>
      </c>
      <c r="F1462" s="116">
        <v>770.05</v>
      </c>
      <c r="G1462">
        <v>19764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44158</v>
      </c>
      <c r="B1463" s="116">
        <v>782.85</v>
      </c>
      <c r="C1463" s="116">
        <v>759.9</v>
      </c>
      <c r="D1463" s="116">
        <v>757.2</v>
      </c>
      <c r="E1463" s="116">
        <v>780</v>
      </c>
      <c r="F1463" s="116">
        <v>759.9</v>
      </c>
      <c r="G1463">
        <v>28518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44159</v>
      </c>
      <c r="B1464" s="116">
        <v>781</v>
      </c>
      <c r="C1464" s="116">
        <v>778.35</v>
      </c>
      <c r="D1464" s="116">
        <v>762</v>
      </c>
      <c r="E1464" s="116">
        <v>762</v>
      </c>
      <c r="F1464" s="116">
        <v>778.35</v>
      </c>
      <c r="G1464">
        <v>20702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44160</v>
      </c>
      <c r="B1465" s="116">
        <v>785.9</v>
      </c>
      <c r="C1465" s="116">
        <v>753.15</v>
      </c>
      <c r="D1465" s="116">
        <v>748.1</v>
      </c>
      <c r="E1465" s="116">
        <v>785</v>
      </c>
      <c r="F1465" s="116">
        <v>753.15</v>
      </c>
      <c r="G1465">
        <v>31809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44161</v>
      </c>
      <c r="B1466" s="116">
        <v>771.95</v>
      </c>
      <c r="C1466" s="116">
        <v>769.1</v>
      </c>
      <c r="D1466" s="116">
        <v>754.85</v>
      </c>
      <c r="E1466" s="116">
        <v>770</v>
      </c>
      <c r="F1466" s="116">
        <v>769.1</v>
      </c>
      <c r="G1466">
        <v>18623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44162</v>
      </c>
      <c r="B1467" s="116">
        <v>820.95</v>
      </c>
      <c r="C1467" s="116">
        <v>806.2</v>
      </c>
      <c r="D1467" s="116">
        <v>767</v>
      </c>
      <c r="E1467" s="116">
        <v>767.5</v>
      </c>
      <c r="F1467" s="116">
        <v>806.2</v>
      </c>
      <c r="G1467">
        <v>169625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44166</v>
      </c>
      <c r="B1468" s="116">
        <v>811.2</v>
      </c>
      <c r="C1468" s="116">
        <v>794.2</v>
      </c>
      <c r="D1468" s="116">
        <v>790.9</v>
      </c>
      <c r="E1468" s="116">
        <v>806.2</v>
      </c>
      <c r="F1468" s="116">
        <v>794.2</v>
      </c>
      <c r="G1468">
        <v>32820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44167</v>
      </c>
      <c r="B1469" s="116">
        <v>810.4</v>
      </c>
      <c r="C1469" s="116">
        <v>802.2</v>
      </c>
      <c r="D1469" s="116">
        <v>790.5</v>
      </c>
      <c r="E1469" s="116">
        <v>795.45</v>
      </c>
      <c r="F1469" s="116">
        <v>802.2</v>
      </c>
      <c r="G1469">
        <v>35667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44168</v>
      </c>
      <c r="B1470" s="116">
        <v>818.9</v>
      </c>
      <c r="C1470" s="116">
        <v>805.55</v>
      </c>
      <c r="D1470" s="116">
        <v>794.45</v>
      </c>
      <c r="E1470" s="116">
        <v>802.3</v>
      </c>
      <c r="F1470" s="116">
        <v>805.55</v>
      </c>
      <c r="G1470">
        <v>90960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44169</v>
      </c>
      <c r="B1471" s="116">
        <v>826.85</v>
      </c>
      <c r="C1471" s="116">
        <v>820.15</v>
      </c>
      <c r="D1471" s="116">
        <v>807.5</v>
      </c>
      <c r="E1471" s="116">
        <v>807.5</v>
      </c>
      <c r="F1471" s="116">
        <v>820.15</v>
      </c>
      <c r="G1471">
        <v>38934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44172</v>
      </c>
      <c r="B1472" s="116">
        <v>829.7</v>
      </c>
      <c r="C1472" s="116">
        <v>808.85</v>
      </c>
      <c r="D1472" s="116">
        <v>807</v>
      </c>
      <c r="E1472" s="116">
        <v>820.2</v>
      </c>
      <c r="F1472" s="116">
        <v>808.85</v>
      </c>
      <c r="G1472">
        <v>39997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44173</v>
      </c>
      <c r="B1473" s="116">
        <v>820.9</v>
      </c>
      <c r="C1473" s="116">
        <v>810.1</v>
      </c>
      <c r="D1473" s="116">
        <v>804.35</v>
      </c>
      <c r="E1473" s="116">
        <v>820.9</v>
      </c>
      <c r="F1473" s="116">
        <v>810.1</v>
      </c>
      <c r="G1473">
        <v>22370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44174</v>
      </c>
      <c r="B1474" s="116">
        <v>820.9</v>
      </c>
      <c r="C1474" s="116">
        <v>808</v>
      </c>
      <c r="D1474" s="116">
        <v>806.35</v>
      </c>
      <c r="E1474" s="116">
        <v>813.05</v>
      </c>
      <c r="F1474" s="116">
        <v>808</v>
      </c>
      <c r="G1474">
        <v>38593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44175</v>
      </c>
      <c r="B1475" s="116">
        <v>815.35</v>
      </c>
      <c r="C1475" s="116">
        <v>814.3</v>
      </c>
      <c r="D1475" s="116">
        <v>801.7</v>
      </c>
      <c r="E1475" s="116">
        <v>803.3</v>
      </c>
      <c r="F1475" s="116">
        <v>814.3</v>
      </c>
      <c r="G1475">
        <v>30193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44176</v>
      </c>
      <c r="B1476" s="116">
        <v>820.15</v>
      </c>
      <c r="C1476" s="116">
        <v>804.85</v>
      </c>
      <c r="D1476" s="116">
        <v>800.5</v>
      </c>
      <c r="E1476" s="116">
        <v>811.85</v>
      </c>
      <c r="F1476" s="116">
        <v>804.85</v>
      </c>
      <c r="G1476">
        <v>39893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44179</v>
      </c>
      <c r="B1477" s="116">
        <v>813.85</v>
      </c>
      <c r="C1477" s="116">
        <v>808</v>
      </c>
      <c r="D1477" s="116">
        <v>804.4</v>
      </c>
      <c r="E1477" s="116">
        <v>805</v>
      </c>
      <c r="F1477" s="116">
        <v>808</v>
      </c>
      <c r="G1477">
        <v>21029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44180</v>
      </c>
      <c r="B1478" s="116">
        <v>833.65</v>
      </c>
      <c r="C1478" s="116">
        <v>829.6</v>
      </c>
      <c r="D1478" s="116">
        <v>803.8</v>
      </c>
      <c r="E1478" s="116">
        <v>811.55</v>
      </c>
      <c r="F1478" s="116">
        <v>829.6</v>
      </c>
      <c r="G1478">
        <v>70596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44181</v>
      </c>
      <c r="B1479" s="116">
        <v>844.5</v>
      </c>
      <c r="C1479" s="116">
        <v>838.35</v>
      </c>
      <c r="D1479" s="116">
        <v>822.35</v>
      </c>
      <c r="E1479" s="116">
        <v>834</v>
      </c>
      <c r="F1479" s="116">
        <v>838.35</v>
      </c>
      <c r="G1479">
        <v>66823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44182</v>
      </c>
      <c r="B1480" s="116">
        <v>844.95</v>
      </c>
      <c r="C1480" s="116">
        <v>823.1</v>
      </c>
      <c r="D1480" s="116">
        <v>820.25</v>
      </c>
      <c r="E1480" s="116">
        <v>838.35</v>
      </c>
      <c r="F1480" s="116">
        <v>823.1</v>
      </c>
      <c r="G1480">
        <v>340058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44183</v>
      </c>
      <c r="B1481" s="116">
        <v>836.7</v>
      </c>
      <c r="C1481" s="116">
        <v>827.4</v>
      </c>
      <c r="D1481" s="116">
        <v>819.25</v>
      </c>
      <c r="E1481" s="116">
        <v>830</v>
      </c>
      <c r="F1481" s="116">
        <v>827.4</v>
      </c>
      <c r="G1481">
        <v>68385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44186</v>
      </c>
      <c r="B1482" s="116">
        <v>834.7</v>
      </c>
      <c r="C1482" s="116">
        <v>783.95</v>
      </c>
      <c r="D1482" s="116">
        <v>779.45</v>
      </c>
      <c r="E1482" s="116">
        <v>834.7</v>
      </c>
      <c r="F1482" s="116">
        <v>783.95</v>
      </c>
      <c r="G1482">
        <v>46742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44187</v>
      </c>
      <c r="B1483" s="116">
        <v>800.5</v>
      </c>
      <c r="C1483" s="116">
        <v>797.65</v>
      </c>
      <c r="D1483" s="116">
        <v>768.5</v>
      </c>
      <c r="E1483" s="116">
        <v>783</v>
      </c>
      <c r="F1483" s="116">
        <v>797.65</v>
      </c>
      <c r="G1483">
        <v>38126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44188</v>
      </c>
      <c r="B1484" s="116">
        <v>824.1</v>
      </c>
      <c r="C1484" s="116">
        <v>820.35</v>
      </c>
      <c r="D1484" s="116">
        <v>794.25</v>
      </c>
      <c r="E1484" s="116">
        <v>797.7</v>
      </c>
      <c r="F1484" s="116">
        <v>820.35</v>
      </c>
      <c r="G1484">
        <v>25261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44189</v>
      </c>
      <c r="B1485" s="116">
        <v>828.05</v>
      </c>
      <c r="C1485" s="116">
        <v>809.7</v>
      </c>
      <c r="D1485" s="116">
        <v>807.15</v>
      </c>
      <c r="E1485" s="116">
        <v>820</v>
      </c>
      <c r="F1485" s="116">
        <v>809.7</v>
      </c>
      <c r="G1485">
        <v>37156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44193</v>
      </c>
      <c r="B1486" s="116">
        <v>820.95</v>
      </c>
      <c r="C1486" s="116">
        <v>816.05</v>
      </c>
      <c r="D1486" s="116">
        <v>810</v>
      </c>
      <c r="E1486" s="116">
        <v>814.2</v>
      </c>
      <c r="F1486" s="116">
        <v>816.05</v>
      </c>
      <c r="G1486">
        <v>18231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44194</v>
      </c>
      <c r="B1487" s="116">
        <v>822</v>
      </c>
      <c r="C1487" s="116">
        <v>813.9</v>
      </c>
      <c r="D1487" s="116">
        <v>809.35</v>
      </c>
      <c r="E1487" s="116">
        <v>820</v>
      </c>
      <c r="F1487" s="116">
        <v>813.9</v>
      </c>
      <c r="G1487">
        <v>24281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44195</v>
      </c>
      <c r="B1488" s="116">
        <v>820.9</v>
      </c>
      <c r="C1488" s="116">
        <v>819.4</v>
      </c>
      <c r="D1488" s="116">
        <v>810.05</v>
      </c>
      <c r="E1488" s="116">
        <v>818.5</v>
      </c>
      <c r="F1488" s="116">
        <v>819.4</v>
      </c>
      <c r="G1488">
        <v>30048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44196</v>
      </c>
      <c r="B1489" s="116">
        <v>827.7</v>
      </c>
      <c r="C1489" s="116">
        <v>826</v>
      </c>
      <c r="D1489" s="116">
        <v>812.3</v>
      </c>
      <c r="E1489" s="116">
        <v>819.5</v>
      </c>
      <c r="F1489" s="116">
        <v>826</v>
      </c>
      <c r="G1489">
        <v>30964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44197</v>
      </c>
      <c r="B1490" s="116">
        <v>833.45</v>
      </c>
      <c r="C1490" s="116">
        <v>831</v>
      </c>
      <c r="D1490" s="116">
        <v>822.3</v>
      </c>
      <c r="E1490" s="116">
        <v>826.3</v>
      </c>
      <c r="F1490" s="116">
        <v>831</v>
      </c>
      <c r="G1490">
        <v>29071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44200</v>
      </c>
      <c r="B1491" s="116">
        <v>848.75</v>
      </c>
      <c r="C1491" s="116">
        <v>845.9</v>
      </c>
      <c r="D1491" s="116">
        <v>830</v>
      </c>
      <c r="E1491" s="116">
        <v>830</v>
      </c>
      <c r="F1491" s="116">
        <v>845.9</v>
      </c>
      <c r="G1491">
        <v>44194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44201</v>
      </c>
      <c r="B1492" s="116">
        <v>853.15</v>
      </c>
      <c r="C1492" s="116">
        <v>838</v>
      </c>
      <c r="D1492" s="116">
        <v>830.6</v>
      </c>
      <c r="E1492" s="116">
        <v>847</v>
      </c>
      <c r="F1492" s="116">
        <v>838</v>
      </c>
      <c r="G1492">
        <v>41813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44202</v>
      </c>
      <c r="B1493" s="116">
        <v>877.5</v>
      </c>
      <c r="C1493" s="116">
        <v>869.3</v>
      </c>
      <c r="D1493" s="116">
        <v>835.15</v>
      </c>
      <c r="E1493" s="116">
        <v>842</v>
      </c>
      <c r="F1493" s="116">
        <v>869.3</v>
      </c>
      <c r="G1493">
        <v>103890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44203</v>
      </c>
      <c r="B1494" s="116">
        <v>887.55</v>
      </c>
      <c r="C1494" s="116">
        <v>881.7</v>
      </c>
      <c r="D1494" s="116">
        <v>869.3</v>
      </c>
      <c r="E1494" s="116">
        <v>869.3</v>
      </c>
      <c r="F1494" s="116">
        <v>881.7</v>
      </c>
      <c r="G1494">
        <v>60103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44204</v>
      </c>
      <c r="B1495" s="116">
        <v>908.95</v>
      </c>
      <c r="C1495" s="116">
        <v>903.5</v>
      </c>
      <c r="D1495" s="116">
        <v>882</v>
      </c>
      <c r="E1495" s="116">
        <v>885</v>
      </c>
      <c r="F1495" s="116">
        <v>903.5</v>
      </c>
      <c r="G1495">
        <v>83201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44207</v>
      </c>
      <c r="B1496" s="116">
        <v>917.6</v>
      </c>
      <c r="C1496" s="116">
        <v>915.1</v>
      </c>
      <c r="D1496" s="116">
        <v>882.8</v>
      </c>
      <c r="E1496" s="116">
        <v>904.5</v>
      </c>
      <c r="F1496" s="116">
        <v>915.1</v>
      </c>
      <c r="G1496">
        <v>78377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44208</v>
      </c>
      <c r="B1497" s="116">
        <v>922</v>
      </c>
      <c r="C1497" s="116">
        <v>903.75</v>
      </c>
      <c r="D1497" s="116">
        <v>900</v>
      </c>
      <c r="E1497" s="116">
        <v>915</v>
      </c>
      <c r="F1497" s="116">
        <v>903.75</v>
      </c>
      <c r="G1497">
        <v>39699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44209</v>
      </c>
      <c r="B1498" s="116">
        <v>912</v>
      </c>
      <c r="C1498" s="116">
        <v>896.4</v>
      </c>
      <c r="D1498" s="116">
        <v>882.15</v>
      </c>
      <c r="E1498" s="116">
        <v>903.75</v>
      </c>
      <c r="F1498" s="116">
        <v>896.4</v>
      </c>
      <c r="G1498">
        <v>44255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44210</v>
      </c>
      <c r="B1499" s="116">
        <v>926.5</v>
      </c>
      <c r="C1499" s="116">
        <v>911.7</v>
      </c>
      <c r="D1499" s="116">
        <v>898</v>
      </c>
      <c r="E1499" s="116">
        <v>898</v>
      </c>
      <c r="F1499" s="116">
        <v>911.7</v>
      </c>
      <c r="G1499">
        <v>77001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44211</v>
      </c>
      <c r="B1500" s="116">
        <v>917.75</v>
      </c>
      <c r="C1500" s="116">
        <v>887.95</v>
      </c>
      <c r="D1500" s="116">
        <v>882</v>
      </c>
      <c r="E1500" s="116">
        <v>909</v>
      </c>
      <c r="F1500" s="116">
        <v>887.95</v>
      </c>
      <c r="G1500">
        <v>30082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44214</v>
      </c>
      <c r="B1501" s="116">
        <v>903.35</v>
      </c>
      <c r="C1501" s="116">
        <v>891.9</v>
      </c>
      <c r="D1501" s="116">
        <v>876.9</v>
      </c>
      <c r="E1501" s="116">
        <v>882</v>
      </c>
      <c r="F1501" s="116">
        <v>891.9</v>
      </c>
      <c r="G1501">
        <v>39937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44215</v>
      </c>
      <c r="B1502" s="116">
        <v>910.5</v>
      </c>
      <c r="C1502" s="116">
        <v>908.85</v>
      </c>
      <c r="D1502" s="116">
        <v>892.15</v>
      </c>
      <c r="E1502" s="116">
        <v>892.9</v>
      </c>
      <c r="F1502" s="116">
        <v>908.85</v>
      </c>
      <c r="G1502">
        <v>36171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44216</v>
      </c>
      <c r="B1503" s="116">
        <v>918.4</v>
      </c>
      <c r="C1503" s="116">
        <v>911.15</v>
      </c>
      <c r="D1503" s="116">
        <v>901.1</v>
      </c>
      <c r="E1503" s="116">
        <v>910</v>
      </c>
      <c r="F1503" s="116">
        <v>911.15</v>
      </c>
      <c r="G1503">
        <v>22239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44217</v>
      </c>
      <c r="B1504" s="116">
        <v>995.2</v>
      </c>
      <c r="C1504" s="116">
        <v>955.75</v>
      </c>
      <c r="D1504" s="116">
        <v>930</v>
      </c>
      <c r="E1504" s="116">
        <v>930</v>
      </c>
      <c r="F1504" s="116">
        <v>955.75</v>
      </c>
      <c r="G1504">
        <v>241714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44218</v>
      </c>
      <c r="B1505" s="116">
        <v>969</v>
      </c>
      <c r="C1505" s="116">
        <v>934.25</v>
      </c>
      <c r="D1505" s="116">
        <v>917.3</v>
      </c>
      <c r="E1505" s="116">
        <v>953.25</v>
      </c>
      <c r="F1505" s="116">
        <v>934.25</v>
      </c>
      <c r="G1505">
        <v>119065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44221</v>
      </c>
      <c r="B1506" s="116">
        <v>959.9</v>
      </c>
      <c r="C1506" s="116">
        <v>941.85</v>
      </c>
      <c r="D1506" s="116">
        <v>914</v>
      </c>
      <c r="E1506" s="116">
        <v>945</v>
      </c>
      <c r="F1506" s="116">
        <v>941.85</v>
      </c>
      <c r="G1506">
        <v>78646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44223</v>
      </c>
      <c r="B1507" s="116">
        <v>944.15</v>
      </c>
      <c r="C1507" s="116">
        <v>913.95</v>
      </c>
      <c r="D1507" s="116">
        <v>908.2</v>
      </c>
      <c r="E1507" s="116">
        <v>935</v>
      </c>
      <c r="F1507" s="116">
        <v>913.95</v>
      </c>
      <c r="G1507">
        <v>51830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44224</v>
      </c>
      <c r="B1508" s="116">
        <v>942.5</v>
      </c>
      <c r="C1508" s="116">
        <v>933.95</v>
      </c>
      <c r="D1508" s="116">
        <v>904.05</v>
      </c>
      <c r="E1508" s="116">
        <v>910</v>
      </c>
      <c r="F1508" s="116">
        <v>933.95</v>
      </c>
      <c r="G1508">
        <v>121763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44225</v>
      </c>
      <c r="B1509" s="116">
        <v>945</v>
      </c>
      <c r="C1509" s="116">
        <v>908.5</v>
      </c>
      <c r="D1509" s="116">
        <v>897.4</v>
      </c>
      <c r="E1509" s="116">
        <v>940</v>
      </c>
      <c r="F1509" s="116">
        <v>908.5</v>
      </c>
      <c r="G1509">
        <v>79753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44228</v>
      </c>
      <c r="B1510" s="116">
        <v>949.35</v>
      </c>
      <c r="C1510" s="116">
        <v>937.55</v>
      </c>
      <c r="D1510" s="116">
        <v>903.5</v>
      </c>
      <c r="E1510" s="116">
        <v>908.5</v>
      </c>
      <c r="F1510" s="116">
        <v>937.55</v>
      </c>
      <c r="G1510">
        <v>69497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44229</v>
      </c>
      <c r="B1511" s="116">
        <v>998.35</v>
      </c>
      <c r="C1511" s="116">
        <v>988.2</v>
      </c>
      <c r="D1511" s="116">
        <v>941.65</v>
      </c>
      <c r="E1511" s="116">
        <v>948</v>
      </c>
      <c r="F1511" s="116">
        <v>988.2</v>
      </c>
      <c r="G1511">
        <v>125083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44230</v>
      </c>
      <c r="B1512" s="116">
        <v>1030</v>
      </c>
      <c r="C1512" s="116">
        <v>1004.15</v>
      </c>
      <c r="D1512" s="116">
        <v>990.3</v>
      </c>
      <c r="E1512" s="116">
        <v>990.3</v>
      </c>
      <c r="F1512" s="116">
        <v>1004.15</v>
      </c>
      <c r="G1512">
        <v>95880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44231</v>
      </c>
      <c r="B1513" s="116">
        <v>1022</v>
      </c>
      <c r="C1513" s="116">
        <v>1003.1</v>
      </c>
      <c r="D1513" s="116">
        <v>998.85</v>
      </c>
      <c r="E1513" s="116">
        <v>999.45</v>
      </c>
      <c r="F1513" s="116">
        <v>1003.1</v>
      </c>
      <c r="G1513">
        <v>56172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44232</v>
      </c>
      <c r="B1514" s="116">
        <v>1041.3</v>
      </c>
      <c r="C1514" s="116">
        <v>1000.6</v>
      </c>
      <c r="D1514" s="116">
        <v>989.9</v>
      </c>
      <c r="E1514" s="116">
        <v>1009</v>
      </c>
      <c r="F1514" s="116">
        <v>1000.6</v>
      </c>
      <c r="G1514">
        <v>105796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44235</v>
      </c>
      <c r="B1515" s="116">
        <v>1045.9000000000001</v>
      </c>
      <c r="C1515" s="116">
        <v>1039.2</v>
      </c>
      <c r="D1515" s="116">
        <v>1005</v>
      </c>
      <c r="E1515" s="116">
        <v>1009</v>
      </c>
      <c r="F1515" s="116">
        <v>1039.2</v>
      </c>
      <c r="G1515">
        <v>118329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44236</v>
      </c>
      <c r="B1516" s="116">
        <v>1089.55</v>
      </c>
      <c r="C1516" s="116">
        <v>1080.1500000000001</v>
      </c>
      <c r="D1516" s="116">
        <v>1039</v>
      </c>
      <c r="E1516" s="116">
        <v>1040</v>
      </c>
      <c r="F1516" s="116">
        <v>1080.1500000000001</v>
      </c>
      <c r="G1516">
        <v>177475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44237</v>
      </c>
      <c r="B1517" s="116">
        <v>1095.55</v>
      </c>
      <c r="C1517" s="116">
        <v>1090.1500000000001</v>
      </c>
      <c r="D1517" s="116">
        <v>1020.35</v>
      </c>
      <c r="E1517" s="116">
        <v>1020.35</v>
      </c>
      <c r="F1517" s="116">
        <v>1090.1500000000001</v>
      </c>
      <c r="G1517">
        <v>86489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44238</v>
      </c>
      <c r="B1518" s="116">
        <v>1110.05</v>
      </c>
      <c r="C1518" s="116">
        <v>1101.05</v>
      </c>
      <c r="D1518" s="116">
        <v>1080.1500000000001</v>
      </c>
      <c r="E1518" s="116">
        <v>1090.1500000000001</v>
      </c>
      <c r="F1518" s="116">
        <v>1101.05</v>
      </c>
      <c r="G1518">
        <v>60589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44239</v>
      </c>
      <c r="B1519" s="116">
        <v>1131.2</v>
      </c>
      <c r="C1519" s="116">
        <v>1079.0999999999999</v>
      </c>
      <c r="D1519" s="116">
        <v>1060.55</v>
      </c>
      <c r="E1519" s="116">
        <v>1103</v>
      </c>
      <c r="F1519" s="116">
        <v>1079.0999999999999</v>
      </c>
      <c r="G1519">
        <v>276594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44242</v>
      </c>
      <c r="B1520" s="116">
        <v>1104</v>
      </c>
      <c r="C1520" s="116">
        <v>1057.95</v>
      </c>
      <c r="D1520" s="116">
        <v>1052.5999999999999</v>
      </c>
      <c r="E1520" s="116">
        <v>1104</v>
      </c>
      <c r="F1520" s="116">
        <v>1057.95</v>
      </c>
      <c r="G1520">
        <v>185508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44243</v>
      </c>
      <c r="B1521" s="116">
        <v>1079.9000000000001</v>
      </c>
      <c r="C1521" s="116">
        <v>1036.05</v>
      </c>
      <c r="D1521" s="116">
        <v>1026.05</v>
      </c>
      <c r="E1521" s="116">
        <v>1079.9000000000001</v>
      </c>
      <c r="F1521" s="116">
        <v>1036.05</v>
      </c>
      <c r="G1521">
        <v>85682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44244</v>
      </c>
      <c r="B1522" s="116">
        <v>1048.25</v>
      </c>
      <c r="C1522" s="116">
        <v>1033.4000000000001</v>
      </c>
      <c r="D1522" s="116">
        <v>1017.35</v>
      </c>
      <c r="E1522" s="116">
        <v>1037</v>
      </c>
      <c r="F1522" s="116">
        <v>1033.4000000000001</v>
      </c>
      <c r="G1522">
        <v>68306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44245</v>
      </c>
      <c r="B1523" s="116">
        <v>1041</v>
      </c>
      <c r="C1523" s="116">
        <v>1017.3</v>
      </c>
      <c r="D1523" s="116">
        <v>1003</v>
      </c>
      <c r="E1523" s="116">
        <v>1041</v>
      </c>
      <c r="F1523" s="116">
        <v>1017.3</v>
      </c>
      <c r="G1523">
        <v>63316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44246</v>
      </c>
      <c r="B1524" s="116">
        <v>1032.75</v>
      </c>
      <c r="C1524" s="116">
        <v>1001.25</v>
      </c>
      <c r="D1524" s="116">
        <v>992.8</v>
      </c>
      <c r="E1524" s="116">
        <v>1012.45</v>
      </c>
      <c r="F1524" s="116">
        <v>1001.25</v>
      </c>
      <c r="G1524">
        <v>66917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44249</v>
      </c>
      <c r="B1525" s="116">
        <v>1015</v>
      </c>
      <c r="C1525" s="116">
        <v>991.8</v>
      </c>
      <c r="D1525" s="116">
        <v>984.95</v>
      </c>
      <c r="E1525" s="116">
        <v>1003</v>
      </c>
      <c r="F1525" s="116">
        <v>991.8</v>
      </c>
      <c r="G1525">
        <v>71650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44250</v>
      </c>
      <c r="B1526" s="116">
        <v>1021.3</v>
      </c>
      <c r="C1526" s="116">
        <v>1014.8</v>
      </c>
      <c r="D1526" s="116">
        <v>979.5</v>
      </c>
      <c r="E1526" s="116">
        <v>989</v>
      </c>
      <c r="F1526" s="116">
        <v>1014.8</v>
      </c>
      <c r="G1526">
        <v>55178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44251</v>
      </c>
      <c r="B1527" s="116">
        <v>1090.5999999999999</v>
      </c>
      <c r="C1527" s="116">
        <v>1013.75</v>
      </c>
      <c r="D1527" s="116">
        <v>971.9</v>
      </c>
      <c r="E1527" s="116">
        <v>1020</v>
      </c>
      <c r="F1527" s="116">
        <v>1013.75</v>
      </c>
      <c r="G1527">
        <v>177672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44252</v>
      </c>
      <c r="B1528" s="116">
        <v>1054.5999999999999</v>
      </c>
      <c r="C1528" s="116">
        <v>1049.0999999999999</v>
      </c>
      <c r="D1528" s="116">
        <v>1017.65</v>
      </c>
      <c r="E1528" s="116">
        <v>1025</v>
      </c>
      <c r="F1528" s="116">
        <v>1049.0999999999999</v>
      </c>
      <c r="G1528">
        <v>129669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44253</v>
      </c>
      <c r="B1529" s="116">
        <v>1053.8</v>
      </c>
      <c r="C1529" s="116">
        <v>1017.3</v>
      </c>
      <c r="D1529" s="116">
        <v>1009.85</v>
      </c>
      <c r="E1529" s="116">
        <v>1044.2</v>
      </c>
      <c r="F1529" s="116">
        <v>1017.3</v>
      </c>
      <c r="G1529">
        <v>113032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44256</v>
      </c>
      <c r="B1530" s="116">
        <v>1062.4000000000001</v>
      </c>
      <c r="C1530" s="116">
        <v>1044.1500000000001</v>
      </c>
      <c r="D1530" s="116">
        <v>1021.95</v>
      </c>
      <c r="E1530" s="116">
        <v>1040</v>
      </c>
      <c r="F1530" s="116">
        <v>1044.1500000000001</v>
      </c>
      <c r="G1530">
        <v>52793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44257</v>
      </c>
      <c r="B1531" s="116">
        <v>1072.0999999999999</v>
      </c>
      <c r="C1531" s="116">
        <v>1067.7</v>
      </c>
      <c r="D1531" s="116">
        <v>1040</v>
      </c>
      <c r="E1531" s="116">
        <v>1040</v>
      </c>
      <c r="F1531" s="116">
        <v>1067.7</v>
      </c>
      <c r="G1531">
        <v>99262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44258</v>
      </c>
      <c r="B1532" s="116">
        <v>1081</v>
      </c>
      <c r="C1532" s="116">
        <v>1072.5999999999999</v>
      </c>
      <c r="D1532" s="116">
        <v>1064.3499999999999</v>
      </c>
      <c r="E1532" s="116">
        <v>1077.0999999999999</v>
      </c>
      <c r="F1532" s="116">
        <v>1072.5999999999999</v>
      </c>
      <c r="G1532">
        <v>107917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44259</v>
      </c>
      <c r="B1533" s="116">
        <v>1091</v>
      </c>
      <c r="C1533" s="116">
        <v>1071.2</v>
      </c>
      <c r="D1533" s="116">
        <v>1054.05</v>
      </c>
      <c r="E1533" s="116">
        <v>1070</v>
      </c>
      <c r="F1533" s="116">
        <v>1071.2</v>
      </c>
      <c r="G1533">
        <v>54902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44260</v>
      </c>
      <c r="B1534" s="116">
        <v>1080</v>
      </c>
      <c r="C1534" s="116">
        <v>1031.55</v>
      </c>
      <c r="D1534" s="116">
        <v>1029</v>
      </c>
      <c r="E1534" s="116">
        <v>1080</v>
      </c>
      <c r="F1534" s="116">
        <v>1031.55</v>
      </c>
      <c r="G1534">
        <v>83264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44263</v>
      </c>
      <c r="B1535" s="116">
        <v>1057.5999999999999</v>
      </c>
      <c r="C1535" s="116">
        <v>1049.2</v>
      </c>
      <c r="D1535" s="116">
        <v>1032.9000000000001</v>
      </c>
      <c r="E1535" s="116">
        <v>1048</v>
      </c>
      <c r="F1535" s="116">
        <v>1049.2</v>
      </c>
      <c r="G1535">
        <v>87100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44264</v>
      </c>
      <c r="B1536" s="116">
        <v>1055.3499999999999</v>
      </c>
      <c r="C1536" s="116">
        <v>1040.8</v>
      </c>
      <c r="D1536" s="116">
        <v>1031.4000000000001</v>
      </c>
      <c r="E1536" s="116">
        <v>1052.5</v>
      </c>
      <c r="F1536" s="116">
        <v>1040.8</v>
      </c>
      <c r="G1536">
        <v>72860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44265</v>
      </c>
      <c r="B1537" s="116">
        <v>1070</v>
      </c>
      <c r="C1537" s="116">
        <v>1061.5</v>
      </c>
      <c r="D1537" s="116">
        <v>1047.5</v>
      </c>
      <c r="E1537" s="116">
        <v>1053</v>
      </c>
      <c r="F1537" s="116">
        <v>1061.5</v>
      </c>
      <c r="G1537">
        <v>46032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44267</v>
      </c>
      <c r="B1538" s="116">
        <v>1084.8</v>
      </c>
      <c r="C1538" s="116">
        <v>1053.2</v>
      </c>
      <c r="D1538" s="116">
        <v>1046.3</v>
      </c>
      <c r="E1538" s="116">
        <v>1063.1500000000001</v>
      </c>
      <c r="F1538" s="116">
        <v>1053.2</v>
      </c>
      <c r="G1538">
        <v>103244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44270</v>
      </c>
      <c r="B1539" s="116">
        <v>1079.9000000000001</v>
      </c>
      <c r="C1539" s="116">
        <v>1058.55</v>
      </c>
      <c r="D1539" s="116">
        <v>1053.05</v>
      </c>
      <c r="E1539" s="116">
        <v>1064</v>
      </c>
      <c r="F1539" s="116">
        <v>1058.55</v>
      </c>
      <c r="G1539">
        <v>81769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44271</v>
      </c>
      <c r="B1540" s="116">
        <v>1067.7</v>
      </c>
      <c r="C1540" s="116">
        <v>1030.3499999999999</v>
      </c>
      <c r="D1540" s="116">
        <v>1025.5</v>
      </c>
      <c r="E1540" s="116">
        <v>1058.2</v>
      </c>
      <c r="F1540" s="116">
        <v>1030.3499999999999</v>
      </c>
      <c r="G1540">
        <v>75515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44272</v>
      </c>
      <c r="B1541" s="116">
        <v>1032.1500000000001</v>
      </c>
      <c r="C1541" s="116">
        <v>1000.7</v>
      </c>
      <c r="D1541" s="116">
        <v>998</v>
      </c>
      <c r="E1541" s="116">
        <v>1032.1500000000001</v>
      </c>
      <c r="F1541" s="116">
        <v>1000.7</v>
      </c>
      <c r="G1541">
        <v>76780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44273</v>
      </c>
      <c r="B1542" s="116">
        <v>1023.5</v>
      </c>
      <c r="C1542" s="116">
        <v>985.55</v>
      </c>
      <c r="D1542" s="116">
        <v>969.2</v>
      </c>
      <c r="E1542" s="116">
        <v>1023.5</v>
      </c>
      <c r="F1542" s="116">
        <v>985.55</v>
      </c>
      <c r="G1542">
        <v>135741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44274</v>
      </c>
      <c r="B1543" s="116">
        <v>988.25</v>
      </c>
      <c r="C1543" s="116">
        <v>980.25</v>
      </c>
      <c r="D1543" s="116">
        <v>962.75</v>
      </c>
      <c r="E1543" s="116">
        <v>970</v>
      </c>
      <c r="F1543" s="116">
        <v>980.25</v>
      </c>
      <c r="G1543">
        <v>103069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44277</v>
      </c>
      <c r="B1544" s="116">
        <v>1012.5</v>
      </c>
      <c r="C1544" s="116">
        <v>997.85</v>
      </c>
      <c r="D1544" s="116">
        <v>972.8</v>
      </c>
      <c r="E1544" s="116">
        <v>985.25</v>
      </c>
      <c r="F1544" s="116">
        <v>997.85</v>
      </c>
      <c r="G1544">
        <v>100688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44278</v>
      </c>
      <c r="B1545" s="116">
        <v>1014.5</v>
      </c>
      <c r="C1545" s="116">
        <v>1001.05</v>
      </c>
      <c r="D1545" s="116">
        <v>993</v>
      </c>
      <c r="E1545" s="116">
        <v>1014.5</v>
      </c>
      <c r="F1545" s="116">
        <v>1001.05</v>
      </c>
      <c r="G1545">
        <v>48313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44279</v>
      </c>
      <c r="B1546" s="116">
        <v>1011.55</v>
      </c>
      <c r="C1546" s="116">
        <v>984.55</v>
      </c>
      <c r="D1546" s="116">
        <v>982.65</v>
      </c>
      <c r="E1546" s="116">
        <v>996</v>
      </c>
      <c r="F1546" s="116">
        <v>984.55</v>
      </c>
      <c r="G1546">
        <v>69492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44280</v>
      </c>
      <c r="B1547" s="116">
        <v>1000</v>
      </c>
      <c r="C1547" s="116">
        <v>959.65</v>
      </c>
      <c r="D1547" s="116">
        <v>954</v>
      </c>
      <c r="E1547" s="116">
        <v>1000</v>
      </c>
      <c r="F1547" s="116">
        <v>959.65</v>
      </c>
      <c r="G1547">
        <v>37247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44281</v>
      </c>
      <c r="B1548" s="116">
        <v>987.25</v>
      </c>
      <c r="C1548" s="116">
        <v>978.95</v>
      </c>
      <c r="D1548" s="116">
        <v>962</v>
      </c>
      <c r="E1548" s="116">
        <v>962</v>
      </c>
      <c r="F1548" s="116">
        <v>978.95</v>
      </c>
      <c r="G1548">
        <v>49167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44285</v>
      </c>
      <c r="B1549" s="116">
        <v>1004.45</v>
      </c>
      <c r="C1549" s="116">
        <v>992.85</v>
      </c>
      <c r="D1549" s="116">
        <v>982.5</v>
      </c>
      <c r="E1549" s="116">
        <v>990</v>
      </c>
      <c r="F1549" s="116">
        <v>992.85</v>
      </c>
      <c r="G1549">
        <v>50917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44286</v>
      </c>
      <c r="B1550" s="116">
        <v>1010.95</v>
      </c>
      <c r="C1550" s="116">
        <v>1001.85</v>
      </c>
      <c r="D1550" s="116">
        <v>990.05</v>
      </c>
      <c r="E1550" s="116">
        <v>1007</v>
      </c>
      <c r="F1550" s="116">
        <v>1001.85</v>
      </c>
      <c r="G1550">
        <v>62282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44287</v>
      </c>
      <c r="B1551" s="116">
        <v>1018</v>
      </c>
      <c r="C1551" s="116">
        <v>1005.25</v>
      </c>
      <c r="D1551" s="116">
        <v>1002.4</v>
      </c>
      <c r="E1551" s="116">
        <v>1018</v>
      </c>
      <c r="F1551" s="116">
        <v>1005.25</v>
      </c>
      <c r="G1551">
        <v>25513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44291</v>
      </c>
      <c r="B1552" s="116">
        <v>1008</v>
      </c>
      <c r="C1552" s="116">
        <v>976.45</v>
      </c>
      <c r="D1552" s="116">
        <v>961.65</v>
      </c>
      <c r="E1552" s="116">
        <v>1003</v>
      </c>
      <c r="F1552" s="116">
        <v>976.45</v>
      </c>
      <c r="G1552">
        <v>49925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44292</v>
      </c>
      <c r="B1553" s="116">
        <v>990</v>
      </c>
      <c r="C1553" s="116">
        <v>974.45</v>
      </c>
      <c r="D1553" s="116">
        <v>964.15</v>
      </c>
      <c r="E1553" s="116">
        <v>990</v>
      </c>
      <c r="F1553" s="116">
        <v>974.45</v>
      </c>
      <c r="G1553">
        <v>55232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44293</v>
      </c>
      <c r="B1554" s="116">
        <v>1018.35</v>
      </c>
      <c r="C1554" s="116">
        <v>999.2</v>
      </c>
      <c r="D1554" s="116">
        <v>975.9</v>
      </c>
      <c r="E1554" s="116">
        <v>989</v>
      </c>
      <c r="F1554" s="116">
        <v>999.2</v>
      </c>
      <c r="G1554">
        <v>96076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44294</v>
      </c>
      <c r="B1555" s="116">
        <v>1016</v>
      </c>
      <c r="C1555" s="116">
        <v>1004.7</v>
      </c>
      <c r="D1555" s="116">
        <v>1000</v>
      </c>
      <c r="E1555" s="116">
        <v>1013.95</v>
      </c>
      <c r="F1555" s="116">
        <v>1004.7</v>
      </c>
      <c r="G1555">
        <v>32126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44295</v>
      </c>
      <c r="B1556" s="116">
        <v>1027</v>
      </c>
      <c r="C1556" s="116">
        <v>1006.25</v>
      </c>
      <c r="D1556" s="116">
        <v>1002.95</v>
      </c>
      <c r="E1556" s="116">
        <v>1005</v>
      </c>
      <c r="F1556" s="116">
        <v>1006.25</v>
      </c>
      <c r="G1556">
        <v>123234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44298</v>
      </c>
      <c r="B1557" s="116">
        <v>994.1</v>
      </c>
      <c r="C1557" s="116">
        <v>951.4</v>
      </c>
      <c r="D1557" s="116">
        <v>940.65</v>
      </c>
      <c r="E1557" s="116">
        <v>986</v>
      </c>
      <c r="F1557" s="116">
        <v>951.4</v>
      </c>
      <c r="G1557">
        <v>214560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44299</v>
      </c>
      <c r="B1558" s="116">
        <v>969.75</v>
      </c>
      <c r="C1558" s="116">
        <v>959.35</v>
      </c>
      <c r="D1558" s="116">
        <v>946.2</v>
      </c>
      <c r="E1558" s="116">
        <v>960</v>
      </c>
      <c r="F1558" s="116">
        <v>959.35</v>
      </c>
      <c r="G1558">
        <v>91953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44301</v>
      </c>
      <c r="B1559" s="116">
        <v>959.35</v>
      </c>
      <c r="C1559" s="116">
        <v>947.3</v>
      </c>
      <c r="D1559" s="116">
        <v>939.45</v>
      </c>
      <c r="E1559" s="116">
        <v>954.2</v>
      </c>
      <c r="F1559" s="116">
        <v>947.3</v>
      </c>
      <c r="G1559">
        <v>59332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44302</v>
      </c>
      <c r="B1560" s="116">
        <v>968.9</v>
      </c>
      <c r="C1560" s="116">
        <v>959.05</v>
      </c>
      <c r="D1560" s="116">
        <v>940</v>
      </c>
      <c r="E1560" s="116">
        <v>940</v>
      </c>
      <c r="F1560" s="116">
        <v>959.05</v>
      </c>
      <c r="G1560">
        <v>99747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44305</v>
      </c>
      <c r="B1561" s="116">
        <v>959.9</v>
      </c>
      <c r="C1561" s="116">
        <v>956.95</v>
      </c>
      <c r="D1561" s="116">
        <v>918</v>
      </c>
      <c r="E1561" s="116">
        <v>939</v>
      </c>
      <c r="F1561" s="116">
        <v>956.95</v>
      </c>
      <c r="G1561">
        <v>79970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44306</v>
      </c>
      <c r="B1562" s="116">
        <v>973.6</v>
      </c>
      <c r="C1562" s="116">
        <v>940.95</v>
      </c>
      <c r="D1562" s="116">
        <v>935.8</v>
      </c>
      <c r="E1562" s="116">
        <v>957.05</v>
      </c>
      <c r="F1562" s="116">
        <v>940.95</v>
      </c>
      <c r="G1562">
        <v>138372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44308</v>
      </c>
      <c r="B1563" s="116">
        <v>969</v>
      </c>
      <c r="C1563" s="116">
        <v>940.1</v>
      </c>
      <c r="D1563" s="116">
        <v>935</v>
      </c>
      <c r="E1563" s="116">
        <v>969</v>
      </c>
      <c r="F1563" s="116">
        <v>940.1</v>
      </c>
      <c r="G1563">
        <v>103389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44309</v>
      </c>
      <c r="B1564" s="116">
        <v>956.55</v>
      </c>
      <c r="C1564" s="116">
        <v>939.15</v>
      </c>
      <c r="D1564" s="116">
        <v>934.3</v>
      </c>
      <c r="E1564" s="116">
        <v>939.4</v>
      </c>
      <c r="F1564" s="116">
        <v>939.15</v>
      </c>
      <c r="G1564">
        <v>66432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44312</v>
      </c>
      <c r="B1565" s="116">
        <v>950</v>
      </c>
      <c r="C1565" s="116">
        <v>946</v>
      </c>
      <c r="D1565" s="116">
        <v>941.05</v>
      </c>
      <c r="E1565" s="116">
        <v>944</v>
      </c>
      <c r="F1565" s="116">
        <v>946</v>
      </c>
      <c r="G1565">
        <v>30634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44313</v>
      </c>
      <c r="B1566" s="116">
        <v>981</v>
      </c>
      <c r="C1566" s="116">
        <v>976.2</v>
      </c>
      <c r="D1566" s="116">
        <v>943.5</v>
      </c>
      <c r="E1566" s="116">
        <v>948.35</v>
      </c>
      <c r="F1566" s="116">
        <v>976.2</v>
      </c>
      <c r="G1566">
        <v>32241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44314</v>
      </c>
      <c r="B1567" s="116">
        <v>984.9</v>
      </c>
      <c r="C1567" s="116">
        <v>962.6</v>
      </c>
      <c r="D1567" s="116">
        <v>957.2</v>
      </c>
      <c r="E1567" s="116">
        <v>984.9</v>
      </c>
      <c r="F1567" s="116">
        <v>962.6</v>
      </c>
      <c r="G1567">
        <v>39757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44315</v>
      </c>
      <c r="B1568" s="116">
        <v>989.3</v>
      </c>
      <c r="C1568" s="116">
        <v>967.3</v>
      </c>
      <c r="D1568" s="116">
        <v>962</v>
      </c>
      <c r="E1568" s="116">
        <v>968</v>
      </c>
      <c r="F1568" s="116">
        <v>967.3</v>
      </c>
      <c r="G1568">
        <v>74636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44316</v>
      </c>
      <c r="B1569" s="116">
        <v>977.35</v>
      </c>
      <c r="C1569" s="116">
        <v>957.1</v>
      </c>
      <c r="D1569" s="116">
        <v>954.9</v>
      </c>
      <c r="E1569" s="116">
        <v>960</v>
      </c>
      <c r="F1569" s="116">
        <v>957.1</v>
      </c>
      <c r="G1569">
        <v>62896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44319</v>
      </c>
      <c r="B1570" s="116">
        <v>962.05</v>
      </c>
      <c r="C1570" s="116">
        <v>957.9</v>
      </c>
      <c r="D1570" s="116">
        <v>938</v>
      </c>
      <c r="E1570" s="116">
        <v>955</v>
      </c>
      <c r="F1570" s="116">
        <v>957.9</v>
      </c>
      <c r="G1570">
        <v>69365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44320</v>
      </c>
      <c r="B1571" s="116">
        <v>972.15</v>
      </c>
      <c r="C1571" s="116">
        <v>963.35</v>
      </c>
      <c r="D1571" s="116">
        <v>955.05</v>
      </c>
      <c r="E1571" s="116">
        <v>965.45</v>
      </c>
      <c r="F1571" s="116">
        <v>963.35</v>
      </c>
      <c r="G1571">
        <v>72630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44321</v>
      </c>
      <c r="B1572" s="116">
        <v>993.2</v>
      </c>
      <c r="C1572" s="116">
        <v>971.8</v>
      </c>
      <c r="D1572" s="116">
        <v>965.55</v>
      </c>
      <c r="E1572" s="116">
        <v>979.3</v>
      </c>
      <c r="F1572" s="116">
        <v>971.8</v>
      </c>
      <c r="G1572">
        <v>61401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44322</v>
      </c>
      <c r="B1573" s="116">
        <v>988.9</v>
      </c>
      <c r="C1573" s="116">
        <v>984.3</v>
      </c>
      <c r="D1573" s="116">
        <v>965.9</v>
      </c>
      <c r="E1573" s="116">
        <v>984</v>
      </c>
      <c r="F1573" s="116">
        <v>984.3</v>
      </c>
      <c r="G1573">
        <v>56565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44323</v>
      </c>
      <c r="B1574" s="116">
        <v>994</v>
      </c>
      <c r="C1574" s="116">
        <v>969.3</v>
      </c>
      <c r="D1574" s="116">
        <v>963.9</v>
      </c>
      <c r="E1574" s="116">
        <v>994</v>
      </c>
      <c r="F1574" s="116">
        <v>969.3</v>
      </c>
      <c r="G1574">
        <v>63226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44326</v>
      </c>
      <c r="B1575" s="116">
        <v>988</v>
      </c>
      <c r="C1575" s="116">
        <v>968.4</v>
      </c>
      <c r="D1575" s="116">
        <v>961.45</v>
      </c>
      <c r="E1575" s="116">
        <v>988</v>
      </c>
      <c r="F1575" s="116">
        <v>968.4</v>
      </c>
      <c r="G1575">
        <v>29575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44327</v>
      </c>
      <c r="B1576" s="116">
        <v>1015.95</v>
      </c>
      <c r="C1576" s="116">
        <v>1010.3</v>
      </c>
      <c r="D1576" s="116">
        <v>962.45</v>
      </c>
      <c r="E1576" s="116">
        <v>969</v>
      </c>
      <c r="F1576" s="116">
        <v>1010.3</v>
      </c>
      <c r="G1576">
        <v>300356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44328</v>
      </c>
      <c r="B1577" s="116">
        <v>1020</v>
      </c>
      <c r="C1577" s="116">
        <v>970.55</v>
      </c>
      <c r="D1577" s="116">
        <v>962.25</v>
      </c>
      <c r="E1577" s="116">
        <v>1020</v>
      </c>
      <c r="F1577" s="116">
        <v>970.55</v>
      </c>
      <c r="G1577">
        <v>287208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44330</v>
      </c>
      <c r="B1578" s="116">
        <v>1040</v>
      </c>
      <c r="C1578" s="116">
        <v>999.75</v>
      </c>
      <c r="D1578" s="116">
        <v>963.7</v>
      </c>
      <c r="E1578" s="116">
        <v>1040</v>
      </c>
      <c r="F1578" s="116">
        <v>999.75</v>
      </c>
      <c r="G1578">
        <v>151540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44333</v>
      </c>
      <c r="B1579" s="116">
        <v>1000</v>
      </c>
      <c r="C1579" s="116">
        <v>983.15</v>
      </c>
      <c r="D1579" s="116">
        <v>953.95</v>
      </c>
      <c r="E1579" s="116">
        <v>1000</v>
      </c>
      <c r="F1579" s="116">
        <v>983.15</v>
      </c>
      <c r="G1579">
        <v>113752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44334</v>
      </c>
      <c r="B1580" s="116">
        <v>1012.45</v>
      </c>
      <c r="C1580" s="116">
        <v>1007.45</v>
      </c>
      <c r="D1580" s="116">
        <v>986</v>
      </c>
      <c r="E1580" s="116">
        <v>990</v>
      </c>
      <c r="F1580" s="116">
        <v>1007.45</v>
      </c>
      <c r="G1580">
        <v>52943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44335</v>
      </c>
      <c r="B1581" s="116">
        <v>1033.8499999999999</v>
      </c>
      <c r="C1581" s="116">
        <v>1020.05</v>
      </c>
      <c r="D1581" s="116">
        <v>999</v>
      </c>
      <c r="E1581" s="116">
        <v>1029.8</v>
      </c>
      <c r="F1581" s="116">
        <v>1020.05</v>
      </c>
      <c r="G1581">
        <v>104094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44336</v>
      </c>
      <c r="B1582" s="116">
        <v>1028.55</v>
      </c>
      <c r="C1582" s="116">
        <v>1008.65</v>
      </c>
      <c r="D1582" s="116">
        <v>1001.45</v>
      </c>
      <c r="E1582" s="116">
        <v>1022.2</v>
      </c>
      <c r="F1582" s="116">
        <v>1008.65</v>
      </c>
      <c r="G1582">
        <v>71917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44337</v>
      </c>
      <c r="B1583" s="116">
        <v>1016.05</v>
      </c>
      <c r="C1583" s="116">
        <v>999.95</v>
      </c>
      <c r="D1583" s="116">
        <v>993.55</v>
      </c>
      <c r="E1583" s="116">
        <v>1005</v>
      </c>
      <c r="F1583" s="116">
        <v>999.95</v>
      </c>
      <c r="G1583">
        <v>30892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44340</v>
      </c>
      <c r="B1584" s="116">
        <v>1010.85</v>
      </c>
      <c r="C1584" s="116">
        <v>996.9</v>
      </c>
      <c r="D1584" s="116">
        <v>992.5</v>
      </c>
      <c r="E1584" s="116">
        <v>1000</v>
      </c>
      <c r="F1584" s="116">
        <v>996.9</v>
      </c>
      <c r="G1584">
        <v>56037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44341</v>
      </c>
      <c r="B1585" s="116">
        <v>1006</v>
      </c>
      <c r="C1585" s="116">
        <v>988.45</v>
      </c>
      <c r="D1585" s="116">
        <v>985.65</v>
      </c>
      <c r="E1585" s="116">
        <v>995.6</v>
      </c>
      <c r="F1585" s="116">
        <v>988.45</v>
      </c>
      <c r="G1585">
        <v>43921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44342</v>
      </c>
      <c r="B1586" s="116">
        <v>995.4</v>
      </c>
      <c r="C1586" s="116">
        <v>990.15</v>
      </c>
      <c r="D1586" s="116">
        <v>975.3</v>
      </c>
      <c r="E1586" s="116">
        <v>992.3</v>
      </c>
      <c r="F1586" s="116">
        <v>990.15</v>
      </c>
      <c r="G1586">
        <v>49975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44343</v>
      </c>
      <c r="B1587" s="116">
        <v>1001.55</v>
      </c>
      <c r="C1587" s="116">
        <v>996.55</v>
      </c>
      <c r="D1587" s="116">
        <v>985.6</v>
      </c>
      <c r="E1587" s="116">
        <v>996</v>
      </c>
      <c r="F1587" s="116">
        <v>996.55</v>
      </c>
      <c r="G1587">
        <v>54650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44344</v>
      </c>
      <c r="B1588" s="116">
        <v>1008.5</v>
      </c>
      <c r="C1588" s="116">
        <v>1000.05</v>
      </c>
      <c r="D1588" s="116">
        <v>997.05</v>
      </c>
      <c r="E1588" s="116">
        <v>1000.4</v>
      </c>
      <c r="F1588" s="116">
        <v>1000.05</v>
      </c>
      <c r="G1588">
        <v>30743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44347</v>
      </c>
      <c r="B1589" s="116">
        <v>1014.9</v>
      </c>
      <c r="C1589" s="116">
        <v>1006.6</v>
      </c>
      <c r="D1589" s="116">
        <v>998.55</v>
      </c>
      <c r="E1589" s="116">
        <v>1001.55</v>
      </c>
      <c r="F1589" s="116">
        <v>1006.6</v>
      </c>
      <c r="G1589">
        <v>47532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44348</v>
      </c>
      <c r="B1590" s="116">
        <v>1019.7</v>
      </c>
      <c r="C1590" s="116">
        <v>1013.85</v>
      </c>
      <c r="D1590" s="116">
        <v>1006.5</v>
      </c>
      <c r="E1590" s="116">
        <v>1013.45</v>
      </c>
      <c r="F1590" s="116">
        <v>1013.85</v>
      </c>
      <c r="G1590">
        <v>25548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44349</v>
      </c>
      <c r="B1591" s="116">
        <v>1038.4000000000001</v>
      </c>
      <c r="C1591" s="116">
        <v>1034.4000000000001</v>
      </c>
      <c r="D1591" s="116">
        <v>1007.6</v>
      </c>
      <c r="E1591" s="116">
        <v>1015</v>
      </c>
      <c r="F1591" s="116">
        <v>1034.4000000000001</v>
      </c>
      <c r="G1591">
        <v>104029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44350</v>
      </c>
      <c r="B1592" s="116">
        <v>1118</v>
      </c>
      <c r="C1592" s="116">
        <v>1111.75</v>
      </c>
      <c r="D1592" s="116">
        <v>1037.05</v>
      </c>
      <c r="E1592" s="116">
        <v>1040</v>
      </c>
      <c r="F1592" s="116">
        <v>1111.75</v>
      </c>
      <c r="G1592">
        <v>449764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44351</v>
      </c>
      <c r="B1593" s="116">
        <v>1124.9000000000001</v>
      </c>
      <c r="C1593" s="116">
        <v>1103.9000000000001</v>
      </c>
      <c r="D1593" s="116">
        <v>1098.1500000000001</v>
      </c>
      <c r="E1593" s="116">
        <v>1117.8499999999999</v>
      </c>
      <c r="F1593" s="116">
        <v>1103.9000000000001</v>
      </c>
      <c r="G1593">
        <v>173992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44354</v>
      </c>
      <c r="B1594" s="116">
        <v>1118.5</v>
      </c>
      <c r="C1594" s="116">
        <v>1097.1500000000001</v>
      </c>
      <c r="D1594" s="116">
        <v>1093.7</v>
      </c>
      <c r="E1594" s="116">
        <v>1105</v>
      </c>
      <c r="F1594" s="116">
        <v>1097.1500000000001</v>
      </c>
      <c r="G1594">
        <v>68404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44355</v>
      </c>
      <c r="B1595" s="116">
        <v>1104</v>
      </c>
      <c r="C1595" s="116">
        <v>1071.5</v>
      </c>
      <c r="D1595" s="116">
        <v>1070</v>
      </c>
      <c r="E1595" s="116">
        <v>1101</v>
      </c>
      <c r="F1595" s="116">
        <v>1071.5</v>
      </c>
      <c r="G1595">
        <v>65884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44356</v>
      </c>
      <c r="B1596" s="116">
        <v>1076.55</v>
      </c>
      <c r="C1596" s="116">
        <v>1045.9000000000001</v>
      </c>
      <c r="D1596" s="116">
        <v>1042.5999999999999</v>
      </c>
      <c r="E1596" s="116">
        <v>1071.45</v>
      </c>
      <c r="F1596" s="116">
        <v>1045.9000000000001</v>
      </c>
      <c r="G1596">
        <v>37095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44357</v>
      </c>
      <c r="B1597" s="116">
        <v>1059.2</v>
      </c>
      <c r="C1597" s="116">
        <v>1055.1500000000001</v>
      </c>
      <c r="D1597" s="116">
        <v>1045.3499999999999</v>
      </c>
      <c r="E1597" s="116">
        <v>1051.05</v>
      </c>
      <c r="F1597" s="116">
        <v>1055.1500000000001</v>
      </c>
      <c r="G1597">
        <v>28032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44358</v>
      </c>
      <c r="B1598" s="116">
        <v>1062</v>
      </c>
      <c r="C1598" s="116">
        <v>1046</v>
      </c>
      <c r="D1598" s="116">
        <v>1039.0999999999999</v>
      </c>
      <c r="E1598" s="116">
        <v>1056.0999999999999</v>
      </c>
      <c r="F1598" s="116">
        <v>1046</v>
      </c>
      <c r="G1598">
        <v>26498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44361</v>
      </c>
      <c r="B1599" s="116">
        <v>1048</v>
      </c>
      <c r="C1599" s="116">
        <v>1043.25</v>
      </c>
      <c r="D1599" s="116">
        <v>1021.1</v>
      </c>
      <c r="E1599" s="116">
        <v>1048</v>
      </c>
      <c r="F1599" s="116">
        <v>1043.25</v>
      </c>
      <c r="G1599">
        <v>41957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44362</v>
      </c>
      <c r="B1600" s="116">
        <v>1067.8499999999999</v>
      </c>
      <c r="C1600" s="116">
        <v>1061.3</v>
      </c>
      <c r="D1600" s="116">
        <v>1047.05</v>
      </c>
      <c r="E1600" s="116">
        <v>1048.9000000000001</v>
      </c>
      <c r="F1600" s="116">
        <v>1061.3</v>
      </c>
      <c r="G1600">
        <v>81019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44363</v>
      </c>
      <c r="B1601" s="116">
        <v>1064.7</v>
      </c>
      <c r="C1601" s="116">
        <v>1029.0999999999999</v>
      </c>
      <c r="D1601" s="116">
        <v>1023.15</v>
      </c>
      <c r="E1601" s="116">
        <v>1064.7</v>
      </c>
      <c r="F1601" s="116">
        <v>1029.0999999999999</v>
      </c>
      <c r="G1601">
        <v>527451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44364</v>
      </c>
      <c r="B1602" s="116">
        <v>1043.25</v>
      </c>
      <c r="C1602" s="116">
        <v>1030.5</v>
      </c>
      <c r="D1602" s="116">
        <v>1013.6</v>
      </c>
      <c r="E1602" s="116">
        <v>1016.05</v>
      </c>
      <c r="F1602" s="116">
        <v>1030.5</v>
      </c>
      <c r="G1602">
        <v>66633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44365</v>
      </c>
      <c r="B1603" s="116">
        <v>1039</v>
      </c>
      <c r="C1603" s="116">
        <v>1028.8499999999999</v>
      </c>
      <c r="D1603" s="116">
        <v>1002.45</v>
      </c>
      <c r="E1603" s="116">
        <v>1032.6500000000001</v>
      </c>
      <c r="F1603" s="116">
        <v>1028.8499999999999</v>
      </c>
      <c r="G1603">
        <v>60764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44368</v>
      </c>
      <c r="B1604" s="116">
        <v>1025</v>
      </c>
      <c r="C1604" s="116">
        <v>1019.25</v>
      </c>
      <c r="D1604" s="116">
        <v>1008.65</v>
      </c>
      <c r="E1604" s="116">
        <v>1025</v>
      </c>
      <c r="F1604" s="116">
        <v>1019.25</v>
      </c>
      <c r="G1604">
        <v>20951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44369</v>
      </c>
      <c r="B1605" s="116">
        <v>1030</v>
      </c>
      <c r="C1605" s="116">
        <v>1020.5</v>
      </c>
      <c r="D1605" s="116">
        <v>1017.6</v>
      </c>
      <c r="E1605" s="116">
        <v>1025.3</v>
      </c>
      <c r="F1605" s="116">
        <v>1020.5</v>
      </c>
      <c r="G1605">
        <v>23671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44370</v>
      </c>
      <c r="B1606" s="116">
        <v>1045.8499999999999</v>
      </c>
      <c r="C1606" s="116">
        <v>1030.3</v>
      </c>
      <c r="D1606" s="116">
        <v>1018.8</v>
      </c>
      <c r="E1606" s="116">
        <v>1023</v>
      </c>
      <c r="F1606" s="116">
        <v>1030.3</v>
      </c>
      <c r="G1606">
        <v>85168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44371</v>
      </c>
      <c r="B1607" s="116">
        <v>1037</v>
      </c>
      <c r="C1607" s="116">
        <v>1023.95</v>
      </c>
      <c r="D1607" s="116">
        <v>1019.25</v>
      </c>
      <c r="E1607" s="116">
        <v>1030</v>
      </c>
      <c r="F1607" s="116">
        <v>1023.95</v>
      </c>
      <c r="G1607">
        <v>100138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44372</v>
      </c>
      <c r="B1608" s="116">
        <v>1038</v>
      </c>
      <c r="C1608" s="116">
        <v>1029.3</v>
      </c>
      <c r="D1608" s="116">
        <v>1024.3499999999999</v>
      </c>
      <c r="E1608" s="116">
        <v>1031.9000000000001</v>
      </c>
      <c r="F1608" s="116">
        <v>1029.3</v>
      </c>
      <c r="G1608">
        <v>42109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44375</v>
      </c>
      <c r="B1609" s="116">
        <v>1061</v>
      </c>
      <c r="C1609" s="116">
        <v>1042.7</v>
      </c>
      <c r="D1609" s="116">
        <v>1033.6500000000001</v>
      </c>
      <c r="E1609" s="116">
        <v>1035</v>
      </c>
      <c r="F1609" s="116">
        <v>1042.7</v>
      </c>
      <c r="G1609">
        <v>65664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44376</v>
      </c>
      <c r="B1610" s="116">
        <v>1051</v>
      </c>
      <c r="C1610" s="116">
        <v>1028.25</v>
      </c>
      <c r="D1610" s="116">
        <v>1016.15</v>
      </c>
      <c r="E1610" s="116">
        <v>1045</v>
      </c>
      <c r="F1610" s="116">
        <v>1028.25</v>
      </c>
      <c r="G1610">
        <v>1170784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44377</v>
      </c>
      <c r="B1611" s="116">
        <v>1040.25</v>
      </c>
      <c r="C1611" s="116">
        <v>1022.35</v>
      </c>
      <c r="D1611" s="116">
        <v>1015.75</v>
      </c>
      <c r="E1611" s="116">
        <v>1040.25</v>
      </c>
      <c r="F1611" s="116">
        <v>1022.35</v>
      </c>
      <c r="G1611">
        <v>25259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44378</v>
      </c>
      <c r="B1612" s="116">
        <v>1033</v>
      </c>
      <c r="C1612" s="116">
        <v>1013.65</v>
      </c>
      <c r="D1612" s="116">
        <v>1012</v>
      </c>
      <c r="E1612" s="116">
        <v>1033</v>
      </c>
      <c r="F1612" s="116">
        <v>1013.65</v>
      </c>
      <c r="G1612">
        <v>20329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44379</v>
      </c>
      <c r="B1613" s="116">
        <v>1018</v>
      </c>
      <c r="C1613" s="116">
        <v>1013.65</v>
      </c>
      <c r="D1613" s="116">
        <v>997.75</v>
      </c>
      <c r="E1613" s="116">
        <v>1018</v>
      </c>
      <c r="F1613" s="116">
        <v>1013.65</v>
      </c>
      <c r="G1613">
        <v>45571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44382</v>
      </c>
      <c r="B1614" s="116">
        <v>1025.1500000000001</v>
      </c>
      <c r="C1614" s="116">
        <v>1014.1</v>
      </c>
      <c r="D1614" s="116">
        <v>1012.8</v>
      </c>
      <c r="E1614" s="116">
        <v>1025.1500000000001</v>
      </c>
      <c r="F1614" s="116">
        <v>1014.1</v>
      </c>
      <c r="G1614">
        <v>15935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44383</v>
      </c>
      <c r="B1615" s="116">
        <v>1027.5999999999999</v>
      </c>
      <c r="C1615" s="116">
        <v>1012.75</v>
      </c>
      <c r="D1615" s="116">
        <v>1010.45</v>
      </c>
      <c r="E1615" s="116">
        <v>1020</v>
      </c>
      <c r="F1615" s="116">
        <v>1012.75</v>
      </c>
      <c r="G1615">
        <v>20713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44384</v>
      </c>
      <c r="B1616" s="116">
        <v>1015.8</v>
      </c>
      <c r="C1616" s="116">
        <v>1005.55</v>
      </c>
      <c r="D1616" s="116">
        <v>1003.05</v>
      </c>
      <c r="E1616" s="116">
        <v>1014.1</v>
      </c>
      <c r="F1616" s="116">
        <v>1005.55</v>
      </c>
      <c r="G1616">
        <v>25901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44385</v>
      </c>
      <c r="B1617" s="116">
        <v>1024.45</v>
      </c>
      <c r="C1617" s="116">
        <v>1011.25</v>
      </c>
      <c r="D1617" s="116">
        <v>1006.65</v>
      </c>
      <c r="E1617" s="116">
        <v>1009.9</v>
      </c>
      <c r="F1617" s="116">
        <v>1011.25</v>
      </c>
      <c r="G1617">
        <v>53995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44386</v>
      </c>
      <c r="B1618" s="116">
        <v>1018</v>
      </c>
      <c r="C1618" s="116">
        <v>1015.65</v>
      </c>
      <c r="D1618" s="116">
        <v>1002.9</v>
      </c>
      <c r="E1618" s="116">
        <v>1018</v>
      </c>
      <c r="F1618" s="116">
        <v>1015.65</v>
      </c>
      <c r="G1618">
        <v>16779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44389</v>
      </c>
      <c r="B1619" s="116">
        <v>1027.8499999999999</v>
      </c>
      <c r="C1619" s="116">
        <v>1017.25</v>
      </c>
      <c r="D1619" s="116">
        <v>1013</v>
      </c>
      <c r="E1619" s="116">
        <v>1013</v>
      </c>
      <c r="F1619" s="116">
        <v>1017.25</v>
      </c>
      <c r="G1619">
        <v>30189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44390</v>
      </c>
      <c r="B1620" s="116">
        <v>1037.5</v>
      </c>
      <c r="C1620" s="116">
        <v>1032.8</v>
      </c>
      <c r="D1620" s="116">
        <v>1018.1</v>
      </c>
      <c r="E1620" s="116">
        <v>1028</v>
      </c>
      <c r="F1620" s="116">
        <v>1032.8</v>
      </c>
      <c r="G1620">
        <v>1612823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44391</v>
      </c>
      <c r="B1621" s="116">
        <v>1045.3</v>
      </c>
      <c r="C1621" s="116">
        <v>1030.45</v>
      </c>
      <c r="D1621" s="116">
        <v>1027.75</v>
      </c>
      <c r="E1621" s="116">
        <v>1041.7</v>
      </c>
      <c r="F1621" s="116">
        <v>1030.45</v>
      </c>
      <c r="G1621">
        <v>52244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44392</v>
      </c>
      <c r="B1622" s="116">
        <v>1048.45</v>
      </c>
      <c r="C1622" s="116">
        <v>1042.45</v>
      </c>
      <c r="D1622" s="116">
        <v>1033</v>
      </c>
      <c r="E1622" s="116">
        <v>1033</v>
      </c>
      <c r="F1622" s="116">
        <v>1042.45</v>
      </c>
      <c r="G1622">
        <v>28114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44393</v>
      </c>
      <c r="B1623" s="116">
        <v>1061.3499999999999</v>
      </c>
      <c r="C1623" s="116">
        <v>1051.3</v>
      </c>
      <c r="D1623" s="116">
        <v>1038.25</v>
      </c>
      <c r="E1623" s="116">
        <v>1044</v>
      </c>
      <c r="F1623" s="116">
        <v>1051.3</v>
      </c>
      <c r="G1623">
        <v>30693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44396</v>
      </c>
      <c r="B1624" s="116">
        <v>1052.95</v>
      </c>
      <c r="C1624" s="116">
        <v>1039.1500000000001</v>
      </c>
      <c r="D1624" s="116">
        <v>1032.0999999999999</v>
      </c>
      <c r="E1624" s="116">
        <v>1045</v>
      </c>
      <c r="F1624" s="116">
        <v>1039.1500000000001</v>
      </c>
      <c r="G1624">
        <v>35671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44397</v>
      </c>
      <c r="B1625" s="116">
        <v>1041.05</v>
      </c>
      <c r="C1625" s="116">
        <v>1026.55</v>
      </c>
      <c r="D1625" s="116">
        <v>1005</v>
      </c>
      <c r="E1625" s="116">
        <v>1034</v>
      </c>
      <c r="F1625" s="116">
        <v>1026.55</v>
      </c>
      <c r="G1625">
        <v>31154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44399</v>
      </c>
      <c r="B1626" s="116">
        <v>1056</v>
      </c>
      <c r="C1626" s="116">
        <v>1049.05</v>
      </c>
      <c r="D1626" s="116">
        <v>1026</v>
      </c>
      <c r="E1626" s="116">
        <v>1035.2</v>
      </c>
      <c r="F1626" s="116">
        <v>1049.05</v>
      </c>
      <c r="G1626">
        <v>37246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44400</v>
      </c>
      <c r="B1627" s="116">
        <v>1055</v>
      </c>
      <c r="C1627" s="116">
        <v>1045.6500000000001</v>
      </c>
      <c r="D1627" s="116">
        <v>1043.55</v>
      </c>
      <c r="E1627" s="116">
        <v>1054</v>
      </c>
      <c r="F1627" s="116">
        <v>1045.6500000000001</v>
      </c>
      <c r="G1627">
        <v>12975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44403</v>
      </c>
      <c r="B1628" s="116">
        <v>1046</v>
      </c>
      <c r="C1628" s="116">
        <v>1026.75</v>
      </c>
      <c r="D1628" s="116">
        <v>1025.2</v>
      </c>
      <c r="E1628" s="116">
        <v>1045</v>
      </c>
      <c r="F1628" s="116">
        <v>1026.75</v>
      </c>
      <c r="G1628">
        <v>23975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44404</v>
      </c>
      <c r="B1629" s="116">
        <v>1049</v>
      </c>
      <c r="C1629" s="116">
        <v>1019.95</v>
      </c>
      <c r="D1629" s="116">
        <v>1018.45</v>
      </c>
      <c r="E1629" s="116">
        <v>1037.9000000000001</v>
      </c>
      <c r="F1629" s="116">
        <v>1019.95</v>
      </c>
      <c r="G1629">
        <v>31610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44405</v>
      </c>
      <c r="B1630" s="116">
        <v>1025</v>
      </c>
      <c r="C1630" s="116">
        <v>1016.6</v>
      </c>
      <c r="D1630" s="116">
        <v>1008.7</v>
      </c>
      <c r="E1630" s="116">
        <v>1021</v>
      </c>
      <c r="F1630" s="116">
        <v>1016.6</v>
      </c>
      <c r="G1630">
        <v>17814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44406</v>
      </c>
      <c r="B1631" s="116">
        <v>1033.5</v>
      </c>
      <c r="C1631" s="116">
        <v>1031</v>
      </c>
      <c r="D1631" s="116">
        <v>1015</v>
      </c>
      <c r="E1631" s="116">
        <v>1015</v>
      </c>
      <c r="F1631" s="116">
        <v>1031</v>
      </c>
      <c r="G1631">
        <v>31740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44407</v>
      </c>
      <c r="B1632" s="116">
        <v>1064.6500000000001</v>
      </c>
      <c r="C1632" s="116">
        <v>1059.3499999999999</v>
      </c>
      <c r="D1632" s="116">
        <v>1027.3499999999999</v>
      </c>
      <c r="E1632" s="116">
        <v>1029.45</v>
      </c>
      <c r="F1632" s="116">
        <v>1059.3499999999999</v>
      </c>
      <c r="G1632">
        <v>58948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44410</v>
      </c>
      <c r="B1633" s="116">
        <v>1079.5</v>
      </c>
      <c r="C1633" s="116">
        <v>1053.3499999999999</v>
      </c>
      <c r="D1633" s="116">
        <v>1050.45</v>
      </c>
      <c r="E1633" s="116">
        <v>1069.95</v>
      </c>
      <c r="F1633" s="116">
        <v>1053.3499999999999</v>
      </c>
      <c r="G1633">
        <v>102427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44411</v>
      </c>
      <c r="B1634" s="116">
        <v>1060.3499999999999</v>
      </c>
      <c r="C1634" s="116">
        <v>1035.5</v>
      </c>
      <c r="D1634" s="116">
        <v>1033.0999999999999</v>
      </c>
      <c r="E1634" s="116">
        <v>1055</v>
      </c>
      <c r="F1634" s="116">
        <v>1035.5</v>
      </c>
      <c r="G1634">
        <v>37420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44412</v>
      </c>
      <c r="B1635" s="116">
        <v>1048.5</v>
      </c>
      <c r="C1635" s="116">
        <v>1032.7</v>
      </c>
      <c r="D1635" s="116">
        <v>1027.9000000000001</v>
      </c>
      <c r="E1635" s="116">
        <v>1045</v>
      </c>
      <c r="F1635" s="116">
        <v>1032.7</v>
      </c>
      <c r="G1635">
        <v>44275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44413</v>
      </c>
      <c r="B1636" s="116">
        <v>1048</v>
      </c>
      <c r="C1636" s="116">
        <v>1045.1500000000001</v>
      </c>
      <c r="D1636" s="116">
        <v>1024.4000000000001</v>
      </c>
      <c r="E1636" s="116">
        <v>1042</v>
      </c>
      <c r="F1636" s="116">
        <v>1045.1500000000001</v>
      </c>
      <c r="G1636">
        <v>35916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44414</v>
      </c>
      <c r="B1637" s="116">
        <v>1073.6500000000001</v>
      </c>
      <c r="C1637" s="116">
        <v>1048.3499999999999</v>
      </c>
      <c r="D1637" s="116">
        <v>1036.3</v>
      </c>
      <c r="E1637" s="116">
        <v>1049.95</v>
      </c>
      <c r="F1637" s="116">
        <v>1048.3499999999999</v>
      </c>
      <c r="G1637">
        <v>120761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44417</v>
      </c>
      <c r="B1638" s="116">
        <v>1050.7</v>
      </c>
      <c r="C1638" s="116">
        <v>1024.8</v>
      </c>
      <c r="D1638" s="116">
        <v>1020.2</v>
      </c>
      <c r="E1638" s="116">
        <v>1050</v>
      </c>
      <c r="F1638" s="116">
        <v>1024.8</v>
      </c>
      <c r="G1638">
        <v>30765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44418</v>
      </c>
      <c r="B1639" s="116">
        <v>1028</v>
      </c>
      <c r="C1639" s="116">
        <v>998.5</v>
      </c>
      <c r="D1639" s="116">
        <v>991.15</v>
      </c>
      <c r="E1639" s="116">
        <v>1022</v>
      </c>
      <c r="F1639" s="116">
        <v>998.5</v>
      </c>
      <c r="G1639">
        <v>62588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44419</v>
      </c>
      <c r="B1640" s="116">
        <v>1003</v>
      </c>
      <c r="C1640" s="116">
        <v>1000.8</v>
      </c>
      <c r="D1640" s="116">
        <v>955.7</v>
      </c>
      <c r="E1640" s="116">
        <v>998.5</v>
      </c>
      <c r="F1640" s="116">
        <v>1000.8</v>
      </c>
      <c r="G1640">
        <v>129159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44420</v>
      </c>
      <c r="B1641" s="116">
        <v>1007.7</v>
      </c>
      <c r="C1641" s="116">
        <v>986.35</v>
      </c>
      <c r="D1641" s="116">
        <v>982.25</v>
      </c>
      <c r="E1641" s="116">
        <v>1000</v>
      </c>
      <c r="F1641" s="116">
        <v>986.35</v>
      </c>
      <c r="G1641">
        <v>45671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44421</v>
      </c>
      <c r="B1642" s="116">
        <v>999</v>
      </c>
      <c r="C1642" s="116">
        <v>985.1</v>
      </c>
      <c r="D1642" s="116">
        <v>979.4</v>
      </c>
      <c r="E1642" s="116">
        <v>988</v>
      </c>
      <c r="F1642" s="116">
        <v>985.1</v>
      </c>
      <c r="G1642">
        <v>1358527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44424</v>
      </c>
      <c r="B1643" s="116">
        <v>990</v>
      </c>
      <c r="C1643" s="116">
        <v>987.7</v>
      </c>
      <c r="D1643" s="116">
        <v>968.5</v>
      </c>
      <c r="E1643" s="116">
        <v>980</v>
      </c>
      <c r="F1643" s="116">
        <v>987.7</v>
      </c>
      <c r="G1643">
        <v>20262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44425</v>
      </c>
      <c r="B1644" s="116">
        <v>995.7</v>
      </c>
      <c r="C1644" s="116">
        <v>989.65</v>
      </c>
      <c r="D1644" s="116">
        <v>979.35</v>
      </c>
      <c r="E1644" s="116">
        <v>990</v>
      </c>
      <c r="F1644" s="116">
        <v>989.65</v>
      </c>
      <c r="G1644">
        <v>42276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44426</v>
      </c>
      <c r="B1645" s="116">
        <v>996.8</v>
      </c>
      <c r="C1645" s="116">
        <v>987.55</v>
      </c>
      <c r="D1645" s="116">
        <v>983.75</v>
      </c>
      <c r="E1645" s="116">
        <v>994.5</v>
      </c>
      <c r="F1645" s="116">
        <v>987.55</v>
      </c>
      <c r="G1645">
        <v>25973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44428</v>
      </c>
      <c r="B1646" s="116">
        <v>988.95</v>
      </c>
      <c r="C1646" s="116">
        <v>976.9</v>
      </c>
      <c r="D1646" s="116">
        <v>969.45</v>
      </c>
      <c r="E1646" s="116">
        <v>985</v>
      </c>
      <c r="F1646" s="116">
        <v>976.9</v>
      </c>
      <c r="G1646">
        <v>18786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44431</v>
      </c>
      <c r="B1647" s="116">
        <v>997.25</v>
      </c>
      <c r="C1647" s="116">
        <v>973.45</v>
      </c>
      <c r="D1647" s="116">
        <v>961</v>
      </c>
      <c r="E1647" s="116">
        <v>997.25</v>
      </c>
      <c r="F1647" s="116">
        <v>973.45</v>
      </c>
      <c r="G1647">
        <v>19952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44432</v>
      </c>
      <c r="B1648" s="116">
        <v>979.55</v>
      </c>
      <c r="C1648" s="116">
        <v>973.8</v>
      </c>
      <c r="D1648" s="116">
        <v>962.9</v>
      </c>
      <c r="E1648" s="116">
        <v>976.9</v>
      </c>
      <c r="F1648" s="116">
        <v>973.8</v>
      </c>
      <c r="G1648">
        <v>31845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44433</v>
      </c>
      <c r="B1649" s="116">
        <v>975.45</v>
      </c>
      <c r="C1649" s="116">
        <v>960.2</v>
      </c>
      <c r="D1649" s="116">
        <v>955.25</v>
      </c>
      <c r="E1649" s="116">
        <v>973</v>
      </c>
      <c r="F1649" s="116">
        <v>960.2</v>
      </c>
      <c r="G1649">
        <v>49501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44434</v>
      </c>
      <c r="B1650" s="116">
        <v>974</v>
      </c>
      <c r="C1650" s="116">
        <v>957.65</v>
      </c>
      <c r="D1650" s="116">
        <v>955.2</v>
      </c>
      <c r="E1650" s="116">
        <v>974</v>
      </c>
      <c r="F1650" s="116">
        <v>957.65</v>
      </c>
      <c r="G1650">
        <v>41295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44435</v>
      </c>
      <c r="B1651" s="116">
        <v>990.5</v>
      </c>
      <c r="C1651" s="116">
        <v>984.75</v>
      </c>
      <c r="D1651" s="116">
        <v>958</v>
      </c>
      <c r="E1651" s="116">
        <v>962</v>
      </c>
      <c r="F1651" s="116">
        <v>984.75</v>
      </c>
      <c r="G1651">
        <v>261677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44438</v>
      </c>
      <c r="B1652" s="116">
        <v>997.1</v>
      </c>
      <c r="C1652" s="116">
        <v>986.1</v>
      </c>
      <c r="D1652" s="116">
        <v>980</v>
      </c>
      <c r="E1652" s="116">
        <v>980</v>
      </c>
      <c r="F1652" s="116">
        <v>986.1</v>
      </c>
      <c r="G1652">
        <v>22070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44439</v>
      </c>
      <c r="B1653" s="116">
        <v>1001.65</v>
      </c>
      <c r="C1653" s="116">
        <v>995.3</v>
      </c>
      <c r="D1653" s="116">
        <v>986.25</v>
      </c>
      <c r="E1653" s="116">
        <v>994.9</v>
      </c>
      <c r="F1653" s="116">
        <v>995.3</v>
      </c>
      <c r="G1653">
        <v>20716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44440</v>
      </c>
      <c r="B1654" s="116">
        <v>1049.55</v>
      </c>
      <c r="C1654" s="116">
        <v>1046</v>
      </c>
      <c r="D1654" s="116">
        <v>1004.9</v>
      </c>
      <c r="E1654" s="116">
        <v>1007.4</v>
      </c>
      <c r="F1654" s="116">
        <v>1046</v>
      </c>
      <c r="G1654">
        <v>239381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44441</v>
      </c>
      <c r="B1655" s="116">
        <v>1098</v>
      </c>
      <c r="C1655" s="116">
        <v>1084.95</v>
      </c>
      <c r="D1655" s="116">
        <v>1048.45</v>
      </c>
      <c r="E1655" s="116">
        <v>1052.8</v>
      </c>
      <c r="F1655" s="116">
        <v>1084.95</v>
      </c>
      <c r="G1655">
        <v>293799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44442</v>
      </c>
      <c r="B1656" s="116">
        <v>1097.2</v>
      </c>
      <c r="C1656" s="116">
        <v>1088.75</v>
      </c>
      <c r="D1656" s="116">
        <v>1082.05</v>
      </c>
      <c r="E1656" s="116">
        <v>1085</v>
      </c>
      <c r="F1656" s="116">
        <v>1088.75</v>
      </c>
      <c r="G1656">
        <v>33247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44445</v>
      </c>
      <c r="B1657" s="116">
        <v>1137.25</v>
      </c>
      <c r="C1657" s="116">
        <v>1123.25</v>
      </c>
      <c r="D1657" s="116">
        <v>1092.45</v>
      </c>
      <c r="E1657" s="116">
        <v>1094</v>
      </c>
      <c r="F1657" s="116">
        <v>1123.25</v>
      </c>
      <c r="G1657">
        <v>151746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44446</v>
      </c>
      <c r="B1658" s="116">
        <v>1208.3</v>
      </c>
      <c r="C1658" s="116">
        <v>1186.6500000000001</v>
      </c>
      <c r="D1658" s="116">
        <v>1126.0999999999999</v>
      </c>
      <c r="E1658" s="116">
        <v>1130</v>
      </c>
      <c r="F1658" s="116">
        <v>1186.6500000000001</v>
      </c>
      <c r="G1658">
        <v>312161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44447</v>
      </c>
      <c r="B1659" s="116">
        <v>1218</v>
      </c>
      <c r="C1659" s="116">
        <v>1205.75</v>
      </c>
      <c r="D1659" s="116">
        <v>1179.6500000000001</v>
      </c>
      <c r="E1659" s="116">
        <v>1194.95</v>
      </c>
      <c r="F1659" s="116">
        <v>1205.75</v>
      </c>
      <c r="G1659">
        <v>106421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44448</v>
      </c>
      <c r="B1660" s="116">
        <v>1218.95</v>
      </c>
      <c r="C1660" s="116">
        <v>1212.9000000000001</v>
      </c>
      <c r="D1660" s="116">
        <v>1195.5</v>
      </c>
      <c r="E1660" s="116">
        <v>1209.5</v>
      </c>
      <c r="F1660" s="116">
        <v>1212.9000000000001</v>
      </c>
      <c r="G1660">
        <v>75329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44452</v>
      </c>
      <c r="B1661" s="116">
        <v>1219.1500000000001</v>
      </c>
      <c r="C1661" s="116">
        <v>1213.5</v>
      </c>
      <c r="D1661" s="116">
        <v>1201.8499999999999</v>
      </c>
      <c r="E1661" s="116">
        <v>1213</v>
      </c>
      <c r="F1661" s="116">
        <v>1213.5</v>
      </c>
      <c r="G1661">
        <v>41777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44453</v>
      </c>
      <c r="B1662" s="116">
        <v>1233.9000000000001</v>
      </c>
      <c r="C1662" s="116">
        <v>1227.8499999999999</v>
      </c>
      <c r="D1662" s="116">
        <v>1213.75</v>
      </c>
      <c r="E1662" s="116">
        <v>1219</v>
      </c>
      <c r="F1662" s="116">
        <v>1227.8499999999999</v>
      </c>
      <c r="G1662">
        <v>133902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44454</v>
      </c>
      <c r="B1663" s="116">
        <v>1248.45</v>
      </c>
      <c r="C1663" s="116">
        <v>1242.3499999999999</v>
      </c>
      <c r="D1663" s="116">
        <v>1227.8499999999999</v>
      </c>
      <c r="E1663" s="116">
        <v>1230</v>
      </c>
      <c r="F1663" s="116">
        <v>1242.3499999999999</v>
      </c>
      <c r="G1663">
        <v>50214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44455</v>
      </c>
      <c r="B1664" s="116">
        <v>1252</v>
      </c>
      <c r="C1664" s="116">
        <v>1247.8</v>
      </c>
      <c r="D1664" s="116">
        <v>1232.95</v>
      </c>
      <c r="E1664" s="116">
        <v>1252</v>
      </c>
      <c r="F1664" s="116">
        <v>1247.8</v>
      </c>
      <c r="G1664">
        <v>37191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44456</v>
      </c>
      <c r="B1665" s="116">
        <v>1258</v>
      </c>
      <c r="C1665" s="116">
        <v>1253.8499999999999</v>
      </c>
      <c r="D1665" s="116">
        <v>1236.1500000000001</v>
      </c>
      <c r="E1665" s="116">
        <v>1255</v>
      </c>
      <c r="F1665" s="116">
        <v>1253.8499999999999</v>
      </c>
      <c r="G1665">
        <v>27217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44459</v>
      </c>
      <c r="B1666" s="116">
        <v>1252</v>
      </c>
      <c r="C1666" s="116">
        <v>1220.2</v>
      </c>
      <c r="D1666" s="116">
        <v>1214.9000000000001</v>
      </c>
      <c r="E1666" s="116">
        <v>1251</v>
      </c>
      <c r="F1666" s="116">
        <v>1220.2</v>
      </c>
      <c r="G1666">
        <v>40789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44460</v>
      </c>
      <c r="B1667" s="116">
        <v>1233.3499999999999</v>
      </c>
      <c r="C1667" s="116">
        <v>1224.75</v>
      </c>
      <c r="D1667" s="116">
        <v>1211.0999999999999</v>
      </c>
      <c r="E1667" s="116">
        <v>1221</v>
      </c>
      <c r="F1667" s="116">
        <v>1224.75</v>
      </c>
      <c r="G1667">
        <v>39901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44461</v>
      </c>
      <c r="B1668" s="116">
        <v>1244.8</v>
      </c>
      <c r="C1668" s="116">
        <v>1238.8499999999999</v>
      </c>
      <c r="D1668" s="116">
        <v>1228.1500000000001</v>
      </c>
      <c r="E1668" s="116">
        <v>1231.3499999999999</v>
      </c>
      <c r="F1668" s="116">
        <v>1238.8499999999999</v>
      </c>
      <c r="G1668">
        <v>14730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44462</v>
      </c>
      <c r="B1669" s="116">
        <v>1265</v>
      </c>
      <c r="C1669" s="116">
        <v>1248.3</v>
      </c>
      <c r="D1669" s="116">
        <v>1241.2</v>
      </c>
      <c r="E1669" s="116">
        <v>1250</v>
      </c>
      <c r="F1669" s="116">
        <v>1248.3</v>
      </c>
      <c r="G1669">
        <v>34588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44463</v>
      </c>
      <c r="B1670" s="116">
        <v>1254.75</v>
      </c>
      <c r="C1670" s="116">
        <v>1229.2</v>
      </c>
      <c r="D1670" s="116">
        <v>1223.55</v>
      </c>
      <c r="E1670" s="116">
        <v>1249.2</v>
      </c>
      <c r="F1670" s="116">
        <v>1229.2</v>
      </c>
      <c r="G1670">
        <v>14927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44466</v>
      </c>
      <c r="B1671" s="116">
        <v>1240</v>
      </c>
      <c r="C1671" s="116">
        <v>1219.8</v>
      </c>
      <c r="D1671" s="116">
        <v>1205</v>
      </c>
      <c r="E1671" s="116">
        <v>1235</v>
      </c>
      <c r="F1671" s="116">
        <v>1219.8</v>
      </c>
      <c r="G1671">
        <v>31004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44467</v>
      </c>
      <c r="B1672" s="116">
        <v>1221.8499999999999</v>
      </c>
      <c r="C1672" s="116">
        <v>1210.2</v>
      </c>
      <c r="D1672" s="116">
        <v>1189.4000000000001</v>
      </c>
      <c r="E1672" s="116">
        <v>1220.9000000000001</v>
      </c>
      <c r="F1672" s="116">
        <v>1210.2</v>
      </c>
      <c r="G1672">
        <v>27040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44468</v>
      </c>
      <c r="B1673" s="116">
        <v>1223.95</v>
      </c>
      <c r="C1673" s="116">
        <v>1205.1500000000001</v>
      </c>
      <c r="D1673" s="116">
        <v>1196.55</v>
      </c>
      <c r="E1673" s="116">
        <v>1196.55</v>
      </c>
      <c r="F1673" s="116">
        <v>1205.1500000000001</v>
      </c>
      <c r="G1673">
        <v>19865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44469</v>
      </c>
      <c r="B1674" s="116">
        <v>1242.7</v>
      </c>
      <c r="C1674" s="116">
        <v>1219.0999999999999</v>
      </c>
      <c r="D1674" s="116">
        <v>1204.9000000000001</v>
      </c>
      <c r="E1674" s="116">
        <v>1204.9000000000001</v>
      </c>
      <c r="F1674" s="116">
        <v>1219.0999999999999</v>
      </c>
      <c r="G1674">
        <v>50429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44470</v>
      </c>
      <c r="B1675" s="116">
        <v>1220.5999999999999</v>
      </c>
      <c r="C1675" s="116">
        <v>1216</v>
      </c>
      <c r="D1675" s="116">
        <v>1200.0999999999999</v>
      </c>
      <c r="E1675" s="116">
        <v>1209.25</v>
      </c>
      <c r="F1675" s="116">
        <v>1216</v>
      </c>
      <c r="G1675">
        <v>31061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44473</v>
      </c>
      <c r="B1676" s="116">
        <v>1232.45</v>
      </c>
      <c r="C1676" s="116">
        <v>1227</v>
      </c>
      <c r="D1676" s="116">
        <v>1208</v>
      </c>
      <c r="E1676" s="116">
        <v>1208</v>
      </c>
      <c r="F1676" s="116">
        <v>1227</v>
      </c>
      <c r="G1676">
        <v>35173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44474</v>
      </c>
      <c r="B1677" s="116">
        <v>1255.9000000000001</v>
      </c>
      <c r="C1677" s="116">
        <v>1249.7</v>
      </c>
      <c r="D1677" s="116">
        <v>1215.0999999999999</v>
      </c>
      <c r="E1677" s="116">
        <v>1234.7</v>
      </c>
      <c r="F1677" s="116">
        <v>1249.7</v>
      </c>
      <c r="G1677">
        <v>26581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44475</v>
      </c>
      <c r="B1678" s="116">
        <v>1269</v>
      </c>
      <c r="C1678" s="116">
        <v>1229.9000000000001</v>
      </c>
      <c r="D1678" s="116">
        <v>1223.25</v>
      </c>
      <c r="E1678" s="116">
        <v>1259.9000000000001</v>
      </c>
      <c r="F1678" s="116">
        <v>1229.9000000000001</v>
      </c>
      <c r="G1678">
        <v>52368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44476</v>
      </c>
      <c r="B1679" s="116">
        <v>1290.4000000000001</v>
      </c>
      <c r="C1679" s="116">
        <v>1282.75</v>
      </c>
      <c r="D1679" s="116">
        <v>1229.5999999999999</v>
      </c>
      <c r="E1679" s="116">
        <v>1230</v>
      </c>
      <c r="F1679" s="116">
        <v>1282.75</v>
      </c>
      <c r="G1679">
        <v>73013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44477</v>
      </c>
      <c r="B1680" s="116">
        <v>1302.55</v>
      </c>
      <c r="C1680" s="116">
        <v>1280.4000000000001</v>
      </c>
      <c r="D1680" s="116">
        <v>1267</v>
      </c>
      <c r="E1680" s="116">
        <v>1302.55</v>
      </c>
      <c r="F1680" s="116">
        <v>1280.4000000000001</v>
      </c>
      <c r="G1680">
        <v>42034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44480</v>
      </c>
      <c r="B1681" s="116">
        <v>1318.75</v>
      </c>
      <c r="C1681" s="116">
        <v>1302.45</v>
      </c>
      <c r="D1681" s="116">
        <v>1275</v>
      </c>
      <c r="E1681" s="116">
        <v>1286</v>
      </c>
      <c r="F1681" s="116">
        <v>1302.45</v>
      </c>
      <c r="G1681">
        <v>37897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44481</v>
      </c>
      <c r="B1682" s="116">
        <v>1313.35</v>
      </c>
      <c r="C1682" s="116">
        <v>1297.5999999999999</v>
      </c>
      <c r="D1682" s="116">
        <v>1293.75</v>
      </c>
      <c r="E1682" s="116">
        <v>1299</v>
      </c>
      <c r="F1682" s="116">
        <v>1297.5999999999999</v>
      </c>
      <c r="G1682">
        <v>25185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44482</v>
      </c>
      <c r="B1683" s="116">
        <v>1324.9</v>
      </c>
      <c r="C1683" s="116">
        <v>1310.2</v>
      </c>
      <c r="D1683" s="116">
        <v>1305.45</v>
      </c>
      <c r="E1683" s="116">
        <v>1305.45</v>
      </c>
      <c r="F1683" s="116">
        <v>1310.2</v>
      </c>
      <c r="G1683">
        <v>32736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44483</v>
      </c>
      <c r="B1684" s="116">
        <v>1330</v>
      </c>
      <c r="C1684" s="116">
        <v>1324.75</v>
      </c>
      <c r="D1684" s="116">
        <v>1310.2</v>
      </c>
      <c r="E1684" s="116">
        <v>1325</v>
      </c>
      <c r="F1684" s="116">
        <v>1324.75</v>
      </c>
      <c r="G1684">
        <v>22290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44487</v>
      </c>
      <c r="B1685" s="116">
        <v>1350</v>
      </c>
      <c r="C1685" s="116">
        <v>1337.9</v>
      </c>
      <c r="D1685" s="116">
        <v>1318.95</v>
      </c>
      <c r="E1685" s="116">
        <v>1350</v>
      </c>
      <c r="F1685" s="116">
        <v>1337.9</v>
      </c>
      <c r="G1685">
        <v>31421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44488</v>
      </c>
      <c r="B1686" s="116">
        <v>1356.9</v>
      </c>
      <c r="C1686" s="116">
        <v>1306.7</v>
      </c>
      <c r="D1686" s="116">
        <v>1295.5</v>
      </c>
      <c r="E1686" s="116">
        <v>1350</v>
      </c>
      <c r="F1686" s="116">
        <v>1306.7</v>
      </c>
      <c r="G1686">
        <v>36594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44489</v>
      </c>
      <c r="B1687" s="116">
        <v>1299.7</v>
      </c>
      <c r="C1687" s="116">
        <v>1249.3499999999999</v>
      </c>
      <c r="D1687" s="116">
        <v>1244</v>
      </c>
      <c r="E1687" s="116">
        <v>1292</v>
      </c>
      <c r="F1687" s="116">
        <v>1249.3499999999999</v>
      </c>
      <c r="G1687">
        <v>46903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44490</v>
      </c>
      <c r="B1688" s="116">
        <v>1231.1500000000001</v>
      </c>
      <c r="C1688" s="116">
        <v>1191.8</v>
      </c>
      <c r="D1688" s="116">
        <v>1161.0999999999999</v>
      </c>
      <c r="E1688" s="116">
        <v>1231</v>
      </c>
      <c r="F1688" s="116">
        <v>1191.8</v>
      </c>
      <c r="G1688">
        <v>109326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44491</v>
      </c>
      <c r="B1689" s="116">
        <v>1190.9000000000001</v>
      </c>
      <c r="C1689" s="116">
        <v>1177.0999999999999</v>
      </c>
      <c r="D1689" s="116">
        <v>1153</v>
      </c>
      <c r="E1689" s="116">
        <v>1190.9000000000001</v>
      </c>
      <c r="F1689" s="116">
        <v>1177.0999999999999</v>
      </c>
      <c r="G1689">
        <v>39998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44494</v>
      </c>
      <c r="B1690" s="116">
        <v>1197</v>
      </c>
      <c r="C1690" s="116">
        <v>1188.25</v>
      </c>
      <c r="D1690" s="116">
        <v>1147.6500000000001</v>
      </c>
      <c r="E1690" s="116">
        <v>1170</v>
      </c>
      <c r="F1690" s="116">
        <v>1188.25</v>
      </c>
      <c r="G1690">
        <v>55829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44495</v>
      </c>
      <c r="B1691" s="116">
        <v>1201</v>
      </c>
      <c r="C1691" s="116">
        <v>1193.05</v>
      </c>
      <c r="D1691" s="116">
        <v>1173.5999999999999</v>
      </c>
      <c r="E1691" s="116">
        <v>1197</v>
      </c>
      <c r="F1691" s="116">
        <v>1193.05</v>
      </c>
      <c r="G1691">
        <v>20389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44496</v>
      </c>
      <c r="B1692" s="116">
        <v>1202</v>
      </c>
      <c r="C1692" s="116">
        <v>1180.8499999999999</v>
      </c>
      <c r="D1692" s="116">
        <v>1176.7</v>
      </c>
      <c r="E1692" s="116">
        <v>1201</v>
      </c>
      <c r="F1692" s="116">
        <v>1180.8499999999999</v>
      </c>
      <c r="G1692">
        <v>16674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44497</v>
      </c>
      <c r="B1693" s="116">
        <v>1189.1500000000001</v>
      </c>
      <c r="C1693" s="116">
        <v>1155.8</v>
      </c>
      <c r="D1693" s="116">
        <v>1150.8499999999999</v>
      </c>
      <c r="E1693" s="116">
        <v>1176.7</v>
      </c>
      <c r="F1693" s="116">
        <v>1155.8</v>
      </c>
      <c r="G1693">
        <v>40834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44498</v>
      </c>
      <c r="B1694" s="116">
        <v>1221.6500000000001</v>
      </c>
      <c r="C1694" s="116">
        <v>1204.5</v>
      </c>
      <c r="D1694" s="116">
        <v>1143.5999999999999</v>
      </c>
      <c r="E1694" s="116">
        <v>1160</v>
      </c>
      <c r="F1694" s="116">
        <v>1204.5</v>
      </c>
      <c r="G1694">
        <v>202875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44501</v>
      </c>
      <c r="B1695" s="116">
        <v>1248.55</v>
      </c>
      <c r="C1695" s="116">
        <v>1245.7</v>
      </c>
      <c r="D1695" s="116">
        <v>1192.5999999999999</v>
      </c>
      <c r="E1695" s="116">
        <v>1192.5999999999999</v>
      </c>
      <c r="F1695" s="116">
        <v>1245.7</v>
      </c>
      <c r="G1695">
        <v>44669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44502</v>
      </c>
      <c r="B1696" s="116">
        <v>1254.1500000000001</v>
      </c>
      <c r="C1696" s="116">
        <v>1221.05</v>
      </c>
      <c r="D1696" s="116">
        <v>1211.2</v>
      </c>
      <c r="E1696" s="116">
        <v>1249.2</v>
      </c>
      <c r="F1696" s="116">
        <v>1221.05</v>
      </c>
      <c r="G1696">
        <v>26728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44503</v>
      </c>
      <c r="B1697" s="116">
        <v>1229.75</v>
      </c>
      <c r="C1697" s="116">
        <v>1209.45</v>
      </c>
      <c r="D1697" s="116">
        <v>1197.9000000000001</v>
      </c>
      <c r="E1697" s="116">
        <v>1229.75</v>
      </c>
      <c r="F1697" s="116">
        <v>1209.45</v>
      </c>
      <c r="G1697">
        <v>11293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44504</v>
      </c>
      <c r="B1698" s="116">
        <v>1225</v>
      </c>
      <c r="C1698" s="116">
        <v>1221.2</v>
      </c>
      <c r="D1698" s="116">
        <v>1217</v>
      </c>
      <c r="E1698" s="116">
        <v>1217</v>
      </c>
      <c r="F1698" s="116">
        <v>1221.2</v>
      </c>
      <c r="G1698">
        <v>3234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44508</v>
      </c>
      <c r="B1699" s="116">
        <v>1243.75</v>
      </c>
      <c r="C1699" s="116">
        <v>1237.1500000000001</v>
      </c>
      <c r="D1699" s="116">
        <v>1218</v>
      </c>
      <c r="E1699" s="116">
        <v>1222</v>
      </c>
      <c r="F1699" s="116">
        <v>1237.1500000000001</v>
      </c>
      <c r="G1699">
        <v>22590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44509</v>
      </c>
      <c r="B1700" s="116">
        <v>1269.05</v>
      </c>
      <c r="C1700" s="116">
        <v>1249.8499999999999</v>
      </c>
      <c r="D1700" s="116">
        <v>1244</v>
      </c>
      <c r="E1700" s="116">
        <v>1246.45</v>
      </c>
      <c r="F1700" s="116">
        <v>1249.8499999999999</v>
      </c>
      <c r="G1700">
        <v>30062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44510</v>
      </c>
      <c r="B1701" s="116">
        <v>1259.7</v>
      </c>
      <c r="C1701" s="116">
        <v>1247.3499999999999</v>
      </c>
      <c r="D1701" s="116">
        <v>1240</v>
      </c>
      <c r="E1701" s="116">
        <v>1249.8499999999999</v>
      </c>
      <c r="F1701" s="116">
        <v>1247.3499999999999</v>
      </c>
      <c r="G1701">
        <v>8124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44511</v>
      </c>
      <c r="B1702" s="116">
        <v>1265.05</v>
      </c>
      <c r="C1702" s="116">
        <v>1249.7</v>
      </c>
      <c r="D1702" s="116">
        <v>1236.55</v>
      </c>
      <c r="E1702" s="116">
        <v>1251</v>
      </c>
      <c r="F1702" s="116">
        <v>1249.7</v>
      </c>
      <c r="G1702">
        <v>17089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44512</v>
      </c>
      <c r="B1703" s="116">
        <v>1275</v>
      </c>
      <c r="C1703" s="116">
        <v>1263.9000000000001</v>
      </c>
      <c r="D1703" s="116">
        <v>1246.7</v>
      </c>
      <c r="E1703" s="116">
        <v>1246.7</v>
      </c>
      <c r="F1703" s="116">
        <v>1263.9000000000001</v>
      </c>
      <c r="G1703">
        <v>31084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44515</v>
      </c>
      <c r="B1704" s="116">
        <v>1283.9000000000001</v>
      </c>
      <c r="C1704" s="116">
        <v>1267.05</v>
      </c>
      <c r="D1704" s="116">
        <v>1264.5</v>
      </c>
      <c r="E1704" s="116">
        <v>1283.9000000000001</v>
      </c>
      <c r="F1704" s="116">
        <v>1267.05</v>
      </c>
      <c r="G1704">
        <v>13151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44516</v>
      </c>
      <c r="B1705" s="116">
        <v>1270.2</v>
      </c>
      <c r="C1705" s="116">
        <v>1231.05</v>
      </c>
      <c r="D1705" s="116">
        <v>1228.5</v>
      </c>
      <c r="E1705" s="116">
        <v>1263</v>
      </c>
      <c r="F1705" s="116">
        <v>1231.05</v>
      </c>
      <c r="G1705">
        <v>17928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44517</v>
      </c>
      <c r="B1706" s="116">
        <v>1242.7</v>
      </c>
      <c r="C1706" s="116">
        <v>1235.95</v>
      </c>
      <c r="D1706" s="116">
        <v>1221.6500000000001</v>
      </c>
      <c r="E1706" s="116">
        <v>1224</v>
      </c>
      <c r="F1706" s="116">
        <v>1235.95</v>
      </c>
      <c r="G1706">
        <v>16816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44518</v>
      </c>
      <c r="B1707" s="116">
        <v>1261</v>
      </c>
      <c r="C1707" s="116">
        <v>1235.3499999999999</v>
      </c>
      <c r="D1707" s="116">
        <v>1229.45</v>
      </c>
      <c r="E1707" s="116">
        <v>1234.3499999999999</v>
      </c>
      <c r="F1707" s="116">
        <v>1235.3499999999999</v>
      </c>
      <c r="G1707">
        <v>26503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44522</v>
      </c>
      <c r="B1708" s="116">
        <v>1238</v>
      </c>
      <c r="C1708" s="116">
        <v>1185.95</v>
      </c>
      <c r="D1708" s="116">
        <v>1173.3</v>
      </c>
      <c r="E1708" s="116">
        <v>1235</v>
      </c>
      <c r="F1708" s="116">
        <v>1185.95</v>
      </c>
      <c r="G1708">
        <v>28285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44523</v>
      </c>
      <c r="B1709" s="116">
        <v>1212.75</v>
      </c>
      <c r="C1709" s="116">
        <v>1206.2</v>
      </c>
      <c r="D1709" s="116">
        <v>1171.05</v>
      </c>
      <c r="E1709" s="116">
        <v>1184</v>
      </c>
      <c r="F1709" s="116">
        <v>1206.2</v>
      </c>
      <c r="G1709">
        <v>18155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44524</v>
      </c>
      <c r="B1710" s="116">
        <v>1212</v>
      </c>
      <c r="C1710" s="116">
        <v>1199.7</v>
      </c>
      <c r="D1710" s="116">
        <v>1183.8499999999999</v>
      </c>
      <c r="E1710" s="116">
        <v>1212</v>
      </c>
      <c r="F1710" s="116">
        <v>1199.7</v>
      </c>
      <c r="G1710">
        <v>107577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44525</v>
      </c>
      <c r="B1711" s="116">
        <v>1205.3</v>
      </c>
      <c r="C1711" s="116">
        <v>1201.4000000000001</v>
      </c>
      <c r="D1711" s="116">
        <v>1187</v>
      </c>
      <c r="E1711" s="116">
        <v>1194.3</v>
      </c>
      <c r="F1711" s="116">
        <v>1201.4000000000001</v>
      </c>
      <c r="G1711">
        <v>9770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44526</v>
      </c>
      <c r="B1712" s="116">
        <v>1198.3499999999999</v>
      </c>
      <c r="C1712" s="116">
        <v>1164.1500000000001</v>
      </c>
      <c r="D1712" s="116">
        <v>1159.7</v>
      </c>
      <c r="E1712" s="116">
        <v>1198.3499999999999</v>
      </c>
      <c r="F1712" s="116">
        <v>1164.1500000000001</v>
      </c>
      <c r="G1712">
        <v>20893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44529</v>
      </c>
      <c r="B1713" s="116">
        <v>1189.2</v>
      </c>
      <c r="C1713" s="116">
        <v>1177.0999999999999</v>
      </c>
      <c r="D1713" s="116">
        <v>1131.55</v>
      </c>
      <c r="E1713" s="116">
        <v>1164</v>
      </c>
      <c r="F1713" s="116">
        <v>1177.0999999999999</v>
      </c>
      <c r="G1713">
        <v>22609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44530</v>
      </c>
      <c r="B1714" s="116">
        <v>1241</v>
      </c>
      <c r="C1714" s="116">
        <v>1201.3499999999999</v>
      </c>
      <c r="D1714" s="116">
        <v>1165</v>
      </c>
      <c r="E1714" s="116">
        <v>1165</v>
      </c>
      <c r="F1714" s="116">
        <v>1201.3499999999999</v>
      </c>
      <c r="G1714">
        <v>30824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44531</v>
      </c>
      <c r="B1715" s="116">
        <v>1226</v>
      </c>
      <c r="C1715" s="116">
        <v>1223.3499999999999</v>
      </c>
      <c r="D1715" s="116">
        <v>1201.8499999999999</v>
      </c>
      <c r="E1715" s="116">
        <v>1210</v>
      </c>
      <c r="F1715" s="116">
        <v>1223.3499999999999</v>
      </c>
      <c r="G1715">
        <v>41359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44532</v>
      </c>
      <c r="B1716" s="116">
        <v>1239.5</v>
      </c>
      <c r="C1716" s="116">
        <v>1229.3499999999999</v>
      </c>
      <c r="D1716" s="116">
        <v>1218.75</v>
      </c>
      <c r="E1716" s="116">
        <v>1225</v>
      </c>
      <c r="F1716" s="116">
        <v>1229.3499999999999</v>
      </c>
      <c r="G1716">
        <v>27372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44533</v>
      </c>
      <c r="B1717" s="116">
        <v>1254.1500000000001</v>
      </c>
      <c r="C1717" s="116">
        <v>1245.95</v>
      </c>
      <c r="D1717" s="116">
        <v>1223.4000000000001</v>
      </c>
      <c r="E1717" s="116">
        <v>1223.4000000000001</v>
      </c>
      <c r="F1717" s="116">
        <v>1245.95</v>
      </c>
      <c r="G1717">
        <v>14322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44536</v>
      </c>
      <c r="B1718" s="116">
        <v>1254</v>
      </c>
      <c r="C1718" s="116">
        <v>1226.45</v>
      </c>
      <c r="D1718" s="116">
        <v>1224.25</v>
      </c>
      <c r="E1718" s="116">
        <v>1254</v>
      </c>
      <c r="F1718" s="116">
        <v>1226.45</v>
      </c>
      <c r="G1718">
        <v>18071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44537</v>
      </c>
      <c r="B1719" s="116">
        <v>1259.45</v>
      </c>
      <c r="C1719" s="116">
        <v>1255.05</v>
      </c>
      <c r="D1719" s="116">
        <v>1218.55</v>
      </c>
      <c r="E1719" s="116">
        <v>1232</v>
      </c>
      <c r="F1719" s="116">
        <v>1255.05</v>
      </c>
      <c r="G1719">
        <v>23094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44538</v>
      </c>
      <c r="B1720" s="116">
        <v>1271.6500000000001</v>
      </c>
      <c r="C1720" s="116">
        <v>1253.5</v>
      </c>
      <c r="D1720" s="116">
        <v>1246</v>
      </c>
      <c r="E1720" s="116">
        <v>1256</v>
      </c>
      <c r="F1720" s="116">
        <v>1253.5</v>
      </c>
      <c r="G1720">
        <v>22659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44539</v>
      </c>
      <c r="B1721" s="116">
        <v>1261</v>
      </c>
      <c r="C1721" s="116">
        <v>1251.0999999999999</v>
      </c>
      <c r="D1721" s="116">
        <v>1242</v>
      </c>
      <c r="E1721" s="116">
        <v>1259.95</v>
      </c>
      <c r="F1721" s="116">
        <v>1251.0999999999999</v>
      </c>
      <c r="G1721">
        <v>11852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44540</v>
      </c>
      <c r="B1722" s="116">
        <v>1261.0999999999999</v>
      </c>
      <c r="C1722" s="116">
        <v>1250.9000000000001</v>
      </c>
      <c r="D1722" s="116">
        <v>1245</v>
      </c>
      <c r="E1722" s="116">
        <v>1250</v>
      </c>
      <c r="F1722" s="116">
        <v>1250.9000000000001</v>
      </c>
      <c r="G1722">
        <v>10724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44543</v>
      </c>
      <c r="B1723" s="116">
        <v>1256.6500000000001</v>
      </c>
      <c r="C1723" s="116">
        <v>1233.55</v>
      </c>
      <c r="D1723" s="116">
        <v>1230.8</v>
      </c>
      <c r="E1723" s="116">
        <v>1250.75</v>
      </c>
      <c r="F1723" s="116">
        <v>1233.55</v>
      </c>
      <c r="G1723">
        <v>11873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44544</v>
      </c>
      <c r="B1724" s="116">
        <v>1251</v>
      </c>
      <c r="C1724" s="116">
        <v>1230.8</v>
      </c>
      <c r="D1724" s="116">
        <v>1219.4000000000001</v>
      </c>
      <c r="E1724" s="116">
        <v>1251</v>
      </c>
      <c r="F1724" s="116">
        <v>1230.8</v>
      </c>
      <c r="G1724">
        <v>9296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44545</v>
      </c>
      <c r="B1725" s="116">
        <v>1237.3499999999999</v>
      </c>
      <c r="C1725" s="116">
        <v>1212.25</v>
      </c>
      <c r="D1725" s="116">
        <v>1206.45</v>
      </c>
      <c r="E1725" s="116">
        <v>1232.3</v>
      </c>
      <c r="F1725" s="116">
        <v>1212.25</v>
      </c>
      <c r="G1725">
        <v>9935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44546</v>
      </c>
      <c r="B1726" s="116">
        <v>1223.95</v>
      </c>
      <c r="C1726" s="116">
        <v>1218.3499999999999</v>
      </c>
      <c r="D1726" s="116">
        <v>1208.75</v>
      </c>
      <c r="E1726" s="116">
        <v>1210</v>
      </c>
      <c r="F1726" s="116">
        <v>1218.3499999999999</v>
      </c>
      <c r="G1726">
        <v>7582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44547</v>
      </c>
      <c r="B1727" s="116">
        <v>1219.45</v>
      </c>
      <c r="C1727" s="116">
        <v>1198.05</v>
      </c>
      <c r="D1727" s="116">
        <v>1174.55</v>
      </c>
      <c r="E1727" s="116">
        <v>1219</v>
      </c>
      <c r="F1727" s="116">
        <v>1198.05</v>
      </c>
      <c r="G1727">
        <v>16536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44550</v>
      </c>
      <c r="B1728" s="116">
        <v>1198.0999999999999</v>
      </c>
      <c r="C1728" s="116">
        <v>1164.7</v>
      </c>
      <c r="D1728" s="116">
        <v>1146.05</v>
      </c>
      <c r="E1728" s="116">
        <v>1198.0999999999999</v>
      </c>
      <c r="F1728" s="116">
        <v>1164.7</v>
      </c>
      <c r="G1728">
        <v>13081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44551</v>
      </c>
      <c r="B1729" s="116">
        <v>1194.95</v>
      </c>
      <c r="C1729" s="116">
        <v>1175.25</v>
      </c>
      <c r="D1729" s="116">
        <v>1164.6500000000001</v>
      </c>
      <c r="E1729" s="116">
        <v>1164.6500000000001</v>
      </c>
      <c r="F1729" s="116">
        <v>1175.25</v>
      </c>
      <c r="G1729">
        <v>14474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44552</v>
      </c>
      <c r="B1730" s="116">
        <v>1196.4000000000001</v>
      </c>
      <c r="C1730" s="116">
        <v>1189.3499999999999</v>
      </c>
      <c r="D1730" s="116">
        <v>1175</v>
      </c>
      <c r="E1730" s="116">
        <v>1175</v>
      </c>
      <c r="F1730" s="116">
        <v>1189.3499999999999</v>
      </c>
      <c r="G1730">
        <v>9277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44553</v>
      </c>
      <c r="B1731" s="116">
        <v>1213.7</v>
      </c>
      <c r="C1731" s="116">
        <v>1208.8499999999999</v>
      </c>
      <c r="D1731" s="116">
        <v>1187.9000000000001</v>
      </c>
      <c r="E1731" s="116">
        <v>1200.9000000000001</v>
      </c>
      <c r="F1731" s="116">
        <v>1208.8499999999999</v>
      </c>
      <c r="G1731">
        <v>16133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44554</v>
      </c>
      <c r="B1732" s="116">
        <v>1218.25</v>
      </c>
      <c r="C1732" s="116">
        <v>1195.05</v>
      </c>
      <c r="D1732" s="116">
        <v>1184.8</v>
      </c>
      <c r="E1732" s="116">
        <v>1218.25</v>
      </c>
      <c r="F1732" s="116">
        <v>1195.05</v>
      </c>
      <c r="G1732">
        <v>7839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44557</v>
      </c>
      <c r="B1733" s="116">
        <v>1206</v>
      </c>
      <c r="C1733" s="116">
        <v>1195.1500000000001</v>
      </c>
      <c r="D1733" s="116">
        <v>1185</v>
      </c>
      <c r="E1733" s="116">
        <v>1197.45</v>
      </c>
      <c r="F1733" s="116">
        <v>1195.1500000000001</v>
      </c>
      <c r="G1733">
        <v>10251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44558</v>
      </c>
      <c r="B1734" s="116">
        <v>1219.5999999999999</v>
      </c>
      <c r="C1734" s="116">
        <v>1207.3499999999999</v>
      </c>
      <c r="D1734" s="116">
        <v>1200.5</v>
      </c>
      <c r="E1734" s="116">
        <v>1202.55</v>
      </c>
      <c r="F1734" s="116">
        <v>1207.3499999999999</v>
      </c>
      <c r="G1734">
        <v>13350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44559</v>
      </c>
      <c r="B1735" s="116">
        <v>1216.45</v>
      </c>
      <c r="C1735" s="116">
        <v>1201.45</v>
      </c>
      <c r="D1735" s="116">
        <v>1179.05</v>
      </c>
      <c r="E1735" s="116">
        <v>1216.45</v>
      </c>
      <c r="F1735" s="116">
        <v>1201.45</v>
      </c>
      <c r="G1735">
        <v>72960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44560</v>
      </c>
      <c r="B1736" s="116">
        <v>1216</v>
      </c>
      <c r="C1736" s="116">
        <v>1199.55</v>
      </c>
      <c r="D1736" s="116">
        <v>1193.5999999999999</v>
      </c>
      <c r="E1736" s="116">
        <v>1198</v>
      </c>
      <c r="F1736" s="116">
        <v>1199.55</v>
      </c>
      <c r="G1736">
        <v>34980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44561</v>
      </c>
      <c r="B1737" s="116">
        <v>1240</v>
      </c>
      <c r="C1737" s="116">
        <v>1219.3499999999999</v>
      </c>
      <c r="D1737" s="116">
        <v>1196.25</v>
      </c>
      <c r="E1737" s="116">
        <v>1196.25</v>
      </c>
      <c r="F1737" s="116">
        <v>1219.3499999999999</v>
      </c>
      <c r="G1737">
        <v>34948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44564</v>
      </c>
      <c r="B1738" s="116">
        <v>1241.3</v>
      </c>
      <c r="C1738" s="116">
        <v>1233.95</v>
      </c>
      <c r="D1738" s="116">
        <v>1223.7</v>
      </c>
      <c r="E1738" s="116">
        <v>1226</v>
      </c>
      <c r="F1738" s="116">
        <v>1233.95</v>
      </c>
      <c r="G1738">
        <v>26776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44565</v>
      </c>
      <c r="B1739" s="116">
        <v>1251</v>
      </c>
      <c r="C1739" s="116">
        <v>1245.45</v>
      </c>
      <c r="D1739" s="116">
        <v>1222.2</v>
      </c>
      <c r="E1739" s="116">
        <v>1245</v>
      </c>
      <c r="F1739" s="116">
        <v>1245.45</v>
      </c>
      <c r="G1739">
        <v>39751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44566</v>
      </c>
      <c r="B1740" s="116">
        <v>1254.45</v>
      </c>
      <c r="C1740" s="116">
        <v>1248.5</v>
      </c>
      <c r="D1740" s="116">
        <v>1238.9000000000001</v>
      </c>
      <c r="E1740" s="116">
        <v>1250</v>
      </c>
      <c r="F1740" s="116">
        <v>1248.5</v>
      </c>
      <c r="G1740">
        <v>11891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44567</v>
      </c>
      <c r="B1741" s="116">
        <v>1255.8</v>
      </c>
      <c r="C1741" s="116">
        <v>1249.8499999999999</v>
      </c>
      <c r="D1741" s="116">
        <v>1230.6500000000001</v>
      </c>
      <c r="E1741" s="116">
        <v>1248.5</v>
      </c>
      <c r="F1741" s="116">
        <v>1249.8499999999999</v>
      </c>
      <c r="G1741">
        <v>14370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44568</v>
      </c>
      <c r="B1742" s="116">
        <v>1287.5</v>
      </c>
      <c r="C1742" s="116">
        <v>1271.3499999999999</v>
      </c>
      <c r="D1742" s="116">
        <v>1247.95</v>
      </c>
      <c r="E1742" s="116">
        <v>1250</v>
      </c>
      <c r="F1742" s="116">
        <v>1271.3499999999999</v>
      </c>
      <c r="G1742">
        <v>937670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44571</v>
      </c>
      <c r="B1743" s="116">
        <v>1280.5999999999999</v>
      </c>
      <c r="C1743" s="116">
        <v>1253.55</v>
      </c>
      <c r="D1743" s="116">
        <v>1251.1500000000001</v>
      </c>
      <c r="E1743" s="116">
        <v>1271.3499999999999</v>
      </c>
      <c r="F1743" s="116">
        <v>1253.55</v>
      </c>
      <c r="G1743">
        <v>19874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44572</v>
      </c>
      <c r="B1744" s="116">
        <v>1255.5</v>
      </c>
      <c r="C1744" s="116">
        <v>1247.2</v>
      </c>
      <c r="D1744" s="116">
        <v>1238.8</v>
      </c>
      <c r="E1744" s="116">
        <v>1253.55</v>
      </c>
      <c r="F1744" s="116">
        <v>1247.2</v>
      </c>
      <c r="G1744">
        <v>12377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44573</v>
      </c>
      <c r="B1745" s="116">
        <v>1282</v>
      </c>
      <c r="C1745" s="116">
        <v>1275.05</v>
      </c>
      <c r="D1745" s="116">
        <v>1246</v>
      </c>
      <c r="E1745" s="116">
        <v>1247</v>
      </c>
      <c r="F1745" s="116">
        <v>1275.05</v>
      </c>
      <c r="G1745">
        <v>29877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44574</v>
      </c>
      <c r="B1746" s="116">
        <v>1289</v>
      </c>
      <c r="C1746" s="116">
        <v>1270.1500000000001</v>
      </c>
      <c r="D1746" s="116">
        <v>1257</v>
      </c>
      <c r="E1746" s="116">
        <v>1289</v>
      </c>
      <c r="F1746" s="116">
        <v>1270.1500000000001</v>
      </c>
      <c r="G1746">
        <v>24146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44575</v>
      </c>
      <c r="B1747" s="116">
        <v>1317.15</v>
      </c>
      <c r="C1747" s="116">
        <v>1303.1500000000001</v>
      </c>
      <c r="D1747" s="116">
        <v>1264.05</v>
      </c>
      <c r="E1747" s="116">
        <v>1280</v>
      </c>
      <c r="F1747" s="116">
        <v>1303.1500000000001</v>
      </c>
      <c r="G1747">
        <v>59488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44578</v>
      </c>
      <c r="B1748" s="116">
        <v>1313.15</v>
      </c>
      <c r="C1748" s="116">
        <v>1286.3</v>
      </c>
      <c r="D1748" s="116">
        <v>1282.6500000000001</v>
      </c>
      <c r="E1748" s="116">
        <v>1313.15</v>
      </c>
      <c r="F1748" s="116">
        <v>1286.3</v>
      </c>
      <c r="G1748">
        <v>14767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44579</v>
      </c>
      <c r="B1749" s="116">
        <v>1303.5</v>
      </c>
      <c r="C1749" s="116">
        <v>1262.8499999999999</v>
      </c>
      <c r="D1749" s="116">
        <v>1256.4000000000001</v>
      </c>
      <c r="E1749" s="116">
        <v>1287.55</v>
      </c>
      <c r="F1749" s="116">
        <v>1262.8499999999999</v>
      </c>
      <c r="G1749">
        <v>33080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44580</v>
      </c>
      <c r="B1750" s="116">
        <v>1273.5</v>
      </c>
      <c r="C1750" s="116">
        <v>1255.25</v>
      </c>
      <c r="D1750" s="116">
        <v>1250</v>
      </c>
      <c r="E1750" s="116">
        <v>1255</v>
      </c>
      <c r="F1750" s="116">
        <v>1255.25</v>
      </c>
      <c r="G1750">
        <v>24220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44581</v>
      </c>
      <c r="B1751" s="116">
        <v>1262.9000000000001</v>
      </c>
      <c r="C1751" s="116">
        <v>1253.5999999999999</v>
      </c>
      <c r="D1751" s="116">
        <v>1248</v>
      </c>
      <c r="E1751" s="116">
        <v>1255.05</v>
      </c>
      <c r="F1751" s="116">
        <v>1253.5999999999999</v>
      </c>
      <c r="G1751">
        <v>15194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44582</v>
      </c>
      <c r="B1752" s="116">
        <v>1241</v>
      </c>
      <c r="C1752" s="116">
        <v>1191.6500000000001</v>
      </c>
      <c r="D1752" s="116">
        <v>1185.5</v>
      </c>
      <c r="E1752" s="116">
        <v>1241</v>
      </c>
      <c r="F1752" s="116">
        <v>1191.6500000000001</v>
      </c>
      <c r="G1752">
        <v>113999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44585</v>
      </c>
      <c r="B1753" s="116">
        <v>1195.3499999999999</v>
      </c>
      <c r="C1753" s="116">
        <v>1188.4000000000001</v>
      </c>
      <c r="D1753" s="116">
        <v>1161</v>
      </c>
      <c r="E1753" s="116">
        <v>1190</v>
      </c>
      <c r="F1753" s="116">
        <v>1188.4000000000001</v>
      </c>
      <c r="G1753">
        <v>33622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44586</v>
      </c>
      <c r="B1754" s="116">
        <v>1202.9000000000001</v>
      </c>
      <c r="C1754" s="116">
        <v>1190.25</v>
      </c>
      <c r="D1754" s="116">
        <v>1170.8</v>
      </c>
      <c r="E1754" s="116">
        <v>1194.3</v>
      </c>
      <c r="F1754" s="116">
        <v>1190.25</v>
      </c>
      <c r="G1754">
        <v>30303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44588</v>
      </c>
      <c r="B1755" s="116">
        <v>1196</v>
      </c>
      <c r="C1755" s="116">
        <v>1186.0999999999999</v>
      </c>
      <c r="D1755" s="116">
        <v>1155.4000000000001</v>
      </c>
      <c r="E1755" s="116">
        <v>1196</v>
      </c>
      <c r="F1755" s="116">
        <v>1186.0999999999999</v>
      </c>
      <c r="G1755">
        <v>25315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44589</v>
      </c>
      <c r="B1756" s="116">
        <v>1205</v>
      </c>
      <c r="C1756" s="116">
        <v>1157</v>
      </c>
      <c r="D1756" s="116">
        <v>1150</v>
      </c>
      <c r="E1756" s="116">
        <v>1205</v>
      </c>
      <c r="F1756" s="116">
        <v>1157</v>
      </c>
      <c r="G1756">
        <v>32619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44592</v>
      </c>
      <c r="B1757" s="116">
        <v>1193.5999999999999</v>
      </c>
      <c r="C1757" s="116">
        <v>1183.4000000000001</v>
      </c>
      <c r="D1757" s="116">
        <v>1150</v>
      </c>
      <c r="E1757" s="116">
        <v>1152</v>
      </c>
      <c r="F1757" s="116">
        <v>1183.4000000000001</v>
      </c>
      <c r="G1757">
        <v>18615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44593</v>
      </c>
      <c r="B1758" s="116">
        <v>1198.8</v>
      </c>
      <c r="C1758" s="116">
        <v>1186.95</v>
      </c>
      <c r="D1758" s="116">
        <v>1140.5</v>
      </c>
      <c r="E1758" s="116">
        <v>1190</v>
      </c>
      <c r="F1758" s="116">
        <v>1186.95</v>
      </c>
      <c r="G1758">
        <v>46431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44594</v>
      </c>
      <c r="B1759" s="116">
        <v>1217.25</v>
      </c>
      <c r="C1759" s="116">
        <v>1214.75</v>
      </c>
      <c r="D1759" s="116">
        <v>1162.05</v>
      </c>
      <c r="E1759" s="116">
        <v>1162.05</v>
      </c>
      <c r="F1759" s="116">
        <v>1214.75</v>
      </c>
      <c r="G1759">
        <v>26249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44595</v>
      </c>
      <c r="B1760" s="116">
        <v>1230.25</v>
      </c>
      <c r="C1760" s="116">
        <v>1220.7</v>
      </c>
      <c r="D1760" s="116">
        <v>1204.3</v>
      </c>
      <c r="E1760" s="116">
        <v>1215</v>
      </c>
      <c r="F1760" s="116">
        <v>1220.7</v>
      </c>
      <c r="G1760">
        <v>33960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44596</v>
      </c>
      <c r="B1761" s="116">
        <v>1244.25</v>
      </c>
      <c r="C1761" s="116">
        <v>1233.45</v>
      </c>
      <c r="D1761" s="116">
        <v>1219.0999999999999</v>
      </c>
      <c r="E1761" s="116">
        <v>1219.25</v>
      </c>
      <c r="F1761" s="116">
        <v>1233.45</v>
      </c>
      <c r="G1761">
        <v>29714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44599</v>
      </c>
      <c r="B1762" s="116">
        <v>1249.8</v>
      </c>
      <c r="C1762" s="116">
        <v>1224.0999999999999</v>
      </c>
      <c r="D1762" s="116">
        <v>1214.45</v>
      </c>
      <c r="E1762" s="116">
        <v>1249.8</v>
      </c>
      <c r="F1762" s="116">
        <v>1224.0999999999999</v>
      </c>
      <c r="G1762">
        <v>17597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44600</v>
      </c>
      <c r="B1763" s="116">
        <v>1246.8499999999999</v>
      </c>
      <c r="C1763" s="116">
        <v>1198.8</v>
      </c>
      <c r="D1763" s="116">
        <v>1190</v>
      </c>
      <c r="E1763" s="116">
        <v>1221</v>
      </c>
      <c r="F1763" s="116">
        <v>1198.8</v>
      </c>
      <c r="G1763">
        <v>34225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44601</v>
      </c>
      <c r="B1764" s="116">
        <v>1236.5</v>
      </c>
      <c r="C1764" s="116">
        <v>1224.55</v>
      </c>
      <c r="D1764" s="116">
        <v>1200.8499999999999</v>
      </c>
      <c r="E1764" s="116">
        <v>1202.8</v>
      </c>
      <c r="F1764" s="116">
        <v>1224.55</v>
      </c>
      <c r="G1764">
        <v>25722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44602</v>
      </c>
      <c r="B1765" s="116">
        <v>1242.95</v>
      </c>
      <c r="C1765" s="116">
        <v>1238.95</v>
      </c>
      <c r="D1765" s="116">
        <v>1213.8499999999999</v>
      </c>
      <c r="E1765" s="116">
        <v>1231.5999999999999</v>
      </c>
      <c r="F1765" s="116">
        <v>1238.95</v>
      </c>
      <c r="G1765">
        <v>100435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44603</v>
      </c>
      <c r="B1766" s="116">
        <v>1233</v>
      </c>
      <c r="C1766" s="116">
        <v>1192.2</v>
      </c>
      <c r="D1766" s="116">
        <v>1183</v>
      </c>
      <c r="E1766" s="116">
        <v>1233</v>
      </c>
      <c r="F1766" s="116">
        <v>1192.2</v>
      </c>
      <c r="G1766">
        <v>100596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44606</v>
      </c>
      <c r="B1767" s="116">
        <v>1185</v>
      </c>
      <c r="C1767" s="116">
        <v>1169.9000000000001</v>
      </c>
      <c r="D1767" s="116">
        <v>1138.8</v>
      </c>
      <c r="E1767" s="116">
        <v>1172.95</v>
      </c>
      <c r="F1767" s="116">
        <v>1169.9000000000001</v>
      </c>
      <c r="G1767">
        <v>47184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44607</v>
      </c>
      <c r="B1768" s="116">
        <v>1199.7</v>
      </c>
      <c r="C1768" s="116">
        <v>1193.9000000000001</v>
      </c>
      <c r="D1768" s="116">
        <v>1150.3</v>
      </c>
      <c r="E1768" s="116">
        <v>1177.95</v>
      </c>
      <c r="F1768" s="116">
        <v>1193.9000000000001</v>
      </c>
      <c r="G1768">
        <v>46196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44608</v>
      </c>
      <c r="B1769" s="116">
        <v>1217.95</v>
      </c>
      <c r="C1769" s="116">
        <v>1210.4000000000001</v>
      </c>
      <c r="D1769" s="116">
        <v>1174.5</v>
      </c>
      <c r="E1769" s="116">
        <v>1200</v>
      </c>
      <c r="F1769" s="116">
        <v>1210.4000000000001</v>
      </c>
      <c r="G1769">
        <v>30705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44609</v>
      </c>
      <c r="B1770" s="116">
        <v>1224.45</v>
      </c>
      <c r="C1770" s="116">
        <v>1219.0999999999999</v>
      </c>
      <c r="D1770" s="116">
        <v>1201.75</v>
      </c>
      <c r="E1770" s="116">
        <v>1208.8</v>
      </c>
      <c r="F1770" s="116">
        <v>1219.0999999999999</v>
      </c>
      <c r="G1770">
        <v>21339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44610</v>
      </c>
      <c r="B1771" s="116">
        <v>1257.25</v>
      </c>
      <c r="C1771" s="116">
        <v>1253.0999999999999</v>
      </c>
      <c r="D1771" s="116">
        <v>1205</v>
      </c>
      <c r="E1771" s="116">
        <v>1205</v>
      </c>
      <c r="F1771" s="116">
        <v>1253.0999999999999</v>
      </c>
      <c r="G1771">
        <v>76080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44613</v>
      </c>
      <c r="B1772" s="116">
        <v>1265.2</v>
      </c>
      <c r="C1772" s="116">
        <v>1242.95</v>
      </c>
      <c r="D1772" s="116">
        <v>1238.95</v>
      </c>
      <c r="E1772" s="116">
        <v>1259.95</v>
      </c>
      <c r="F1772" s="116">
        <v>1242.95</v>
      </c>
      <c r="G1772">
        <v>77414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44614</v>
      </c>
      <c r="B1773" s="116">
        <v>1244.3</v>
      </c>
      <c r="C1773" s="116">
        <v>1239.3</v>
      </c>
      <c r="D1773" s="116">
        <v>1209.55</v>
      </c>
      <c r="E1773" s="116">
        <v>1236</v>
      </c>
      <c r="F1773" s="116">
        <v>1239.3</v>
      </c>
      <c r="G1773">
        <v>28915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44615</v>
      </c>
      <c r="B1774" s="116">
        <v>1264.0999999999999</v>
      </c>
      <c r="C1774" s="116">
        <v>1235.2</v>
      </c>
      <c r="D1774" s="116">
        <v>1220</v>
      </c>
      <c r="E1774" s="116">
        <v>1220</v>
      </c>
      <c r="F1774" s="116">
        <v>1235.2</v>
      </c>
      <c r="G1774">
        <v>31609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44616</v>
      </c>
      <c r="B1775" s="116">
        <v>1225</v>
      </c>
      <c r="C1775" s="116">
        <v>1196.55</v>
      </c>
      <c r="D1775" s="116">
        <v>1182.95</v>
      </c>
      <c r="E1775" s="116">
        <v>1220.05</v>
      </c>
      <c r="F1775" s="116">
        <v>1196.55</v>
      </c>
      <c r="G1775">
        <v>43430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44617</v>
      </c>
      <c r="B1776" s="116">
        <v>1255.0999999999999</v>
      </c>
      <c r="C1776" s="116">
        <v>1251.8499999999999</v>
      </c>
      <c r="D1776" s="116">
        <v>1204</v>
      </c>
      <c r="E1776" s="116">
        <v>1204</v>
      </c>
      <c r="F1776" s="116">
        <v>1251.8499999999999</v>
      </c>
      <c r="G1776">
        <v>30757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44620</v>
      </c>
      <c r="B1777" s="116">
        <v>1268.2</v>
      </c>
      <c r="C1777" s="116">
        <v>1262.3</v>
      </c>
      <c r="D1777" s="116">
        <v>1222.8</v>
      </c>
      <c r="E1777" s="116">
        <v>1239</v>
      </c>
      <c r="F1777" s="116">
        <v>1262.3</v>
      </c>
      <c r="G1777">
        <v>78176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44622</v>
      </c>
      <c r="B1778" s="116">
        <v>1269</v>
      </c>
      <c r="C1778" s="116">
        <v>1229.8</v>
      </c>
      <c r="D1778" s="116">
        <v>1221</v>
      </c>
      <c r="E1778" s="116">
        <v>1269</v>
      </c>
      <c r="F1778" s="116">
        <v>1229.8</v>
      </c>
      <c r="G1778">
        <v>66152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44623</v>
      </c>
      <c r="B1779" s="116">
        <v>1250</v>
      </c>
      <c r="C1779" s="116">
        <v>1196.9000000000001</v>
      </c>
      <c r="D1779" s="116">
        <v>1184.95</v>
      </c>
      <c r="E1779" s="116">
        <v>1229</v>
      </c>
      <c r="F1779" s="116">
        <v>1196.9000000000001</v>
      </c>
      <c r="G1779">
        <v>16942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44624</v>
      </c>
      <c r="B1780" s="116">
        <v>1203.5999999999999</v>
      </c>
      <c r="C1780" s="116">
        <v>1175.5</v>
      </c>
      <c r="D1780" s="116">
        <v>1152.5</v>
      </c>
      <c r="E1780" s="116">
        <v>1192</v>
      </c>
      <c r="F1780" s="116">
        <v>1175.5</v>
      </c>
      <c r="G1780">
        <v>53557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44627</v>
      </c>
      <c r="B1781" s="116">
        <v>1168</v>
      </c>
      <c r="C1781" s="116">
        <v>1147.25</v>
      </c>
      <c r="D1781" s="116">
        <v>1123.8499999999999</v>
      </c>
      <c r="E1781" s="116">
        <v>1168</v>
      </c>
      <c r="F1781" s="116">
        <v>1147.25</v>
      </c>
      <c r="G1781">
        <v>62722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44628</v>
      </c>
      <c r="B1782" s="116">
        <v>1160.55</v>
      </c>
      <c r="C1782" s="116">
        <v>1151.9000000000001</v>
      </c>
      <c r="D1782" s="116">
        <v>1100.3</v>
      </c>
      <c r="E1782" s="116">
        <v>1145</v>
      </c>
      <c r="F1782" s="116">
        <v>1151.9000000000001</v>
      </c>
      <c r="G1782">
        <v>48087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44629</v>
      </c>
      <c r="B1783" s="116">
        <v>1187.45</v>
      </c>
      <c r="C1783" s="116">
        <v>1157.9000000000001</v>
      </c>
      <c r="D1783" s="116">
        <v>1141</v>
      </c>
      <c r="E1783" s="116">
        <v>1162</v>
      </c>
      <c r="F1783" s="116">
        <v>1157.9000000000001</v>
      </c>
      <c r="G1783">
        <v>34441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44630</v>
      </c>
      <c r="B1784" s="116">
        <v>1209</v>
      </c>
      <c r="C1784" s="116">
        <v>1177.8499999999999</v>
      </c>
      <c r="D1784" s="116">
        <v>1175</v>
      </c>
      <c r="E1784" s="116">
        <v>1209</v>
      </c>
      <c r="F1784" s="116">
        <v>1177.8499999999999</v>
      </c>
      <c r="G1784">
        <v>20049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44631</v>
      </c>
      <c r="B1785" s="116">
        <v>1210.0999999999999</v>
      </c>
      <c r="C1785" s="116">
        <v>1204.3</v>
      </c>
      <c r="D1785" s="116">
        <v>1170</v>
      </c>
      <c r="E1785" s="116">
        <v>1170</v>
      </c>
      <c r="F1785" s="116">
        <v>1204.3</v>
      </c>
      <c r="G1785">
        <v>18748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44634</v>
      </c>
      <c r="B1786" s="116">
        <v>1209</v>
      </c>
      <c r="C1786" s="116">
        <v>1191.75</v>
      </c>
      <c r="D1786" s="116">
        <v>1177.8499999999999</v>
      </c>
      <c r="E1786" s="116">
        <v>1209</v>
      </c>
      <c r="F1786" s="116">
        <v>1191.75</v>
      </c>
      <c r="G1786">
        <v>21608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44635</v>
      </c>
      <c r="B1787" s="116">
        <v>1224</v>
      </c>
      <c r="C1787" s="116">
        <v>1211.0999999999999</v>
      </c>
      <c r="D1787" s="116">
        <v>1193.55</v>
      </c>
      <c r="E1787" s="116">
        <v>1203</v>
      </c>
      <c r="F1787" s="116">
        <v>1211.0999999999999</v>
      </c>
      <c r="G1787">
        <v>41143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44636</v>
      </c>
      <c r="B1788" s="116">
        <v>1289.6500000000001</v>
      </c>
      <c r="C1788" s="116">
        <v>1271</v>
      </c>
      <c r="D1788" s="116">
        <v>1224</v>
      </c>
      <c r="E1788" s="116">
        <v>1238</v>
      </c>
      <c r="F1788" s="116">
        <v>1271</v>
      </c>
      <c r="G1788">
        <v>72675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44637</v>
      </c>
      <c r="B1789" s="116">
        <v>1325</v>
      </c>
      <c r="C1789" s="116">
        <v>1295.25</v>
      </c>
      <c r="D1789" s="116">
        <v>1290.2</v>
      </c>
      <c r="E1789" s="116">
        <v>1312.8</v>
      </c>
      <c r="F1789" s="116">
        <v>1295.25</v>
      </c>
      <c r="G1789">
        <v>121379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44641</v>
      </c>
      <c r="B1790" s="116">
        <v>1313.3</v>
      </c>
      <c r="C1790" s="116">
        <v>1288.9000000000001</v>
      </c>
      <c r="D1790" s="116">
        <v>1282.8499999999999</v>
      </c>
      <c r="E1790" s="116">
        <v>1313.3</v>
      </c>
      <c r="F1790" s="116">
        <v>1288.9000000000001</v>
      </c>
      <c r="G1790">
        <v>64136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44642</v>
      </c>
      <c r="B1791" s="116">
        <v>1287.7</v>
      </c>
      <c r="C1791" s="116">
        <v>1281</v>
      </c>
      <c r="D1791" s="116">
        <v>1238.45</v>
      </c>
      <c r="E1791" s="116">
        <v>1285.55</v>
      </c>
      <c r="F1791" s="116">
        <v>1281</v>
      </c>
      <c r="G1791">
        <v>123031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44643</v>
      </c>
      <c r="B1792" s="116">
        <v>1339.85</v>
      </c>
      <c r="C1792" s="116">
        <v>1304.6500000000001</v>
      </c>
      <c r="D1792" s="116">
        <v>1298.75</v>
      </c>
      <c r="E1792" s="116">
        <v>1300</v>
      </c>
      <c r="F1792" s="116">
        <v>1304.6500000000001</v>
      </c>
      <c r="G1792">
        <v>77602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44644</v>
      </c>
      <c r="B1793" s="116">
        <v>1304.6500000000001</v>
      </c>
      <c r="C1793" s="116">
        <v>1276.0999999999999</v>
      </c>
      <c r="D1793" s="116">
        <v>1266.8499999999999</v>
      </c>
      <c r="E1793" s="116">
        <v>1304.6500000000001</v>
      </c>
      <c r="F1793" s="116">
        <v>1276.0999999999999</v>
      </c>
      <c r="G1793">
        <v>57740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44645</v>
      </c>
      <c r="B1794" s="116">
        <v>1293.55</v>
      </c>
      <c r="C1794" s="116">
        <v>1249.1500000000001</v>
      </c>
      <c r="D1794" s="116">
        <v>1243.5999999999999</v>
      </c>
      <c r="E1794" s="116">
        <v>1280</v>
      </c>
      <c r="F1794" s="116">
        <v>1249.1500000000001</v>
      </c>
      <c r="G1794">
        <v>59290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44648</v>
      </c>
      <c r="B1795" s="116">
        <v>1252.45</v>
      </c>
      <c r="C1795" s="116">
        <v>1231.95</v>
      </c>
      <c r="D1795" s="116">
        <v>1218.3</v>
      </c>
      <c r="E1795" s="116">
        <v>1243.9000000000001</v>
      </c>
      <c r="F1795" s="116">
        <v>1231.95</v>
      </c>
      <c r="G1795">
        <v>109061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44649</v>
      </c>
      <c r="B1796" s="116">
        <v>1252.2</v>
      </c>
      <c r="C1796" s="116">
        <v>1247.75</v>
      </c>
      <c r="D1796" s="116">
        <v>1229.6500000000001</v>
      </c>
      <c r="E1796" s="116">
        <v>1239.7</v>
      </c>
      <c r="F1796" s="116">
        <v>1247.75</v>
      </c>
      <c r="G1796">
        <v>26924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44650</v>
      </c>
      <c r="B1797" s="116">
        <v>1273.5999999999999</v>
      </c>
      <c r="C1797" s="116">
        <v>1267.8</v>
      </c>
      <c r="D1797" s="116">
        <v>1245</v>
      </c>
      <c r="E1797" s="116">
        <v>1247.2</v>
      </c>
      <c r="F1797" s="116">
        <v>1267.8</v>
      </c>
      <c r="G1797">
        <v>35386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44651</v>
      </c>
      <c r="B1798" s="116">
        <v>1274.7</v>
      </c>
      <c r="C1798" s="116">
        <v>1244.5</v>
      </c>
      <c r="D1798" s="116">
        <v>1243</v>
      </c>
      <c r="E1798" s="116">
        <v>1274.7</v>
      </c>
      <c r="F1798" s="116">
        <v>1244.5</v>
      </c>
      <c r="G1798">
        <v>22257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44652</v>
      </c>
      <c r="B1799" s="116">
        <v>1264.05</v>
      </c>
      <c r="C1799" s="116">
        <v>1260.55</v>
      </c>
      <c r="D1799" s="116">
        <v>1244.6500000000001</v>
      </c>
      <c r="E1799" s="116">
        <v>1247</v>
      </c>
      <c r="F1799" s="116">
        <v>1260.55</v>
      </c>
      <c r="G1799">
        <v>22924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44655</v>
      </c>
      <c r="B1800" s="116">
        <v>1281.1500000000001</v>
      </c>
      <c r="C1800" s="116">
        <v>1276.25</v>
      </c>
      <c r="D1800" s="116">
        <v>1255.2</v>
      </c>
      <c r="E1800" s="116">
        <v>1262</v>
      </c>
      <c r="F1800" s="116">
        <v>1276.25</v>
      </c>
      <c r="G1800">
        <v>19599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44656</v>
      </c>
      <c r="B1801" s="116">
        <v>1324.95</v>
      </c>
      <c r="C1801" s="116">
        <v>1314.85</v>
      </c>
      <c r="D1801" s="116">
        <v>1279.05</v>
      </c>
      <c r="E1801" s="116">
        <v>1298</v>
      </c>
      <c r="F1801" s="116">
        <v>1314.85</v>
      </c>
      <c r="G1801">
        <v>70676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44657</v>
      </c>
      <c r="B1802" s="116">
        <v>1328.95</v>
      </c>
      <c r="C1802" s="116">
        <v>1321.95</v>
      </c>
      <c r="D1802" s="116">
        <v>1296.05</v>
      </c>
      <c r="E1802" s="116">
        <v>1324</v>
      </c>
      <c r="F1802" s="116">
        <v>1321.95</v>
      </c>
      <c r="G1802">
        <v>51606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44658</v>
      </c>
      <c r="B1803" s="116">
        <v>1347.75</v>
      </c>
      <c r="C1803" s="116">
        <v>1301.25</v>
      </c>
      <c r="D1803" s="116">
        <v>1291.9000000000001</v>
      </c>
      <c r="E1803" s="116">
        <v>1321</v>
      </c>
      <c r="F1803" s="116">
        <v>1301.25</v>
      </c>
      <c r="G1803">
        <v>99794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44659</v>
      </c>
      <c r="B1804" s="116">
        <v>1321.7</v>
      </c>
      <c r="C1804" s="116">
        <v>1317.5</v>
      </c>
      <c r="D1804" s="116">
        <v>1304.25</v>
      </c>
      <c r="E1804" s="116">
        <v>1305</v>
      </c>
      <c r="F1804" s="116">
        <v>1317.5</v>
      </c>
      <c r="G1804">
        <v>52056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44662</v>
      </c>
      <c r="B1805" s="116">
        <v>1332</v>
      </c>
      <c r="C1805" s="116">
        <v>1302.7</v>
      </c>
      <c r="D1805" s="116">
        <v>1299.1500000000001</v>
      </c>
      <c r="E1805" s="116">
        <v>1332</v>
      </c>
      <c r="F1805" s="116">
        <v>1302.7</v>
      </c>
      <c r="G1805">
        <v>34121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44663</v>
      </c>
      <c r="B1806" s="116">
        <v>1310.85</v>
      </c>
      <c r="C1806" s="116">
        <v>1303.2</v>
      </c>
      <c r="D1806" s="116">
        <v>1268.5</v>
      </c>
      <c r="E1806" s="116">
        <v>1302.7</v>
      </c>
      <c r="F1806" s="116">
        <v>1303.2</v>
      </c>
      <c r="G1806">
        <v>35427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44664</v>
      </c>
      <c r="B1807" s="116">
        <v>1317.35</v>
      </c>
      <c r="C1807" s="116">
        <v>1304.45</v>
      </c>
      <c r="D1807" s="116">
        <v>1289.25</v>
      </c>
      <c r="E1807" s="116">
        <v>1302</v>
      </c>
      <c r="F1807" s="116">
        <v>1304.45</v>
      </c>
      <c r="G1807">
        <v>48162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44669</v>
      </c>
      <c r="B1808" s="116">
        <v>1285.3499999999999</v>
      </c>
      <c r="C1808" s="116">
        <v>1246.8</v>
      </c>
      <c r="D1808" s="116">
        <v>1241.6500000000001</v>
      </c>
      <c r="E1808" s="116">
        <v>1276</v>
      </c>
      <c r="F1808" s="116">
        <v>1246.8</v>
      </c>
      <c r="G1808">
        <v>66504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44670</v>
      </c>
      <c r="B1809" s="116">
        <v>1270.75</v>
      </c>
      <c r="C1809" s="116">
        <v>1248.75</v>
      </c>
      <c r="D1809" s="116">
        <v>1225</v>
      </c>
      <c r="E1809" s="116">
        <v>1255.05</v>
      </c>
      <c r="F1809" s="116">
        <v>1248.75</v>
      </c>
      <c r="G1809">
        <v>22307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44671</v>
      </c>
      <c r="B1810" s="116">
        <v>1255</v>
      </c>
      <c r="C1810" s="116">
        <v>1251.2</v>
      </c>
      <c r="D1810" s="116">
        <v>1228</v>
      </c>
      <c r="E1810" s="116">
        <v>1241</v>
      </c>
      <c r="F1810" s="116">
        <v>1251.2</v>
      </c>
      <c r="G1810">
        <v>54594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44672</v>
      </c>
      <c r="B1811" s="116">
        <v>1269.4000000000001</v>
      </c>
      <c r="C1811" s="116">
        <v>1266.3</v>
      </c>
      <c r="D1811" s="116">
        <v>1250</v>
      </c>
      <c r="E1811" s="116">
        <v>1250</v>
      </c>
      <c r="F1811" s="116">
        <v>1266.3</v>
      </c>
      <c r="G1811">
        <v>61097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44673</v>
      </c>
      <c r="B1812" s="116">
        <v>1271</v>
      </c>
      <c r="C1812" s="116">
        <v>1251.95</v>
      </c>
      <c r="D1812" s="116">
        <v>1249</v>
      </c>
      <c r="E1812" s="116">
        <v>1265.0999999999999</v>
      </c>
      <c r="F1812" s="116">
        <v>1251.95</v>
      </c>
      <c r="G1812">
        <v>140685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44676</v>
      </c>
      <c r="B1813" s="116">
        <v>1255.5</v>
      </c>
      <c r="C1813" s="116">
        <v>1242.1500000000001</v>
      </c>
      <c r="D1813" s="116">
        <v>1231</v>
      </c>
      <c r="E1813" s="116">
        <v>1250</v>
      </c>
      <c r="F1813" s="116">
        <v>1242.1500000000001</v>
      </c>
      <c r="G1813">
        <v>26310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44677</v>
      </c>
      <c r="B1814" s="116">
        <v>1265</v>
      </c>
      <c r="C1814" s="116">
        <v>1262.05</v>
      </c>
      <c r="D1814" s="116">
        <v>1246.5999999999999</v>
      </c>
      <c r="E1814" s="116">
        <v>1251.9000000000001</v>
      </c>
      <c r="F1814" s="116">
        <v>1262.05</v>
      </c>
      <c r="G1814">
        <v>18411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44678</v>
      </c>
      <c r="B1815" s="116">
        <v>1288</v>
      </c>
      <c r="C1815" s="116">
        <v>1269.2</v>
      </c>
      <c r="D1815" s="116">
        <v>1253.5999999999999</v>
      </c>
      <c r="E1815" s="116">
        <v>1265.95</v>
      </c>
      <c r="F1815" s="116">
        <v>1269.2</v>
      </c>
      <c r="G1815">
        <v>59903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44679</v>
      </c>
      <c r="B1816" s="116">
        <v>1293.2</v>
      </c>
      <c r="C1816" s="116">
        <v>1284.1500000000001</v>
      </c>
      <c r="D1816" s="116">
        <v>1268.8499999999999</v>
      </c>
      <c r="E1816" s="116">
        <v>1286.8499999999999</v>
      </c>
      <c r="F1816" s="116">
        <v>1284.1500000000001</v>
      </c>
      <c r="G1816">
        <v>30712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44680</v>
      </c>
      <c r="B1817" s="116">
        <v>1302</v>
      </c>
      <c r="C1817" s="116">
        <v>1260.75</v>
      </c>
      <c r="D1817" s="116">
        <v>1249.25</v>
      </c>
      <c r="E1817" s="116">
        <v>1302</v>
      </c>
      <c r="F1817" s="116">
        <v>1260.75</v>
      </c>
      <c r="G1817">
        <v>30997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44683</v>
      </c>
      <c r="B1818" s="116">
        <v>1266.5999999999999</v>
      </c>
      <c r="C1818" s="116">
        <v>1231.6500000000001</v>
      </c>
      <c r="D1818" s="116">
        <v>1223</v>
      </c>
      <c r="E1818" s="116">
        <v>1260</v>
      </c>
      <c r="F1818" s="116">
        <v>1231.6500000000001</v>
      </c>
      <c r="G1818">
        <v>28239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44685</v>
      </c>
      <c r="B1819" s="116">
        <v>1240.3499999999999</v>
      </c>
      <c r="C1819" s="116">
        <v>1143.8499999999999</v>
      </c>
      <c r="D1819" s="116">
        <v>1136.55</v>
      </c>
      <c r="E1819" s="116">
        <v>1238.95</v>
      </c>
      <c r="F1819" s="116">
        <v>1143.8499999999999</v>
      </c>
      <c r="G1819">
        <v>359912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44686</v>
      </c>
      <c r="B1820" s="116">
        <v>1163.9000000000001</v>
      </c>
      <c r="C1820" s="116">
        <v>1158.25</v>
      </c>
      <c r="D1820" s="116">
        <v>1144.55</v>
      </c>
      <c r="E1820" s="116">
        <v>1163.2</v>
      </c>
      <c r="F1820" s="116">
        <v>1158.25</v>
      </c>
      <c r="G1820">
        <v>63108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44687</v>
      </c>
      <c r="B1821" s="116">
        <v>1097.05</v>
      </c>
      <c r="C1821" s="116">
        <v>1069</v>
      </c>
      <c r="D1821" s="116">
        <v>1045</v>
      </c>
      <c r="E1821" s="116">
        <v>1090</v>
      </c>
      <c r="F1821" s="116">
        <v>1069</v>
      </c>
      <c r="G1821">
        <v>220498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44690</v>
      </c>
      <c r="B1822" s="116">
        <v>1065</v>
      </c>
      <c r="C1822" s="116">
        <v>1044.05</v>
      </c>
      <c r="D1822" s="116">
        <v>1030.8</v>
      </c>
      <c r="E1822" s="116">
        <v>1058</v>
      </c>
      <c r="F1822" s="116">
        <v>1044.05</v>
      </c>
      <c r="G1822">
        <v>97492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44691</v>
      </c>
      <c r="B1823" s="116">
        <v>1033.7</v>
      </c>
      <c r="C1823" s="116">
        <v>989.35</v>
      </c>
      <c r="D1823" s="116">
        <v>976</v>
      </c>
      <c r="E1823" s="116">
        <v>1031</v>
      </c>
      <c r="F1823" s="116">
        <v>989.35</v>
      </c>
      <c r="G1823">
        <v>89953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44692</v>
      </c>
      <c r="B1824" s="116">
        <v>993.85</v>
      </c>
      <c r="C1824" s="116">
        <v>974.95</v>
      </c>
      <c r="D1824" s="116">
        <v>961.8</v>
      </c>
      <c r="E1824" s="116">
        <v>991</v>
      </c>
      <c r="F1824" s="116">
        <v>974.95</v>
      </c>
      <c r="G1824">
        <v>77122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44693</v>
      </c>
      <c r="B1825" s="116">
        <v>975</v>
      </c>
      <c r="C1825" s="116">
        <v>950.7</v>
      </c>
      <c r="D1825" s="116">
        <v>935.5</v>
      </c>
      <c r="E1825" s="116">
        <v>975</v>
      </c>
      <c r="F1825" s="116">
        <v>950.7</v>
      </c>
      <c r="G1825">
        <v>265081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44694</v>
      </c>
      <c r="B1826" s="116">
        <v>964.5</v>
      </c>
      <c r="C1826" s="116">
        <v>932.75</v>
      </c>
      <c r="D1826" s="116">
        <v>928.1</v>
      </c>
      <c r="E1826" s="116">
        <v>960.7</v>
      </c>
      <c r="F1826" s="116">
        <v>932.75</v>
      </c>
      <c r="G1826">
        <v>66115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44697</v>
      </c>
      <c r="B1827" s="116">
        <v>958.3</v>
      </c>
      <c r="C1827" s="116">
        <v>951.3</v>
      </c>
      <c r="D1827" s="116">
        <v>923.5</v>
      </c>
      <c r="E1827" s="116">
        <v>935</v>
      </c>
      <c r="F1827" s="116">
        <v>951.3</v>
      </c>
      <c r="G1827">
        <v>63726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44698</v>
      </c>
      <c r="B1828" s="116">
        <v>992</v>
      </c>
      <c r="C1828" s="116">
        <v>988.7</v>
      </c>
      <c r="D1828" s="116">
        <v>951.35</v>
      </c>
      <c r="E1828" s="116">
        <v>965</v>
      </c>
      <c r="F1828" s="116">
        <v>988.7</v>
      </c>
      <c r="G1828">
        <v>66103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44699</v>
      </c>
      <c r="B1829" s="116">
        <v>1029.95</v>
      </c>
      <c r="C1829" s="116">
        <v>983.9</v>
      </c>
      <c r="D1829" s="116">
        <v>978.15</v>
      </c>
      <c r="E1829" s="116">
        <v>995</v>
      </c>
      <c r="F1829" s="116">
        <v>983.9</v>
      </c>
      <c r="G1829">
        <v>124242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44700</v>
      </c>
      <c r="B1830" s="116">
        <v>975.3</v>
      </c>
      <c r="C1830" s="116">
        <v>945</v>
      </c>
      <c r="D1830" s="116">
        <v>941.05</v>
      </c>
      <c r="E1830" s="116">
        <v>965</v>
      </c>
      <c r="F1830" s="116">
        <v>945</v>
      </c>
      <c r="G1830">
        <v>29729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44701</v>
      </c>
      <c r="B1831" s="116">
        <v>980.4</v>
      </c>
      <c r="C1831" s="116">
        <v>975.5</v>
      </c>
      <c r="D1831" s="116">
        <v>956.65</v>
      </c>
      <c r="E1831" s="116">
        <v>969.8</v>
      </c>
      <c r="F1831" s="116">
        <v>975.5</v>
      </c>
      <c r="G1831">
        <v>20535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44704</v>
      </c>
      <c r="B1832" s="116">
        <v>1003.8</v>
      </c>
      <c r="C1832" s="116">
        <v>995.85</v>
      </c>
      <c r="D1832" s="116">
        <v>976.8</v>
      </c>
      <c r="E1832" s="116">
        <v>994</v>
      </c>
      <c r="F1832" s="116">
        <v>995.85</v>
      </c>
      <c r="G1832">
        <v>124783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44705</v>
      </c>
      <c r="B1833" s="116">
        <v>1014.1</v>
      </c>
      <c r="C1833" s="116">
        <v>1011.8</v>
      </c>
      <c r="D1833" s="116">
        <v>992</v>
      </c>
      <c r="E1833" s="116">
        <v>1005</v>
      </c>
      <c r="F1833" s="116">
        <v>1011.8</v>
      </c>
      <c r="G1833">
        <v>258542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44706</v>
      </c>
      <c r="B1834" s="116">
        <v>1019.2</v>
      </c>
      <c r="C1834" s="116">
        <v>995.4</v>
      </c>
      <c r="D1834" s="116">
        <v>987.9</v>
      </c>
      <c r="E1834" s="116">
        <v>1012.45</v>
      </c>
      <c r="F1834" s="116">
        <v>995.4</v>
      </c>
      <c r="G1834">
        <v>81540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44707</v>
      </c>
      <c r="B1835" s="116">
        <v>1002.55</v>
      </c>
      <c r="C1835" s="116">
        <v>996.65</v>
      </c>
      <c r="D1835" s="116">
        <v>980.6</v>
      </c>
      <c r="E1835" s="116">
        <v>995</v>
      </c>
      <c r="F1835" s="116">
        <v>996.65</v>
      </c>
      <c r="G1835">
        <v>35548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44708</v>
      </c>
      <c r="B1836" s="116">
        <v>1023.5</v>
      </c>
      <c r="C1836" s="116">
        <v>1008.7</v>
      </c>
      <c r="D1836" s="116">
        <v>993.7</v>
      </c>
      <c r="E1836" s="116">
        <v>1007.55</v>
      </c>
      <c r="F1836" s="116">
        <v>1008.7</v>
      </c>
      <c r="G1836">
        <v>41725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44711</v>
      </c>
      <c r="B1837" s="116">
        <v>1044.3499999999999</v>
      </c>
      <c r="C1837" s="116">
        <v>1039.9000000000001</v>
      </c>
      <c r="D1837" s="116">
        <v>1008.45</v>
      </c>
      <c r="E1837" s="116">
        <v>1008.45</v>
      </c>
      <c r="F1837" s="116">
        <v>1039.9000000000001</v>
      </c>
      <c r="G1837">
        <v>36841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44712</v>
      </c>
      <c r="B1838" s="116">
        <v>1049.3</v>
      </c>
      <c r="C1838" s="116">
        <v>1019.4</v>
      </c>
      <c r="D1838" s="116">
        <v>1013.25</v>
      </c>
      <c r="E1838" s="116">
        <v>1049.3</v>
      </c>
      <c r="F1838" s="116">
        <v>1019.4</v>
      </c>
      <c r="G1838">
        <v>33413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44713</v>
      </c>
      <c r="B1839" s="116">
        <v>1053.8</v>
      </c>
      <c r="C1839" s="116">
        <v>1048.25</v>
      </c>
      <c r="D1839" s="116">
        <v>1009.2</v>
      </c>
      <c r="E1839" s="116">
        <v>1020</v>
      </c>
      <c r="F1839" s="116">
        <v>1048.25</v>
      </c>
      <c r="G1839">
        <v>155536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44714</v>
      </c>
      <c r="B1840" s="116">
        <v>1058</v>
      </c>
      <c r="C1840" s="116">
        <v>1048.75</v>
      </c>
      <c r="D1840" s="116">
        <v>1038.4000000000001</v>
      </c>
      <c r="E1840" s="116">
        <v>1058</v>
      </c>
      <c r="F1840" s="116">
        <v>1048.75</v>
      </c>
      <c r="G1840">
        <v>39628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44715</v>
      </c>
      <c r="B1841" s="116">
        <v>1073.55</v>
      </c>
      <c r="C1841" s="116">
        <v>1018.45</v>
      </c>
      <c r="D1841" s="116">
        <v>1015</v>
      </c>
      <c r="E1841" s="116">
        <v>1050</v>
      </c>
      <c r="F1841" s="116">
        <v>1018.45</v>
      </c>
      <c r="G1841">
        <v>90023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44718</v>
      </c>
      <c r="B1842" s="116">
        <v>1025.0999999999999</v>
      </c>
      <c r="C1842" s="116">
        <v>1014.9</v>
      </c>
      <c r="D1842" s="116">
        <v>988</v>
      </c>
      <c r="E1842" s="116">
        <v>1025.0999999999999</v>
      </c>
      <c r="F1842" s="116">
        <v>1014.9</v>
      </c>
      <c r="G1842">
        <v>94396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44719</v>
      </c>
      <c r="B1843" s="116">
        <v>1010</v>
      </c>
      <c r="C1843" s="116">
        <v>998.85</v>
      </c>
      <c r="D1843" s="116">
        <v>975.6</v>
      </c>
      <c r="E1843" s="116">
        <v>1010</v>
      </c>
      <c r="F1843" s="116">
        <v>998.85</v>
      </c>
      <c r="G1843">
        <v>34034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44720</v>
      </c>
      <c r="B1844" s="116">
        <v>1003.55</v>
      </c>
      <c r="C1844" s="116">
        <v>991.35</v>
      </c>
      <c r="D1844" s="116">
        <v>974.35</v>
      </c>
      <c r="E1844" s="116">
        <v>1002.8</v>
      </c>
      <c r="F1844" s="116">
        <v>991.35</v>
      </c>
      <c r="G1844">
        <v>26760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44721</v>
      </c>
      <c r="B1845" s="116">
        <v>1005</v>
      </c>
      <c r="C1845" s="116">
        <v>999.2</v>
      </c>
      <c r="D1845" s="116">
        <v>959.75</v>
      </c>
      <c r="E1845" s="116">
        <v>985</v>
      </c>
      <c r="F1845" s="116">
        <v>999.2</v>
      </c>
      <c r="G1845">
        <v>104935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44722</v>
      </c>
      <c r="B1846" s="116">
        <v>1001.9</v>
      </c>
      <c r="C1846" s="116">
        <v>992.7</v>
      </c>
      <c r="D1846" s="116">
        <v>980.6</v>
      </c>
      <c r="E1846" s="116">
        <v>999</v>
      </c>
      <c r="F1846" s="116">
        <v>992.7</v>
      </c>
      <c r="G1846">
        <v>16094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44725</v>
      </c>
      <c r="B1847" s="116">
        <v>984.5</v>
      </c>
      <c r="C1847" s="116">
        <v>980.7</v>
      </c>
      <c r="D1847" s="116">
        <v>963.2</v>
      </c>
      <c r="E1847" s="116">
        <v>965.7</v>
      </c>
      <c r="F1847" s="116">
        <v>980.7</v>
      </c>
      <c r="G1847">
        <v>99136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44726</v>
      </c>
      <c r="B1848" s="116">
        <v>990.65</v>
      </c>
      <c r="C1848" s="116">
        <v>985.35</v>
      </c>
      <c r="D1848" s="116">
        <v>971.35</v>
      </c>
      <c r="E1848" s="116">
        <v>979</v>
      </c>
      <c r="F1848" s="116">
        <v>985.35</v>
      </c>
      <c r="G1848">
        <v>25688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44727</v>
      </c>
      <c r="B1849" s="116">
        <v>1003.7</v>
      </c>
      <c r="C1849" s="116">
        <v>994.35</v>
      </c>
      <c r="D1849" s="116">
        <v>990.1</v>
      </c>
      <c r="E1849" s="116">
        <v>999.9</v>
      </c>
      <c r="F1849" s="116">
        <v>994.35</v>
      </c>
      <c r="G1849">
        <v>64502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44728</v>
      </c>
      <c r="B1850" s="116">
        <v>1009.1</v>
      </c>
      <c r="C1850" s="116">
        <v>955.2</v>
      </c>
      <c r="D1850" s="116">
        <v>951.05</v>
      </c>
      <c r="E1850" s="116">
        <v>1004.4</v>
      </c>
      <c r="F1850" s="116">
        <v>955.2</v>
      </c>
      <c r="G1850">
        <v>31903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44729</v>
      </c>
      <c r="B1851" s="116">
        <v>963.75</v>
      </c>
      <c r="C1851" s="116">
        <v>955</v>
      </c>
      <c r="D1851" s="116">
        <v>934.75</v>
      </c>
      <c r="E1851" s="116">
        <v>954.4</v>
      </c>
      <c r="F1851" s="116">
        <v>955</v>
      </c>
      <c r="G1851">
        <v>27745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44732</v>
      </c>
      <c r="B1852" s="116">
        <v>962.4</v>
      </c>
      <c r="C1852" s="116">
        <v>945.2</v>
      </c>
      <c r="D1852" s="116">
        <v>934.4</v>
      </c>
      <c r="E1852" s="116">
        <v>959.95</v>
      </c>
      <c r="F1852" s="116">
        <v>945.2</v>
      </c>
      <c r="G1852">
        <v>23852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44733</v>
      </c>
      <c r="B1853" s="116">
        <v>982.4</v>
      </c>
      <c r="C1853" s="116">
        <v>981.2</v>
      </c>
      <c r="D1853" s="116">
        <v>945.3</v>
      </c>
      <c r="E1853" s="116">
        <v>945.3</v>
      </c>
      <c r="F1853" s="116">
        <v>981.2</v>
      </c>
      <c r="G1853">
        <v>17594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44734</v>
      </c>
      <c r="B1854" s="116">
        <v>976.25</v>
      </c>
      <c r="C1854" s="116">
        <v>947.4</v>
      </c>
      <c r="D1854" s="116">
        <v>944.35</v>
      </c>
      <c r="E1854" s="116">
        <v>974.8</v>
      </c>
      <c r="F1854" s="116">
        <v>947.4</v>
      </c>
      <c r="G1854">
        <v>17891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44735</v>
      </c>
      <c r="B1855" s="116">
        <v>969.25</v>
      </c>
      <c r="C1855" s="116">
        <v>965.35</v>
      </c>
      <c r="D1855" s="116">
        <v>947</v>
      </c>
      <c r="E1855" s="116">
        <v>948</v>
      </c>
      <c r="F1855" s="116">
        <v>965.35</v>
      </c>
      <c r="G1855">
        <v>10329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44736</v>
      </c>
      <c r="B1856" s="116">
        <v>995.05</v>
      </c>
      <c r="C1856" s="116">
        <v>992.95</v>
      </c>
      <c r="D1856" s="116">
        <v>970.05</v>
      </c>
      <c r="E1856" s="116">
        <v>975</v>
      </c>
      <c r="F1856" s="116">
        <v>992.95</v>
      </c>
      <c r="G1856">
        <v>21544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44739</v>
      </c>
      <c r="B1857" s="116">
        <v>1002</v>
      </c>
      <c r="C1857" s="116">
        <v>982.25</v>
      </c>
      <c r="D1857" s="116">
        <v>980</v>
      </c>
      <c r="E1857" s="116">
        <v>992</v>
      </c>
      <c r="F1857" s="116">
        <v>982.25</v>
      </c>
      <c r="G1857">
        <v>19153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44740</v>
      </c>
      <c r="B1858" s="116">
        <v>989.85</v>
      </c>
      <c r="C1858" s="116">
        <v>976.9</v>
      </c>
      <c r="D1858" s="116">
        <v>960.7</v>
      </c>
      <c r="E1858" s="116">
        <v>981</v>
      </c>
      <c r="F1858" s="116">
        <v>976.9</v>
      </c>
      <c r="G1858">
        <v>27292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44741</v>
      </c>
      <c r="B1859" s="116">
        <v>982</v>
      </c>
      <c r="C1859" s="116">
        <v>970.4</v>
      </c>
      <c r="D1859" s="116">
        <v>962.5</v>
      </c>
      <c r="E1859" s="116">
        <v>968.05</v>
      </c>
      <c r="F1859" s="116">
        <v>970.4</v>
      </c>
      <c r="G1859">
        <v>17548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44742</v>
      </c>
      <c r="B1860" s="116">
        <v>983.2</v>
      </c>
      <c r="C1860" s="116">
        <v>972.85</v>
      </c>
      <c r="D1860" s="116">
        <v>965.75</v>
      </c>
      <c r="E1860" s="116">
        <v>970</v>
      </c>
      <c r="F1860" s="116">
        <v>972.85</v>
      </c>
      <c r="G1860">
        <v>11009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44743</v>
      </c>
      <c r="B1861" s="116">
        <v>969.7</v>
      </c>
      <c r="C1861" s="116">
        <v>956</v>
      </c>
      <c r="D1861" s="116">
        <v>938</v>
      </c>
      <c r="E1861" s="116">
        <v>951</v>
      </c>
      <c r="F1861" s="116">
        <v>956</v>
      </c>
      <c r="G1861">
        <v>242940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44746</v>
      </c>
      <c r="B1862" s="116">
        <v>972.35</v>
      </c>
      <c r="C1862" s="116">
        <v>965.7</v>
      </c>
      <c r="D1862" s="116">
        <v>946.05</v>
      </c>
      <c r="E1862" s="116">
        <v>970</v>
      </c>
      <c r="F1862" s="116">
        <v>965.7</v>
      </c>
      <c r="G1862">
        <v>15216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44747</v>
      </c>
      <c r="B1863" s="116">
        <v>986.25</v>
      </c>
      <c r="C1863" s="116">
        <v>957.35</v>
      </c>
      <c r="D1863" s="116">
        <v>951.65</v>
      </c>
      <c r="E1863" s="116">
        <v>975.4</v>
      </c>
      <c r="F1863" s="116">
        <v>957.35</v>
      </c>
      <c r="G1863">
        <v>39323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44748</v>
      </c>
      <c r="B1864" s="116">
        <v>979.65</v>
      </c>
      <c r="C1864" s="116">
        <v>975.4</v>
      </c>
      <c r="D1864" s="116">
        <v>953.75</v>
      </c>
      <c r="E1864" s="116">
        <v>972</v>
      </c>
      <c r="F1864" s="116">
        <v>975.4</v>
      </c>
      <c r="G1864">
        <v>21398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44749</v>
      </c>
      <c r="B1865" s="116">
        <v>988.9</v>
      </c>
      <c r="C1865" s="116">
        <v>972.2</v>
      </c>
      <c r="D1865" s="116">
        <v>966.6</v>
      </c>
      <c r="E1865" s="116">
        <v>988.9</v>
      </c>
      <c r="F1865" s="116">
        <v>972.2</v>
      </c>
      <c r="G1865">
        <v>17865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44750</v>
      </c>
      <c r="B1866" s="116">
        <v>984.05</v>
      </c>
      <c r="C1866" s="116">
        <v>968.85</v>
      </c>
      <c r="D1866" s="116">
        <v>965.35</v>
      </c>
      <c r="E1866" s="116">
        <v>972</v>
      </c>
      <c r="F1866" s="116">
        <v>968.85</v>
      </c>
      <c r="G1866">
        <v>16663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44753</v>
      </c>
      <c r="B1867" s="116">
        <v>973.85</v>
      </c>
      <c r="C1867" s="116">
        <v>964.3</v>
      </c>
      <c r="D1867" s="116">
        <v>955.25</v>
      </c>
      <c r="E1867" s="116">
        <v>967</v>
      </c>
      <c r="F1867" s="116">
        <v>964.3</v>
      </c>
      <c r="G1867">
        <v>16142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44754</v>
      </c>
      <c r="B1868" s="116">
        <v>972</v>
      </c>
      <c r="C1868" s="116">
        <v>956.2</v>
      </c>
      <c r="D1868" s="116">
        <v>953.4</v>
      </c>
      <c r="E1868" s="116">
        <v>956</v>
      </c>
      <c r="F1868" s="116">
        <v>956.2</v>
      </c>
      <c r="G1868">
        <v>29015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44755</v>
      </c>
      <c r="B1869" s="116">
        <v>1000.2</v>
      </c>
      <c r="C1869" s="116">
        <v>983.7</v>
      </c>
      <c r="D1869" s="116">
        <v>959.25</v>
      </c>
      <c r="E1869" s="116">
        <v>1000.2</v>
      </c>
      <c r="F1869" s="116">
        <v>983.7</v>
      </c>
      <c r="G1869">
        <v>496332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44756</v>
      </c>
      <c r="B1870" s="116">
        <v>995</v>
      </c>
      <c r="C1870" s="116">
        <v>986.45</v>
      </c>
      <c r="D1870" s="116">
        <v>978</v>
      </c>
      <c r="E1870" s="116">
        <v>981.5</v>
      </c>
      <c r="F1870" s="116">
        <v>986.45</v>
      </c>
      <c r="G1870">
        <v>17027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44757</v>
      </c>
      <c r="B1871" s="116">
        <v>994.4</v>
      </c>
      <c r="C1871" s="116">
        <v>983.3</v>
      </c>
      <c r="D1871" s="116">
        <v>973.5</v>
      </c>
      <c r="E1871" s="116">
        <v>989</v>
      </c>
      <c r="F1871" s="116">
        <v>983.3</v>
      </c>
      <c r="G1871">
        <v>11111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44760</v>
      </c>
      <c r="B1872" s="116">
        <v>1039.75</v>
      </c>
      <c r="C1872" s="116">
        <v>1035.05</v>
      </c>
      <c r="D1872" s="116">
        <v>986.5</v>
      </c>
      <c r="E1872" s="116">
        <v>986.5</v>
      </c>
      <c r="F1872" s="116">
        <v>1035.05</v>
      </c>
      <c r="G1872">
        <v>86479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44761</v>
      </c>
      <c r="B1873" s="116">
        <v>1054.2</v>
      </c>
      <c r="C1873" s="116">
        <v>1052.95</v>
      </c>
      <c r="D1873" s="116">
        <v>1028.5</v>
      </c>
      <c r="E1873" s="116">
        <v>1032.5</v>
      </c>
      <c r="F1873" s="116">
        <v>1052.95</v>
      </c>
      <c r="G1873">
        <v>57668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44762</v>
      </c>
      <c r="B1874" s="116">
        <v>1063.45</v>
      </c>
      <c r="C1874" s="116">
        <v>1028.95</v>
      </c>
      <c r="D1874" s="116">
        <v>1027.25</v>
      </c>
      <c r="E1874" s="116">
        <v>1055</v>
      </c>
      <c r="F1874" s="116">
        <v>1028.95</v>
      </c>
      <c r="G1874">
        <v>35703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44763</v>
      </c>
      <c r="B1875" s="116">
        <v>1028</v>
      </c>
      <c r="C1875" s="116">
        <v>1010.4</v>
      </c>
      <c r="D1875" s="116">
        <v>1003.25</v>
      </c>
      <c r="E1875" s="116">
        <v>1028</v>
      </c>
      <c r="F1875" s="116">
        <v>1010.4</v>
      </c>
      <c r="G1875">
        <v>38022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44764</v>
      </c>
      <c r="B1876" s="116">
        <v>1026</v>
      </c>
      <c r="C1876" s="116">
        <v>1001.9</v>
      </c>
      <c r="D1876" s="116">
        <v>997</v>
      </c>
      <c r="E1876" s="116">
        <v>1020.85</v>
      </c>
      <c r="F1876" s="116">
        <v>1001.9</v>
      </c>
      <c r="G1876">
        <v>17200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44767</v>
      </c>
      <c r="B1877" s="116">
        <v>1006.05</v>
      </c>
      <c r="C1877" s="116">
        <v>999.8</v>
      </c>
      <c r="D1877" s="116">
        <v>988.25</v>
      </c>
      <c r="E1877" s="116">
        <v>995.5</v>
      </c>
      <c r="F1877" s="116">
        <v>999.8</v>
      </c>
      <c r="G1877">
        <v>26329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44768</v>
      </c>
      <c r="B1878" s="116">
        <v>1005.7</v>
      </c>
      <c r="C1878" s="116">
        <v>977.35</v>
      </c>
      <c r="D1878" s="116">
        <v>975</v>
      </c>
      <c r="E1878" s="116">
        <v>1000</v>
      </c>
      <c r="F1878" s="116">
        <v>977.35</v>
      </c>
      <c r="G1878">
        <v>27768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44769</v>
      </c>
      <c r="B1879" s="116">
        <v>995</v>
      </c>
      <c r="C1879" s="116">
        <v>970.05</v>
      </c>
      <c r="D1879" s="116">
        <v>932.6</v>
      </c>
      <c r="E1879" s="116">
        <v>995</v>
      </c>
      <c r="F1879" s="116">
        <v>970.05</v>
      </c>
      <c r="G1879">
        <v>56355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44770</v>
      </c>
      <c r="B1880" s="116">
        <v>985.7</v>
      </c>
      <c r="C1880" s="116">
        <v>971.05</v>
      </c>
      <c r="D1880" s="116">
        <v>967.5</v>
      </c>
      <c r="E1880" s="116">
        <v>975.15</v>
      </c>
      <c r="F1880" s="116">
        <v>971.05</v>
      </c>
      <c r="G1880">
        <v>32820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44771</v>
      </c>
      <c r="B1881" s="116">
        <v>1013.55</v>
      </c>
      <c r="C1881" s="116">
        <v>1004.6</v>
      </c>
      <c r="D1881" s="116">
        <v>973.8</v>
      </c>
      <c r="E1881" s="116">
        <v>980</v>
      </c>
      <c r="F1881" s="116">
        <v>1004.6</v>
      </c>
      <c r="G1881">
        <v>87325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44774</v>
      </c>
      <c r="B1882" s="116">
        <v>1010.2</v>
      </c>
      <c r="C1882" s="116">
        <v>999.55</v>
      </c>
      <c r="D1882" s="116">
        <v>991.2</v>
      </c>
      <c r="E1882" s="116">
        <v>1010</v>
      </c>
      <c r="F1882" s="116">
        <v>999.55</v>
      </c>
      <c r="G1882">
        <v>75849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44775</v>
      </c>
      <c r="B1883" s="116">
        <v>1005</v>
      </c>
      <c r="C1883" s="116">
        <v>999.6</v>
      </c>
      <c r="D1883" s="116">
        <v>989.05</v>
      </c>
      <c r="E1883" s="116">
        <v>999.5</v>
      </c>
      <c r="F1883" s="116">
        <v>999.6</v>
      </c>
      <c r="G1883">
        <v>76644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44776</v>
      </c>
      <c r="B1884" s="116">
        <v>989.5</v>
      </c>
      <c r="C1884" s="116">
        <v>982.25</v>
      </c>
      <c r="D1884" s="116">
        <v>958</v>
      </c>
      <c r="E1884" s="116">
        <v>970</v>
      </c>
      <c r="F1884" s="116">
        <v>982.25</v>
      </c>
      <c r="G1884">
        <v>111227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44777</v>
      </c>
      <c r="B1885" s="116">
        <v>1008</v>
      </c>
      <c r="C1885" s="116">
        <v>999.8</v>
      </c>
      <c r="D1885" s="116">
        <v>982</v>
      </c>
      <c r="E1885" s="116">
        <v>982.25</v>
      </c>
      <c r="F1885" s="116">
        <v>999.8</v>
      </c>
      <c r="G1885">
        <v>63189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44778</v>
      </c>
      <c r="B1886" s="116">
        <v>1005.75</v>
      </c>
      <c r="C1886" s="116">
        <v>972.75</v>
      </c>
      <c r="D1886" s="116">
        <v>970</v>
      </c>
      <c r="E1886" s="116">
        <v>1000</v>
      </c>
      <c r="F1886" s="116">
        <v>972.75</v>
      </c>
      <c r="G1886">
        <v>41712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44781</v>
      </c>
      <c r="B1887" s="116">
        <v>990</v>
      </c>
      <c r="C1887" s="116">
        <v>982.75</v>
      </c>
      <c r="D1887" s="116">
        <v>968</v>
      </c>
      <c r="E1887" s="116">
        <v>970</v>
      </c>
      <c r="F1887" s="116">
        <v>982.75</v>
      </c>
      <c r="G1887">
        <v>23622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44783</v>
      </c>
      <c r="B1888" s="116">
        <v>989.75</v>
      </c>
      <c r="C1888" s="116">
        <v>974.2</v>
      </c>
      <c r="D1888" s="116">
        <v>972.25</v>
      </c>
      <c r="E1888" s="116">
        <v>982.75</v>
      </c>
      <c r="F1888" s="116">
        <v>974.2</v>
      </c>
      <c r="G1888">
        <v>18308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44784</v>
      </c>
      <c r="B1889" s="116">
        <v>999</v>
      </c>
      <c r="C1889" s="116">
        <v>989.8</v>
      </c>
      <c r="D1889" s="116">
        <v>977.25</v>
      </c>
      <c r="E1889" s="116">
        <v>985</v>
      </c>
      <c r="F1889" s="116">
        <v>989.8</v>
      </c>
      <c r="G1889">
        <v>54027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44785</v>
      </c>
      <c r="B1890" s="116">
        <v>1014.9</v>
      </c>
      <c r="C1890" s="116">
        <v>1007.1</v>
      </c>
      <c r="D1890" s="116">
        <v>991</v>
      </c>
      <c r="E1890" s="116">
        <v>1000</v>
      </c>
      <c r="F1890" s="116">
        <v>1007.1</v>
      </c>
      <c r="G1890">
        <v>72407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44789</v>
      </c>
      <c r="B1891" s="116">
        <v>1037.5</v>
      </c>
      <c r="C1891" s="116">
        <v>1019.75</v>
      </c>
      <c r="D1891" s="116">
        <v>1015.8</v>
      </c>
      <c r="E1891" s="116">
        <v>1025</v>
      </c>
      <c r="F1891" s="116">
        <v>1019.75</v>
      </c>
      <c r="G1891">
        <v>30727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44790</v>
      </c>
      <c r="B1892" s="116">
        <v>1034.25</v>
      </c>
      <c r="C1892" s="116">
        <v>1028.1500000000001</v>
      </c>
      <c r="D1892" s="116">
        <v>1019.4</v>
      </c>
      <c r="E1892" s="116">
        <v>1029.95</v>
      </c>
      <c r="F1892" s="116">
        <v>1028.1500000000001</v>
      </c>
      <c r="G1892">
        <v>21877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44791</v>
      </c>
      <c r="B1893" s="116">
        <v>1046.5999999999999</v>
      </c>
      <c r="C1893" s="116">
        <v>1044.8499999999999</v>
      </c>
      <c r="D1893" s="116">
        <v>1020.9</v>
      </c>
      <c r="E1893" s="116">
        <v>1020.9</v>
      </c>
      <c r="F1893" s="116">
        <v>1044.8499999999999</v>
      </c>
      <c r="G1893">
        <v>90712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44792</v>
      </c>
      <c r="B1894" s="116">
        <v>1050.55</v>
      </c>
      <c r="C1894" s="116">
        <v>1014.8</v>
      </c>
      <c r="D1894" s="116">
        <v>1009.45</v>
      </c>
      <c r="E1894" s="116">
        <v>1049</v>
      </c>
      <c r="F1894" s="116">
        <v>1014.8</v>
      </c>
      <c r="G1894">
        <v>94057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44795</v>
      </c>
      <c r="B1895" s="116">
        <v>1033.95</v>
      </c>
      <c r="C1895" s="116">
        <v>977.25</v>
      </c>
      <c r="D1895" s="116">
        <v>975.7</v>
      </c>
      <c r="E1895" s="116">
        <v>1033.95</v>
      </c>
      <c r="F1895" s="116">
        <v>977.25</v>
      </c>
      <c r="G1895">
        <v>27981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44796</v>
      </c>
      <c r="B1896" s="116">
        <v>997.95</v>
      </c>
      <c r="C1896" s="116">
        <v>995.25</v>
      </c>
      <c r="D1896" s="116">
        <v>967.05</v>
      </c>
      <c r="E1896" s="116">
        <v>975</v>
      </c>
      <c r="F1896" s="116">
        <v>995.25</v>
      </c>
      <c r="G1896">
        <v>86619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44797</v>
      </c>
      <c r="B1897" s="116">
        <v>999.85</v>
      </c>
      <c r="C1897" s="116">
        <v>995.45</v>
      </c>
      <c r="D1897" s="116">
        <v>983.45</v>
      </c>
      <c r="E1897" s="116">
        <v>988</v>
      </c>
      <c r="F1897" s="116">
        <v>995.45</v>
      </c>
      <c r="G1897">
        <v>21239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44798</v>
      </c>
      <c r="B1898" s="116">
        <v>1015.4</v>
      </c>
      <c r="C1898" s="116">
        <v>997.05</v>
      </c>
      <c r="D1898" s="116">
        <v>992</v>
      </c>
      <c r="E1898" s="116">
        <v>1000.75</v>
      </c>
      <c r="F1898" s="116">
        <v>997.05</v>
      </c>
      <c r="G1898">
        <v>61957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44799</v>
      </c>
      <c r="B1899" s="116">
        <v>1009.45</v>
      </c>
      <c r="C1899" s="116">
        <v>1007.2</v>
      </c>
      <c r="D1899" s="116">
        <v>995</v>
      </c>
      <c r="E1899" s="116">
        <v>1009</v>
      </c>
      <c r="F1899" s="116">
        <v>1007.2</v>
      </c>
      <c r="G1899">
        <v>21908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44802</v>
      </c>
      <c r="B1900" s="116">
        <v>989.05</v>
      </c>
      <c r="C1900" s="116">
        <v>981.05</v>
      </c>
      <c r="D1900" s="116">
        <v>964.55</v>
      </c>
      <c r="E1900" s="116">
        <v>964.55</v>
      </c>
      <c r="F1900" s="116">
        <v>981.05</v>
      </c>
      <c r="G1900">
        <v>20089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44803</v>
      </c>
      <c r="B1901" s="116">
        <v>1006.2</v>
      </c>
      <c r="C1901" s="116">
        <v>1000.8</v>
      </c>
      <c r="D1901" s="116">
        <v>983.5</v>
      </c>
      <c r="E1901" s="116">
        <v>983.5</v>
      </c>
      <c r="F1901" s="116">
        <v>1000.8</v>
      </c>
      <c r="G1901">
        <v>28524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44805</v>
      </c>
      <c r="B1902" s="116">
        <v>1000.2</v>
      </c>
      <c r="C1902" s="116">
        <v>980.1</v>
      </c>
      <c r="D1902" s="116">
        <v>978.1</v>
      </c>
      <c r="E1902" s="116">
        <v>993</v>
      </c>
      <c r="F1902" s="116">
        <v>980.1</v>
      </c>
      <c r="G1902">
        <v>35937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44806</v>
      </c>
      <c r="B1903" s="116">
        <v>989</v>
      </c>
      <c r="C1903" s="116">
        <v>971.85</v>
      </c>
      <c r="D1903" s="116">
        <v>970</v>
      </c>
      <c r="E1903" s="116">
        <v>987.05</v>
      </c>
      <c r="F1903" s="116">
        <v>971.85</v>
      </c>
      <c r="G1903">
        <v>109071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44809</v>
      </c>
      <c r="B1904" s="116">
        <v>990.15</v>
      </c>
      <c r="C1904" s="116">
        <v>987.15</v>
      </c>
      <c r="D1904" s="116">
        <v>970</v>
      </c>
      <c r="E1904" s="116">
        <v>970</v>
      </c>
      <c r="F1904" s="116">
        <v>987.15</v>
      </c>
      <c r="G1904">
        <v>30813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44810</v>
      </c>
      <c r="B1905" s="116">
        <v>994.25</v>
      </c>
      <c r="C1905" s="116">
        <v>985.8</v>
      </c>
      <c r="D1905" s="116">
        <v>981</v>
      </c>
      <c r="E1905" s="116">
        <v>981</v>
      </c>
      <c r="F1905" s="116">
        <v>985.8</v>
      </c>
      <c r="G1905">
        <v>29901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44811</v>
      </c>
      <c r="B1906" s="116">
        <v>988.9</v>
      </c>
      <c r="C1906" s="116">
        <v>980.8</v>
      </c>
      <c r="D1906" s="116">
        <v>975.7</v>
      </c>
      <c r="E1906" s="116">
        <v>984.95</v>
      </c>
      <c r="F1906" s="116">
        <v>980.8</v>
      </c>
      <c r="G1906">
        <v>28789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44812</v>
      </c>
      <c r="B1907" s="116">
        <v>991.4</v>
      </c>
      <c r="C1907" s="116">
        <v>975</v>
      </c>
      <c r="D1907" s="116">
        <v>973.3</v>
      </c>
      <c r="E1907" s="116">
        <v>988</v>
      </c>
      <c r="F1907" s="116">
        <v>975</v>
      </c>
      <c r="G1907">
        <v>31436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44813</v>
      </c>
      <c r="B1908" s="116">
        <v>984.95</v>
      </c>
      <c r="C1908" s="116">
        <v>966.5</v>
      </c>
      <c r="D1908" s="116">
        <v>960</v>
      </c>
      <c r="E1908" s="116">
        <v>980</v>
      </c>
      <c r="F1908" s="116">
        <v>966.5</v>
      </c>
      <c r="G1908">
        <v>146879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44816</v>
      </c>
      <c r="B1909" s="116">
        <v>974.95</v>
      </c>
      <c r="C1909" s="116">
        <v>967.25</v>
      </c>
      <c r="D1909" s="116">
        <v>964.3</v>
      </c>
      <c r="E1909" s="116">
        <v>969</v>
      </c>
      <c r="F1909" s="116">
        <v>967.25</v>
      </c>
      <c r="G1909">
        <v>194385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44817</v>
      </c>
      <c r="B1910" s="116">
        <v>982</v>
      </c>
      <c r="C1910" s="116">
        <v>970.75</v>
      </c>
      <c r="D1910" s="116">
        <v>967.65</v>
      </c>
      <c r="E1910" s="116">
        <v>967.65</v>
      </c>
      <c r="F1910" s="116">
        <v>970.75</v>
      </c>
      <c r="G1910">
        <v>92563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44818</v>
      </c>
      <c r="B1911" s="116">
        <v>963.9</v>
      </c>
      <c r="C1911" s="116">
        <v>955.35</v>
      </c>
      <c r="D1911" s="116">
        <v>950</v>
      </c>
      <c r="E1911" s="116">
        <v>963</v>
      </c>
      <c r="F1911" s="116">
        <v>955.35</v>
      </c>
      <c r="G1911">
        <v>81549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44819</v>
      </c>
      <c r="B1912" s="116">
        <v>967.25</v>
      </c>
      <c r="C1912" s="116">
        <v>960.5</v>
      </c>
      <c r="D1912" s="116">
        <v>951.65</v>
      </c>
      <c r="E1912" s="116">
        <v>964</v>
      </c>
      <c r="F1912" s="116">
        <v>960.5</v>
      </c>
      <c r="G1912">
        <v>53755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44820</v>
      </c>
      <c r="B1913" s="116">
        <v>961</v>
      </c>
      <c r="C1913" s="116">
        <v>913.95</v>
      </c>
      <c r="D1913" s="116">
        <v>883.2</v>
      </c>
      <c r="E1913" s="116">
        <v>961</v>
      </c>
      <c r="F1913" s="116">
        <v>913.95</v>
      </c>
      <c r="G1913">
        <v>124194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44823</v>
      </c>
      <c r="B1914" s="116">
        <v>924.95</v>
      </c>
      <c r="C1914" s="116">
        <v>900.3</v>
      </c>
      <c r="D1914" s="116">
        <v>895.5</v>
      </c>
      <c r="E1914" s="116">
        <v>924.95</v>
      </c>
      <c r="F1914" s="116">
        <v>900.3</v>
      </c>
      <c r="G1914">
        <v>307212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44824</v>
      </c>
      <c r="B1915" s="116">
        <v>922</v>
      </c>
      <c r="C1915" s="116">
        <v>909.9</v>
      </c>
      <c r="D1915" s="116">
        <v>905</v>
      </c>
      <c r="E1915" s="116">
        <v>905</v>
      </c>
      <c r="F1915" s="116">
        <v>909.9</v>
      </c>
      <c r="G1915">
        <v>314097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44825</v>
      </c>
      <c r="B1916" s="116">
        <v>923.2</v>
      </c>
      <c r="C1916" s="116">
        <v>903.9</v>
      </c>
      <c r="D1916" s="116">
        <v>901.15</v>
      </c>
      <c r="E1916" s="116">
        <v>910</v>
      </c>
      <c r="F1916" s="116">
        <v>903.9</v>
      </c>
      <c r="G1916">
        <v>240322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44826</v>
      </c>
      <c r="B1917" s="116">
        <v>905.6</v>
      </c>
      <c r="C1917" s="116">
        <v>898.15</v>
      </c>
      <c r="D1917" s="116">
        <v>889.25</v>
      </c>
      <c r="E1917" s="116">
        <v>900</v>
      </c>
      <c r="F1917" s="116">
        <v>898.15</v>
      </c>
      <c r="G1917">
        <v>58071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44827</v>
      </c>
      <c r="B1918" s="116">
        <v>909.5</v>
      </c>
      <c r="C1918" s="116">
        <v>900.25</v>
      </c>
      <c r="D1918" s="116">
        <v>888.05</v>
      </c>
      <c r="E1918" s="116">
        <v>895</v>
      </c>
      <c r="F1918" s="116">
        <v>900.25</v>
      </c>
      <c r="G1918">
        <v>79426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44830</v>
      </c>
      <c r="B1919" s="116">
        <v>899</v>
      </c>
      <c r="C1919" s="116">
        <v>882.9</v>
      </c>
      <c r="D1919" s="116">
        <v>868.7</v>
      </c>
      <c r="E1919" s="116">
        <v>899</v>
      </c>
      <c r="F1919" s="116">
        <v>882.9</v>
      </c>
      <c r="G1919">
        <v>57714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44831</v>
      </c>
      <c r="B1920" s="116">
        <v>907.6</v>
      </c>
      <c r="C1920" s="116">
        <v>904.15</v>
      </c>
      <c r="D1920" s="116">
        <v>885.65</v>
      </c>
      <c r="E1920" s="116">
        <v>890.95</v>
      </c>
      <c r="F1920" s="116">
        <v>904.15</v>
      </c>
      <c r="G1920">
        <v>47857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44832</v>
      </c>
      <c r="B1921" s="116">
        <v>912.95</v>
      </c>
      <c r="C1921" s="116">
        <v>899.05</v>
      </c>
      <c r="D1921" s="116">
        <v>896.4</v>
      </c>
      <c r="E1921" s="116">
        <v>906.25</v>
      </c>
      <c r="F1921" s="116">
        <v>899.05</v>
      </c>
      <c r="G1921">
        <v>19463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44833</v>
      </c>
      <c r="B1922" s="116">
        <v>909.15</v>
      </c>
      <c r="C1922" s="116">
        <v>901.65</v>
      </c>
      <c r="D1922" s="116">
        <v>896</v>
      </c>
      <c r="E1922" s="116">
        <v>904</v>
      </c>
      <c r="F1922" s="116">
        <v>901.65</v>
      </c>
      <c r="G1922">
        <v>16330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44834</v>
      </c>
      <c r="B1923" s="116">
        <v>910</v>
      </c>
      <c r="C1923" s="116">
        <v>906.4</v>
      </c>
      <c r="D1923" s="116">
        <v>880.2</v>
      </c>
      <c r="E1923" s="116">
        <v>893.05</v>
      </c>
      <c r="F1923" s="116">
        <v>906.4</v>
      </c>
      <c r="G1923">
        <v>43829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44837</v>
      </c>
      <c r="B1924" s="116">
        <v>908.7</v>
      </c>
      <c r="C1924" s="116">
        <v>893.3</v>
      </c>
      <c r="D1924" s="116">
        <v>887.45</v>
      </c>
      <c r="E1924" s="116">
        <v>902.05</v>
      </c>
      <c r="F1924" s="116">
        <v>893.3</v>
      </c>
      <c r="G1924">
        <v>25175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44838</v>
      </c>
      <c r="B1925" s="116">
        <v>926.95</v>
      </c>
      <c r="C1925" s="116">
        <v>924.85</v>
      </c>
      <c r="D1925" s="116">
        <v>896.05</v>
      </c>
      <c r="E1925" s="116">
        <v>896.05</v>
      </c>
      <c r="F1925" s="116">
        <v>924.85</v>
      </c>
      <c r="G1925">
        <v>33758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44840</v>
      </c>
      <c r="B1926" s="116">
        <v>935.65</v>
      </c>
      <c r="C1926" s="116">
        <v>922.5</v>
      </c>
      <c r="D1926" s="116">
        <v>918.1</v>
      </c>
      <c r="E1926" s="116">
        <v>927</v>
      </c>
      <c r="F1926" s="116">
        <v>922.5</v>
      </c>
      <c r="G1926">
        <v>76986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44841</v>
      </c>
      <c r="B1927" s="116">
        <v>926.55</v>
      </c>
      <c r="C1927" s="116">
        <v>910.4</v>
      </c>
      <c r="D1927" s="116">
        <v>905.6</v>
      </c>
      <c r="E1927" s="116">
        <v>918.05</v>
      </c>
      <c r="F1927" s="116">
        <v>910.4</v>
      </c>
      <c r="G1927">
        <v>21950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44844</v>
      </c>
      <c r="B1928" s="116">
        <v>905.55</v>
      </c>
      <c r="C1928" s="116">
        <v>899.95</v>
      </c>
      <c r="D1928" s="116">
        <v>888</v>
      </c>
      <c r="E1928" s="116">
        <v>904.75</v>
      </c>
      <c r="F1928" s="116">
        <v>899.95</v>
      </c>
      <c r="G1928">
        <v>22280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44845</v>
      </c>
      <c r="B1929" s="116">
        <v>904.45</v>
      </c>
      <c r="C1929" s="116">
        <v>873.65</v>
      </c>
      <c r="D1929" s="116">
        <v>871</v>
      </c>
      <c r="E1929" s="116">
        <v>904.45</v>
      </c>
      <c r="F1929" s="116">
        <v>873.65</v>
      </c>
      <c r="G1929">
        <v>426164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44846</v>
      </c>
      <c r="B1930" s="116">
        <v>878</v>
      </c>
      <c r="C1930" s="116">
        <v>874.7</v>
      </c>
      <c r="D1930" s="116">
        <v>859.7</v>
      </c>
      <c r="E1930" s="116">
        <v>878</v>
      </c>
      <c r="F1930" s="116">
        <v>874.7</v>
      </c>
      <c r="G1930">
        <v>57564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44847</v>
      </c>
      <c r="B1931" s="116">
        <v>876.35</v>
      </c>
      <c r="C1931" s="116">
        <v>874.15</v>
      </c>
      <c r="D1931" s="116">
        <v>863</v>
      </c>
      <c r="E1931" s="116">
        <v>874.65</v>
      </c>
      <c r="F1931" s="116">
        <v>874.15</v>
      </c>
      <c r="G1931">
        <v>25403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44848</v>
      </c>
      <c r="B1932" s="116">
        <v>885</v>
      </c>
      <c r="C1932" s="116">
        <v>870.95</v>
      </c>
      <c r="D1932" s="116">
        <v>869.3</v>
      </c>
      <c r="E1932" s="116">
        <v>880.05</v>
      </c>
      <c r="F1932" s="116">
        <v>870.95</v>
      </c>
      <c r="G1932">
        <v>42081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44851</v>
      </c>
      <c r="B1933" s="116">
        <v>874.85</v>
      </c>
      <c r="C1933" s="116">
        <v>869.6</v>
      </c>
      <c r="D1933" s="116">
        <v>857.9</v>
      </c>
      <c r="E1933" s="116">
        <v>872</v>
      </c>
      <c r="F1933" s="116">
        <v>869.6</v>
      </c>
      <c r="G1933">
        <v>350179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44852</v>
      </c>
      <c r="B1934" s="116">
        <v>880.95</v>
      </c>
      <c r="C1934" s="116">
        <v>875.05</v>
      </c>
      <c r="D1934" s="116">
        <v>871.55</v>
      </c>
      <c r="E1934" s="116">
        <v>874</v>
      </c>
      <c r="F1934" s="116">
        <v>875.05</v>
      </c>
      <c r="G1934">
        <v>36063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44853</v>
      </c>
      <c r="B1935" s="116">
        <v>880.15</v>
      </c>
      <c r="C1935" s="116">
        <v>875</v>
      </c>
      <c r="D1935" s="116">
        <v>870.4</v>
      </c>
      <c r="E1935" s="116">
        <v>877</v>
      </c>
      <c r="F1935" s="116">
        <v>875</v>
      </c>
      <c r="G1935">
        <v>33595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44854</v>
      </c>
      <c r="B1936" s="116">
        <v>871.55</v>
      </c>
      <c r="C1936" s="116">
        <v>868.2</v>
      </c>
      <c r="D1936" s="116">
        <v>858.55</v>
      </c>
      <c r="E1936" s="116">
        <v>870</v>
      </c>
      <c r="F1936" s="116">
        <v>868.2</v>
      </c>
      <c r="G1936">
        <v>15593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44855</v>
      </c>
      <c r="B1937" s="116">
        <v>884.45</v>
      </c>
      <c r="C1937" s="116">
        <v>865.85</v>
      </c>
      <c r="D1937" s="116">
        <v>859</v>
      </c>
      <c r="E1937" s="116">
        <v>868.95</v>
      </c>
      <c r="F1937" s="116">
        <v>865.85</v>
      </c>
      <c r="G1937">
        <v>13093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44858</v>
      </c>
      <c r="B1938" s="116">
        <v>874.6</v>
      </c>
      <c r="C1938" s="116">
        <v>866.1</v>
      </c>
      <c r="D1938" s="116">
        <v>864</v>
      </c>
      <c r="E1938" s="116">
        <v>872.5</v>
      </c>
      <c r="F1938" s="116">
        <v>866.1</v>
      </c>
      <c r="G1938">
        <v>9720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44859</v>
      </c>
      <c r="B1939" s="116">
        <v>875</v>
      </c>
      <c r="C1939" s="116">
        <v>866.4</v>
      </c>
      <c r="D1939" s="116">
        <v>861.6</v>
      </c>
      <c r="E1939" s="116">
        <v>869.2</v>
      </c>
      <c r="F1939" s="116">
        <v>866.4</v>
      </c>
      <c r="G1939">
        <v>339585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44861</v>
      </c>
      <c r="B1940" s="116">
        <v>877.6</v>
      </c>
      <c r="C1940" s="116">
        <v>874.2</v>
      </c>
      <c r="D1940" s="116">
        <v>868.15</v>
      </c>
      <c r="E1940" s="116">
        <v>877.6</v>
      </c>
      <c r="F1940" s="116">
        <v>874.2</v>
      </c>
      <c r="G1940">
        <v>14786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44862</v>
      </c>
      <c r="B1941" s="116">
        <v>881.85</v>
      </c>
      <c r="C1941" s="116">
        <v>871.45</v>
      </c>
      <c r="D1941" s="116">
        <v>869.05</v>
      </c>
      <c r="E1941" s="116">
        <v>878.8</v>
      </c>
      <c r="F1941" s="116">
        <v>871.45</v>
      </c>
      <c r="G1941">
        <v>21450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44865</v>
      </c>
      <c r="B1942" s="116">
        <v>878.55</v>
      </c>
      <c r="C1942" s="116">
        <v>876.1</v>
      </c>
      <c r="D1942" s="116">
        <v>859</v>
      </c>
      <c r="E1942" s="116">
        <v>878.55</v>
      </c>
      <c r="F1942" s="116">
        <v>876.1</v>
      </c>
      <c r="G1942">
        <v>44686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44866</v>
      </c>
      <c r="B1943" s="116">
        <v>910.5</v>
      </c>
      <c r="C1943" s="116">
        <v>908.95</v>
      </c>
      <c r="D1943" s="116">
        <v>879.05</v>
      </c>
      <c r="E1943" s="116">
        <v>885</v>
      </c>
      <c r="F1943" s="116">
        <v>908.95</v>
      </c>
      <c r="G1943">
        <v>38873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44867</v>
      </c>
      <c r="B1944" s="116">
        <v>927.5</v>
      </c>
      <c r="C1944" s="116">
        <v>910.25</v>
      </c>
      <c r="D1944" s="116">
        <v>888.15</v>
      </c>
      <c r="E1944" s="116">
        <v>892.1</v>
      </c>
      <c r="F1944" s="116">
        <v>910.25</v>
      </c>
      <c r="G1944">
        <v>134931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44868</v>
      </c>
      <c r="B1945" s="116">
        <v>908.45</v>
      </c>
      <c r="C1945" s="116">
        <v>861.3</v>
      </c>
      <c r="D1945" s="116">
        <v>859</v>
      </c>
      <c r="E1945" s="116">
        <v>902.6</v>
      </c>
      <c r="F1945" s="116">
        <v>861.3</v>
      </c>
      <c r="G1945">
        <v>164277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44869</v>
      </c>
      <c r="B1946" s="116">
        <v>869.25</v>
      </c>
      <c r="C1946" s="116">
        <v>844.85</v>
      </c>
      <c r="D1946" s="116">
        <v>835.4</v>
      </c>
      <c r="E1946" s="116">
        <v>860</v>
      </c>
      <c r="F1946" s="116">
        <v>844.85</v>
      </c>
      <c r="G1946">
        <v>169950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44872</v>
      </c>
      <c r="B1947" s="116">
        <v>852.15</v>
      </c>
      <c r="C1947" s="116">
        <v>834.4</v>
      </c>
      <c r="D1947" s="116">
        <v>827.85</v>
      </c>
      <c r="E1947" s="116">
        <v>850.45</v>
      </c>
      <c r="F1947" s="116">
        <v>834.4</v>
      </c>
      <c r="G1947">
        <v>57587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44874</v>
      </c>
      <c r="B1948" s="116">
        <v>843.15</v>
      </c>
      <c r="C1948" s="116">
        <v>836.15</v>
      </c>
      <c r="D1948" s="116">
        <v>834.75</v>
      </c>
      <c r="E1948" s="116">
        <v>835.5</v>
      </c>
      <c r="F1948" s="116">
        <v>836.15</v>
      </c>
      <c r="G1948">
        <v>32932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44875</v>
      </c>
      <c r="B1949" s="116">
        <v>836.6</v>
      </c>
      <c r="C1949" s="116">
        <v>826.15</v>
      </c>
      <c r="D1949" s="116">
        <v>815.55</v>
      </c>
      <c r="E1949" s="116">
        <v>836.6</v>
      </c>
      <c r="F1949" s="116">
        <v>826.15</v>
      </c>
      <c r="G1949">
        <v>26682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44876</v>
      </c>
      <c r="B1950" s="116">
        <v>839.9</v>
      </c>
      <c r="C1950" s="116">
        <v>829.05</v>
      </c>
      <c r="D1950" s="116">
        <v>827</v>
      </c>
      <c r="E1950" s="116">
        <v>830</v>
      </c>
      <c r="F1950" s="116">
        <v>829.05</v>
      </c>
      <c r="G1950">
        <v>58860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44879</v>
      </c>
      <c r="B1951" s="116">
        <v>832</v>
      </c>
      <c r="C1951" s="116">
        <v>823.55</v>
      </c>
      <c r="D1951" s="116">
        <v>819.9</v>
      </c>
      <c r="E1951" s="116">
        <v>829.1</v>
      </c>
      <c r="F1951" s="116">
        <v>823.55</v>
      </c>
      <c r="G1951">
        <v>26389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44880</v>
      </c>
      <c r="B1952" s="116">
        <v>824.3</v>
      </c>
      <c r="C1952" s="116">
        <v>818.95</v>
      </c>
      <c r="D1952" s="116">
        <v>816.1</v>
      </c>
      <c r="E1952" s="116">
        <v>823.6</v>
      </c>
      <c r="F1952" s="116">
        <v>818.95</v>
      </c>
      <c r="G1952">
        <v>106579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44881</v>
      </c>
      <c r="B1953" s="116">
        <v>822.65</v>
      </c>
      <c r="C1953" s="116">
        <v>817.55</v>
      </c>
      <c r="D1953" s="116">
        <v>811.6</v>
      </c>
      <c r="E1953" s="116">
        <v>819.95</v>
      </c>
      <c r="F1953" s="116">
        <v>817.55</v>
      </c>
      <c r="G1953">
        <v>45007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44882</v>
      </c>
      <c r="B1954" s="116">
        <v>829.1</v>
      </c>
      <c r="C1954" s="116">
        <v>824.55</v>
      </c>
      <c r="D1954" s="116">
        <v>811.2</v>
      </c>
      <c r="E1954" s="116">
        <v>811.2</v>
      </c>
      <c r="F1954" s="116">
        <v>824.55</v>
      </c>
      <c r="G1954">
        <v>54206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44883</v>
      </c>
      <c r="B1955" s="116">
        <v>829</v>
      </c>
      <c r="C1955" s="116">
        <v>809.7</v>
      </c>
      <c r="D1955" s="116">
        <v>807.1</v>
      </c>
      <c r="E1955" s="116">
        <v>829</v>
      </c>
      <c r="F1955" s="116">
        <v>809.7</v>
      </c>
      <c r="G1955">
        <v>52231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44886</v>
      </c>
      <c r="B1956" s="116">
        <v>813.85</v>
      </c>
      <c r="C1956" s="116">
        <v>809.8</v>
      </c>
      <c r="D1956" s="116">
        <v>804</v>
      </c>
      <c r="E1956" s="116">
        <v>810</v>
      </c>
      <c r="F1956" s="116">
        <v>809.8</v>
      </c>
      <c r="G1956">
        <v>26184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44887</v>
      </c>
      <c r="B1957" s="116">
        <v>820.2</v>
      </c>
      <c r="C1957" s="116">
        <v>817.95</v>
      </c>
      <c r="D1957" s="116">
        <v>806.6</v>
      </c>
      <c r="E1957" s="116">
        <v>806.6</v>
      </c>
      <c r="F1957" s="116">
        <v>817.95</v>
      </c>
      <c r="G1957">
        <v>16914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44888</v>
      </c>
      <c r="B1958" s="116">
        <v>820.35</v>
      </c>
      <c r="C1958" s="116">
        <v>813.5</v>
      </c>
      <c r="D1958" s="116">
        <v>811.4</v>
      </c>
      <c r="E1958" s="116">
        <v>819.5</v>
      </c>
      <c r="F1958" s="116">
        <v>813.5</v>
      </c>
      <c r="G1958">
        <v>13489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44889</v>
      </c>
      <c r="B1959" s="116">
        <v>820</v>
      </c>
      <c r="C1959" s="116">
        <v>818.85</v>
      </c>
      <c r="D1959" s="116">
        <v>812</v>
      </c>
      <c r="E1959" s="116">
        <v>816</v>
      </c>
      <c r="F1959" s="116">
        <v>818.85</v>
      </c>
      <c r="G1959">
        <v>34433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44890</v>
      </c>
      <c r="B1960" s="116">
        <v>830.55</v>
      </c>
      <c r="C1960" s="116">
        <v>829</v>
      </c>
      <c r="D1960" s="116">
        <v>817.45</v>
      </c>
      <c r="E1960" s="116">
        <v>818.8</v>
      </c>
      <c r="F1960" s="116">
        <v>829</v>
      </c>
      <c r="G1960">
        <v>55032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44893</v>
      </c>
      <c r="B1961" s="116">
        <v>844.85</v>
      </c>
      <c r="C1961" s="116">
        <v>839.15</v>
      </c>
      <c r="D1961" s="116">
        <v>828.25</v>
      </c>
      <c r="E1961" s="116">
        <v>833.25</v>
      </c>
      <c r="F1961" s="116">
        <v>839.15</v>
      </c>
      <c r="G1961">
        <v>24704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44894</v>
      </c>
      <c r="B1962" s="116">
        <v>843.5</v>
      </c>
      <c r="C1962" s="116">
        <v>826.3</v>
      </c>
      <c r="D1962" s="116">
        <v>824.4</v>
      </c>
      <c r="E1962" s="116">
        <v>843</v>
      </c>
      <c r="F1962" s="116">
        <v>826.3</v>
      </c>
      <c r="G1962">
        <v>44240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44895</v>
      </c>
      <c r="B1963" s="116">
        <v>828.8</v>
      </c>
      <c r="C1963" s="116">
        <v>819.05</v>
      </c>
      <c r="D1963" s="116">
        <v>817.65</v>
      </c>
      <c r="E1963" s="116">
        <v>823.05</v>
      </c>
      <c r="F1963" s="116">
        <v>819.05</v>
      </c>
      <c r="G1963">
        <v>970257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44896</v>
      </c>
      <c r="B1964" s="116">
        <v>846</v>
      </c>
      <c r="C1964" s="116">
        <v>842.45</v>
      </c>
      <c r="D1964" s="116">
        <v>821</v>
      </c>
      <c r="E1964" s="116">
        <v>821</v>
      </c>
      <c r="F1964" s="116">
        <v>842.45</v>
      </c>
      <c r="G1964">
        <v>209515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44897</v>
      </c>
      <c r="B1965" s="116">
        <v>856</v>
      </c>
      <c r="C1965" s="116">
        <v>855.1</v>
      </c>
      <c r="D1965" s="116">
        <v>837.75</v>
      </c>
      <c r="E1965" s="116">
        <v>843.9</v>
      </c>
      <c r="F1965" s="116">
        <v>855.1</v>
      </c>
      <c r="G1965">
        <v>112616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44900</v>
      </c>
      <c r="B1966" s="116">
        <v>864.95</v>
      </c>
      <c r="C1966" s="116">
        <v>858.45</v>
      </c>
      <c r="D1966" s="116">
        <v>848.8</v>
      </c>
      <c r="E1966" s="116">
        <v>864.95</v>
      </c>
      <c r="F1966" s="116">
        <v>858.45</v>
      </c>
      <c r="G1966">
        <v>30564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44901</v>
      </c>
      <c r="B1967" s="116">
        <v>859.4</v>
      </c>
      <c r="C1967" s="116">
        <v>851</v>
      </c>
      <c r="D1967" s="116">
        <v>849</v>
      </c>
      <c r="E1967" s="116">
        <v>858.45</v>
      </c>
      <c r="F1967" s="116">
        <v>851</v>
      </c>
      <c r="G1967">
        <v>15753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44902</v>
      </c>
      <c r="B1968" s="116">
        <v>856.8</v>
      </c>
      <c r="C1968" s="116">
        <v>847.75</v>
      </c>
      <c r="D1968" s="116">
        <v>841.65</v>
      </c>
      <c r="E1968" s="116">
        <v>851</v>
      </c>
      <c r="F1968" s="116">
        <v>847.75</v>
      </c>
      <c r="G1968">
        <v>14946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44903</v>
      </c>
      <c r="B1969" s="116">
        <v>851.55</v>
      </c>
      <c r="C1969" s="116">
        <v>847.75</v>
      </c>
      <c r="D1969" s="116">
        <v>843.25</v>
      </c>
      <c r="E1969" s="116">
        <v>847.75</v>
      </c>
      <c r="F1969" s="116">
        <v>847.75</v>
      </c>
      <c r="G1969">
        <v>17153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44904</v>
      </c>
      <c r="B1970" s="116">
        <v>850</v>
      </c>
      <c r="C1970" s="116">
        <v>833.6</v>
      </c>
      <c r="D1970" s="116">
        <v>829</v>
      </c>
      <c r="E1970" s="116">
        <v>847.8</v>
      </c>
      <c r="F1970" s="116">
        <v>833.6</v>
      </c>
      <c r="G1970">
        <v>141612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44907</v>
      </c>
      <c r="B1971" s="116">
        <v>842</v>
      </c>
      <c r="C1971" s="116">
        <v>841.25</v>
      </c>
      <c r="D1971" s="116">
        <v>824.8</v>
      </c>
      <c r="E1971" s="116">
        <v>834.05</v>
      </c>
      <c r="F1971" s="116">
        <v>841.25</v>
      </c>
      <c r="G1971">
        <v>12458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44908</v>
      </c>
      <c r="B1972" s="116">
        <v>844.5</v>
      </c>
      <c r="C1972" s="116">
        <v>839.85</v>
      </c>
      <c r="D1972" s="116">
        <v>835.7</v>
      </c>
      <c r="E1972" s="116">
        <v>844.1</v>
      </c>
      <c r="F1972" s="116">
        <v>839.85</v>
      </c>
      <c r="G1972">
        <v>21546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44909</v>
      </c>
      <c r="B1973" s="116">
        <v>853.3</v>
      </c>
      <c r="C1973" s="116">
        <v>850.75</v>
      </c>
      <c r="D1973" s="116">
        <v>840.25</v>
      </c>
      <c r="E1973" s="116">
        <v>849.95</v>
      </c>
      <c r="F1973" s="116">
        <v>850.75</v>
      </c>
      <c r="G1973">
        <v>14387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44910</v>
      </c>
      <c r="B1974" s="116">
        <v>855.7</v>
      </c>
      <c r="C1974" s="116">
        <v>850.95</v>
      </c>
      <c r="D1974" s="116">
        <v>845.05</v>
      </c>
      <c r="E1974" s="116">
        <v>845.15</v>
      </c>
      <c r="F1974" s="116">
        <v>850.95</v>
      </c>
      <c r="G1974">
        <v>11024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44911</v>
      </c>
      <c r="B1975" s="116">
        <v>848.05</v>
      </c>
      <c r="C1975" s="116">
        <v>836.6</v>
      </c>
      <c r="D1975" s="116">
        <v>832</v>
      </c>
      <c r="E1975" s="116">
        <v>844</v>
      </c>
      <c r="F1975" s="116">
        <v>836.6</v>
      </c>
      <c r="G1975">
        <v>56113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44914</v>
      </c>
      <c r="B1976" s="116">
        <v>838.2</v>
      </c>
      <c r="C1976" s="116">
        <v>837.05</v>
      </c>
      <c r="D1976" s="116">
        <v>829</v>
      </c>
      <c r="E1976" s="116">
        <v>831.65</v>
      </c>
      <c r="F1976" s="116">
        <v>837.05</v>
      </c>
      <c r="G1976">
        <v>23261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44915</v>
      </c>
      <c r="B1977" s="116">
        <v>837</v>
      </c>
      <c r="C1977" s="116">
        <v>827.95</v>
      </c>
      <c r="D1977" s="116">
        <v>814.1</v>
      </c>
      <c r="E1977" s="116">
        <v>837</v>
      </c>
      <c r="F1977" s="116">
        <v>827.95</v>
      </c>
      <c r="G1977">
        <v>41929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44916</v>
      </c>
      <c r="B1978" s="116">
        <v>837.95</v>
      </c>
      <c r="C1978" s="116">
        <v>813.9</v>
      </c>
      <c r="D1978" s="116">
        <v>812</v>
      </c>
      <c r="E1978" s="116">
        <v>826.05</v>
      </c>
      <c r="F1978" s="116">
        <v>813.9</v>
      </c>
      <c r="G1978">
        <v>40900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44917</v>
      </c>
      <c r="B1979" s="116">
        <v>820.75</v>
      </c>
      <c r="C1979" s="116">
        <v>807.65</v>
      </c>
      <c r="D1979" s="116">
        <v>798.4</v>
      </c>
      <c r="E1979" s="116">
        <v>815.05</v>
      </c>
      <c r="F1979" s="116">
        <v>807.65</v>
      </c>
      <c r="G1979">
        <v>57610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44918</v>
      </c>
      <c r="B1980" s="116">
        <v>802.25</v>
      </c>
      <c r="C1980" s="116">
        <v>777.15</v>
      </c>
      <c r="D1980" s="116">
        <v>774.65</v>
      </c>
      <c r="E1980" s="116">
        <v>800.05</v>
      </c>
      <c r="F1980" s="116">
        <v>777.15</v>
      </c>
      <c r="G1980">
        <v>73438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44921</v>
      </c>
      <c r="B1981" s="116">
        <v>789.45</v>
      </c>
      <c r="C1981" s="116">
        <v>787</v>
      </c>
      <c r="D1981" s="116">
        <v>770.55</v>
      </c>
      <c r="E1981" s="116">
        <v>778</v>
      </c>
      <c r="F1981" s="116">
        <v>787</v>
      </c>
      <c r="G1981">
        <v>17352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44922</v>
      </c>
      <c r="B1982" s="116">
        <v>799.25</v>
      </c>
      <c r="C1982" s="116">
        <v>797.9</v>
      </c>
      <c r="D1982" s="116">
        <v>785.6</v>
      </c>
      <c r="E1982" s="116">
        <v>794.95</v>
      </c>
      <c r="F1982" s="116">
        <v>797.9</v>
      </c>
      <c r="G1982">
        <v>25264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44923</v>
      </c>
      <c r="B1983" s="116">
        <v>802.5</v>
      </c>
      <c r="C1983" s="116">
        <v>798</v>
      </c>
      <c r="D1983" s="116">
        <v>791.5</v>
      </c>
      <c r="E1983" s="116">
        <v>800</v>
      </c>
      <c r="F1983" s="116">
        <v>798</v>
      </c>
      <c r="G1983">
        <v>28555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44924</v>
      </c>
      <c r="B1984" s="116">
        <v>803.45</v>
      </c>
      <c r="C1984" s="116">
        <v>800.6</v>
      </c>
      <c r="D1984" s="116">
        <v>788.1</v>
      </c>
      <c r="E1984" s="116">
        <v>802.9</v>
      </c>
      <c r="F1984" s="116">
        <v>800.6</v>
      </c>
      <c r="G1984">
        <v>24077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44925</v>
      </c>
      <c r="B1985" s="116">
        <v>811.95</v>
      </c>
      <c r="C1985" s="116">
        <v>803.4</v>
      </c>
      <c r="D1985" s="116">
        <v>797.05</v>
      </c>
      <c r="E1985" s="116">
        <v>803.15</v>
      </c>
      <c r="F1985" s="116">
        <v>803.4</v>
      </c>
      <c r="G1985">
        <v>85511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44928</v>
      </c>
      <c r="B1986" s="116">
        <v>803.8</v>
      </c>
      <c r="C1986" s="116">
        <v>802.5</v>
      </c>
      <c r="D1986" s="116">
        <v>794.2</v>
      </c>
      <c r="E1986" s="116">
        <v>803.45</v>
      </c>
      <c r="F1986" s="116">
        <v>802.5</v>
      </c>
      <c r="G1986">
        <v>24556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44929</v>
      </c>
      <c r="B1987" s="116">
        <v>810.95</v>
      </c>
      <c r="C1987" s="116">
        <v>808.4</v>
      </c>
      <c r="D1987" s="116">
        <v>802.3</v>
      </c>
      <c r="E1987" s="116">
        <v>808</v>
      </c>
      <c r="F1987" s="116">
        <v>808.4</v>
      </c>
      <c r="G1987">
        <v>19875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44930</v>
      </c>
      <c r="B1988" s="116">
        <v>810.7</v>
      </c>
      <c r="C1988" s="116">
        <v>805.45</v>
      </c>
      <c r="D1988" s="116">
        <v>797</v>
      </c>
      <c r="E1988" s="116">
        <v>808.4</v>
      </c>
      <c r="F1988" s="116">
        <v>805.45</v>
      </c>
      <c r="G1988">
        <v>58787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44931</v>
      </c>
      <c r="B1989" s="116">
        <v>811.65</v>
      </c>
      <c r="C1989" s="116">
        <v>809.45</v>
      </c>
      <c r="D1989" s="116">
        <v>798.05</v>
      </c>
      <c r="E1989" s="116">
        <v>808.05</v>
      </c>
      <c r="F1989" s="116">
        <v>809.45</v>
      </c>
      <c r="G1989">
        <v>13603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44932</v>
      </c>
      <c r="B1990" s="116">
        <v>824.65</v>
      </c>
      <c r="C1990" s="116">
        <v>814.35</v>
      </c>
      <c r="D1990" s="116">
        <v>806</v>
      </c>
      <c r="E1990" s="116">
        <v>806</v>
      </c>
      <c r="F1990" s="116">
        <v>814.35</v>
      </c>
      <c r="G1990">
        <v>17841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44935</v>
      </c>
      <c r="B1991" s="116">
        <v>824.95</v>
      </c>
      <c r="C1991" s="116">
        <v>820.5</v>
      </c>
      <c r="D1991" s="116">
        <v>814.35</v>
      </c>
      <c r="E1991" s="116">
        <v>824.95</v>
      </c>
      <c r="F1991" s="116">
        <v>820.5</v>
      </c>
      <c r="G1991">
        <v>11056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44936</v>
      </c>
      <c r="B1992" s="116">
        <v>826.8</v>
      </c>
      <c r="C1992" s="116">
        <v>825.65</v>
      </c>
      <c r="D1992" s="116">
        <v>811.4</v>
      </c>
      <c r="E1992" s="116">
        <v>817.05</v>
      </c>
      <c r="F1992" s="116">
        <v>825.65</v>
      </c>
      <c r="G1992">
        <v>25848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44937</v>
      </c>
      <c r="B1993" s="116">
        <v>833.9</v>
      </c>
      <c r="C1993" s="116">
        <v>830.6</v>
      </c>
      <c r="D1993" s="116">
        <v>818.05</v>
      </c>
      <c r="E1993" s="116">
        <v>818.05</v>
      </c>
      <c r="F1993" s="116">
        <v>830.6</v>
      </c>
      <c r="G1993">
        <v>88365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44938</v>
      </c>
      <c r="B1994" s="116">
        <v>840.2</v>
      </c>
      <c r="C1994" s="116">
        <v>808.15</v>
      </c>
      <c r="D1994" s="116">
        <v>805.85</v>
      </c>
      <c r="E1994" s="116">
        <v>840.2</v>
      </c>
      <c r="F1994" s="116">
        <v>808.15</v>
      </c>
      <c r="G1994">
        <v>25405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44939</v>
      </c>
      <c r="B1995" s="116">
        <v>812.5</v>
      </c>
      <c r="C1995" s="116">
        <v>805.9</v>
      </c>
      <c r="D1995" s="116">
        <v>800.4</v>
      </c>
      <c r="E1995" s="116">
        <v>809</v>
      </c>
      <c r="F1995" s="116">
        <v>805.9</v>
      </c>
      <c r="G1995">
        <v>15740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44942</v>
      </c>
      <c r="B1996" s="116">
        <v>810.7</v>
      </c>
      <c r="C1996" s="116">
        <v>805.55</v>
      </c>
      <c r="D1996" s="116">
        <v>803.7</v>
      </c>
      <c r="E1996" s="116">
        <v>806.05</v>
      </c>
      <c r="F1996" s="116">
        <v>805.55</v>
      </c>
      <c r="G1996">
        <v>9442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44943</v>
      </c>
      <c r="B1997" s="116">
        <v>813.5</v>
      </c>
      <c r="C1997" s="116">
        <v>809.95</v>
      </c>
      <c r="D1997" s="116">
        <v>806.4</v>
      </c>
      <c r="E1997" s="116">
        <v>809.95</v>
      </c>
      <c r="F1997" s="116">
        <v>809.95</v>
      </c>
      <c r="G1997">
        <v>16219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44944</v>
      </c>
      <c r="B1998" s="116">
        <v>817.95</v>
      </c>
      <c r="C1998" s="116">
        <v>802.75</v>
      </c>
      <c r="D1998" s="116">
        <v>800.25</v>
      </c>
      <c r="E1998" s="116">
        <v>809.95</v>
      </c>
      <c r="F1998" s="116">
        <v>802.75</v>
      </c>
      <c r="G1998">
        <v>13833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44945</v>
      </c>
      <c r="B1999" s="116">
        <v>802.65</v>
      </c>
      <c r="C1999" s="116">
        <v>789.6</v>
      </c>
      <c r="D1999" s="116">
        <v>785.25</v>
      </c>
      <c r="E1999" s="116">
        <v>800.15</v>
      </c>
      <c r="F1999" s="116">
        <v>789.6</v>
      </c>
      <c r="G1999">
        <v>41495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44946</v>
      </c>
      <c r="B2000" s="116">
        <v>794.3</v>
      </c>
      <c r="C2000" s="116">
        <v>779.45</v>
      </c>
      <c r="D2000" s="116">
        <v>777.8</v>
      </c>
      <c r="E2000" s="116">
        <v>789.4</v>
      </c>
      <c r="F2000" s="116">
        <v>779.45</v>
      </c>
      <c r="G2000">
        <v>16823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44949</v>
      </c>
      <c r="B2001" s="116">
        <v>784.05</v>
      </c>
      <c r="C2001" s="116">
        <v>777.1</v>
      </c>
      <c r="D2001" s="116">
        <v>769.1</v>
      </c>
      <c r="E2001" s="116">
        <v>781.05</v>
      </c>
      <c r="F2001" s="116">
        <v>777.1</v>
      </c>
      <c r="G2001">
        <v>67591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44950</v>
      </c>
      <c r="B2002" s="116">
        <v>783.4</v>
      </c>
      <c r="C2002" s="116">
        <v>777.85</v>
      </c>
      <c r="D2002" s="116">
        <v>775.4</v>
      </c>
      <c r="E2002" s="116">
        <v>777.1</v>
      </c>
      <c r="F2002" s="116">
        <v>777.85</v>
      </c>
      <c r="G2002">
        <v>19884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44951</v>
      </c>
      <c r="B2003" s="116">
        <v>778.1</v>
      </c>
      <c r="C2003" s="116">
        <v>756.95</v>
      </c>
      <c r="D2003" s="116">
        <v>752.05</v>
      </c>
      <c r="E2003" s="116">
        <v>778.1</v>
      </c>
      <c r="F2003" s="116">
        <v>756.95</v>
      </c>
      <c r="G2003">
        <v>30921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44953</v>
      </c>
      <c r="B2004" s="116">
        <v>761</v>
      </c>
      <c r="C2004" s="116">
        <v>745.25</v>
      </c>
      <c r="D2004" s="116">
        <v>737.6</v>
      </c>
      <c r="E2004" s="116">
        <v>760</v>
      </c>
      <c r="F2004" s="116">
        <v>745.25</v>
      </c>
      <c r="G2004">
        <v>61239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44956</v>
      </c>
      <c r="B2005" s="116">
        <v>779</v>
      </c>
      <c r="C2005" s="116">
        <v>774.9</v>
      </c>
      <c r="D2005" s="116">
        <v>744.9</v>
      </c>
      <c r="E2005" s="116">
        <v>745.25</v>
      </c>
      <c r="F2005" s="116">
        <v>774.9</v>
      </c>
      <c r="G2005">
        <v>89251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44957</v>
      </c>
      <c r="B2006" s="116">
        <v>805</v>
      </c>
      <c r="C2006" s="116">
        <v>802.35</v>
      </c>
      <c r="D2006" s="116">
        <v>777</v>
      </c>
      <c r="E2006" s="116">
        <v>778.9</v>
      </c>
      <c r="F2006" s="116">
        <v>802.35</v>
      </c>
      <c r="G2006">
        <v>28452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44958</v>
      </c>
      <c r="B2007" s="116">
        <v>815.85</v>
      </c>
      <c r="C2007" s="116">
        <v>794.75</v>
      </c>
      <c r="D2007" s="116">
        <v>784.6</v>
      </c>
      <c r="E2007" s="116">
        <v>802.35</v>
      </c>
      <c r="F2007" s="116">
        <v>794.75</v>
      </c>
      <c r="G2007">
        <v>37038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44959</v>
      </c>
      <c r="B2008" s="116">
        <v>823.6</v>
      </c>
      <c r="C2008" s="116">
        <v>821.7</v>
      </c>
      <c r="D2008" s="116">
        <v>790.5</v>
      </c>
      <c r="E2008" s="116">
        <v>804.95</v>
      </c>
      <c r="F2008" s="116">
        <v>821.7</v>
      </c>
      <c r="G2008">
        <v>76770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44960</v>
      </c>
      <c r="B2009" s="116">
        <v>825.1</v>
      </c>
      <c r="C2009" s="116">
        <v>812.7</v>
      </c>
      <c r="D2009" s="116">
        <v>809</v>
      </c>
      <c r="E2009" s="116">
        <v>823</v>
      </c>
      <c r="F2009" s="116">
        <v>812.7</v>
      </c>
      <c r="G2009">
        <v>43570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44963</v>
      </c>
      <c r="B2010" s="116">
        <v>828.95</v>
      </c>
      <c r="C2010" s="116">
        <v>827.05</v>
      </c>
      <c r="D2010" s="116">
        <v>808</v>
      </c>
      <c r="E2010" s="116">
        <v>810</v>
      </c>
      <c r="F2010" s="116">
        <v>827.05</v>
      </c>
      <c r="G2010">
        <v>21001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44964</v>
      </c>
      <c r="B2011" s="116">
        <v>831</v>
      </c>
      <c r="C2011" s="116">
        <v>815.55</v>
      </c>
      <c r="D2011" s="116">
        <v>806.35</v>
      </c>
      <c r="E2011" s="116">
        <v>828.5</v>
      </c>
      <c r="F2011" s="116">
        <v>815.55</v>
      </c>
      <c r="G2011">
        <v>65918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44965</v>
      </c>
      <c r="B2012" s="116">
        <v>832.3</v>
      </c>
      <c r="C2012" s="116">
        <v>826.85</v>
      </c>
      <c r="D2012" s="116">
        <v>809.25</v>
      </c>
      <c r="E2012" s="116">
        <v>816.3</v>
      </c>
      <c r="F2012" s="116">
        <v>826.85</v>
      </c>
      <c r="G2012">
        <v>48866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44966</v>
      </c>
      <c r="B2013" s="116">
        <v>833.95</v>
      </c>
      <c r="C2013" s="116">
        <v>825.05</v>
      </c>
      <c r="D2013" s="116">
        <v>812.8</v>
      </c>
      <c r="E2013" s="116">
        <v>833.95</v>
      </c>
      <c r="F2013" s="116">
        <v>825.05</v>
      </c>
      <c r="G2013">
        <v>19643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44967</v>
      </c>
      <c r="B2014" s="116">
        <v>856</v>
      </c>
      <c r="C2014" s="116">
        <v>849.95</v>
      </c>
      <c r="D2014" s="116">
        <v>788.2</v>
      </c>
      <c r="E2014" s="116">
        <v>801.05</v>
      </c>
      <c r="F2014" s="116">
        <v>849.95</v>
      </c>
      <c r="G2014">
        <v>261329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44970</v>
      </c>
      <c r="B2015" s="116">
        <v>854.25</v>
      </c>
      <c r="C2015" s="116">
        <v>848.7</v>
      </c>
      <c r="D2015" s="116">
        <v>835.7</v>
      </c>
      <c r="E2015" s="116">
        <v>850</v>
      </c>
      <c r="F2015" s="116">
        <v>848.7</v>
      </c>
      <c r="G2015">
        <v>68694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44971</v>
      </c>
      <c r="B2016" s="116">
        <v>871</v>
      </c>
      <c r="C2016" s="116">
        <v>856.1</v>
      </c>
      <c r="D2016" s="116">
        <v>842.9</v>
      </c>
      <c r="E2016" s="116">
        <v>842.9</v>
      </c>
      <c r="F2016" s="116">
        <v>856.1</v>
      </c>
      <c r="G2016">
        <v>87086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44972</v>
      </c>
      <c r="B2017" s="116">
        <v>861.95</v>
      </c>
      <c r="C2017" s="116">
        <v>859.45</v>
      </c>
      <c r="D2017" s="116">
        <v>848.65</v>
      </c>
      <c r="E2017" s="116">
        <v>855.85</v>
      </c>
      <c r="F2017" s="116">
        <v>859.45</v>
      </c>
      <c r="G2017">
        <v>13179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44973</v>
      </c>
      <c r="B2018" s="116">
        <v>868.5</v>
      </c>
      <c r="C2018" s="116">
        <v>862.85</v>
      </c>
      <c r="D2018" s="116">
        <v>854.1</v>
      </c>
      <c r="E2018" s="116">
        <v>859</v>
      </c>
      <c r="F2018" s="116">
        <v>862.85</v>
      </c>
      <c r="G2018">
        <v>50967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44974</v>
      </c>
      <c r="B2019" s="116">
        <v>862.85</v>
      </c>
      <c r="C2019" s="116">
        <v>854.6</v>
      </c>
      <c r="D2019" s="116">
        <v>849.6</v>
      </c>
      <c r="E2019" s="116">
        <v>860.95</v>
      </c>
      <c r="F2019" s="116">
        <v>854.6</v>
      </c>
      <c r="G2019">
        <v>11694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44977</v>
      </c>
      <c r="B2020" s="116">
        <v>882.5</v>
      </c>
      <c r="C2020" s="116">
        <v>873.2</v>
      </c>
      <c r="D2020" s="116">
        <v>850.55</v>
      </c>
      <c r="E2020" s="116">
        <v>855.6</v>
      </c>
      <c r="F2020" s="116">
        <v>873.2</v>
      </c>
      <c r="G2020">
        <v>48254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44978</v>
      </c>
      <c r="B2021" s="116">
        <v>897.5</v>
      </c>
      <c r="C2021" s="116">
        <v>894.7</v>
      </c>
      <c r="D2021" s="116">
        <v>873.2</v>
      </c>
      <c r="E2021" s="116">
        <v>876.9</v>
      </c>
      <c r="F2021" s="116">
        <v>894.7</v>
      </c>
      <c r="G2021">
        <v>216922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44979</v>
      </c>
      <c r="B2022" s="116">
        <v>927.75</v>
      </c>
      <c r="C2022" s="116">
        <v>913.95</v>
      </c>
      <c r="D2022" s="116">
        <v>897.75</v>
      </c>
      <c r="E2022" s="116">
        <v>899.8</v>
      </c>
      <c r="F2022" s="116">
        <v>913.95</v>
      </c>
      <c r="G2022">
        <v>293957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44980</v>
      </c>
      <c r="B2023" s="116">
        <v>919.7</v>
      </c>
      <c r="C2023" s="116">
        <v>900.85</v>
      </c>
      <c r="D2023" s="116">
        <v>899</v>
      </c>
      <c r="E2023" s="116">
        <v>918.85</v>
      </c>
      <c r="F2023" s="116">
        <v>900.85</v>
      </c>
      <c r="G2023">
        <v>55044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44981</v>
      </c>
      <c r="B2024" s="116">
        <v>910.55</v>
      </c>
      <c r="C2024" s="116">
        <v>895.35</v>
      </c>
      <c r="D2024" s="116">
        <v>892.2</v>
      </c>
      <c r="E2024" s="116">
        <v>905</v>
      </c>
      <c r="F2024" s="116">
        <v>895.35</v>
      </c>
      <c r="G2024">
        <v>92697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44984</v>
      </c>
      <c r="B2025" s="116">
        <v>889</v>
      </c>
      <c r="C2025" s="116">
        <v>887.2</v>
      </c>
      <c r="D2025" s="116">
        <v>865.4</v>
      </c>
      <c r="E2025" s="116">
        <v>886.05</v>
      </c>
      <c r="F2025" s="116">
        <v>887.2</v>
      </c>
      <c r="G2025">
        <v>94712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44985</v>
      </c>
      <c r="B2026" s="116">
        <v>905.75</v>
      </c>
      <c r="C2026" s="116">
        <v>891.95</v>
      </c>
      <c r="D2026" s="116">
        <v>885</v>
      </c>
      <c r="E2026" s="116">
        <v>887.2</v>
      </c>
      <c r="F2026" s="116">
        <v>891.95</v>
      </c>
      <c r="G2026">
        <v>44337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44986</v>
      </c>
      <c r="B2027" s="116">
        <v>906.95</v>
      </c>
      <c r="C2027" s="116">
        <v>899.9</v>
      </c>
      <c r="D2027" s="116">
        <v>891.5</v>
      </c>
      <c r="E2027" s="116">
        <v>898</v>
      </c>
      <c r="F2027" s="116">
        <v>899.9</v>
      </c>
      <c r="G2027">
        <v>42199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44987</v>
      </c>
      <c r="B2028" s="116">
        <v>924.8</v>
      </c>
      <c r="C2028" s="116">
        <v>918.6</v>
      </c>
      <c r="D2028" s="116">
        <v>898.85</v>
      </c>
      <c r="E2028" s="116">
        <v>900</v>
      </c>
      <c r="F2028" s="116">
        <v>918.6</v>
      </c>
      <c r="G2028">
        <v>117435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44988</v>
      </c>
      <c r="B2029" s="116">
        <v>933.5</v>
      </c>
      <c r="C2029" s="116">
        <v>912.45</v>
      </c>
      <c r="D2029" s="116">
        <v>910.65</v>
      </c>
      <c r="E2029" s="116">
        <v>918.6</v>
      </c>
      <c r="F2029" s="116">
        <v>912.45</v>
      </c>
      <c r="G2029">
        <v>54626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44991</v>
      </c>
      <c r="B2030" s="116">
        <v>920.75</v>
      </c>
      <c r="C2030" s="116">
        <v>912.15</v>
      </c>
      <c r="D2030" s="116">
        <v>909.55</v>
      </c>
      <c r="E2030" s="116">
        <v>914.85</v>
      </c>
      <c r="F2030" s="116">
        <v>912.15</v>
      </c>
      <c r="G2030">
        <v>17008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44993</v>
      </c>
      <c r="B2031" s="116">
        <v>915.35</v>
      </c>
      <c r="C2031" s="116">
        <v>909.75</v>
      </c>
      <c r="D2031" s="116">
        <v>887.9</v>
      </c>
      <c r="E2031" s="116">
        <v>910</v>
      </c>
      <c r="F2031" s="116">
        <v>909.75</v>
      </c>
      <c r="G2031">
        <v>17794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44994</v>
      </c>
      <c r="B2032" s="116">
        <v>916.65</v>
      </c>
      <c r="C2032" s="116">
        <v>891.45</v>
      </c>
      <c r="D2032" s="116">
        <v>888.55</v>
      </c>
      <c r="E2032" s="116">
        <v>906.15</v>
      </c>
      <c r="F2032" s="116">
        <v>891.45</v>
      </c>
      <c r="G2032">
        <v>45647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44995</v>
      </c>
      <c r="B2033" s="116">
        <v>897.85</v>
      </c>
      <c r="C2033" s="116">
        <v>893.3</v>
      </c>
      <c r="D2033" s="116">
        <v>880.05</v>
      </c>
      <c r="E2033" s="116">
        <v>885</v>
      </c>
      <c r="F2033" s="116">
        <v>893.3</v>
      </c>
      <c r="G2033">
        <v>36012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44998</v>
      </c>
      <c r="B2034" s="116">
        <v>902.45</v>
      </c>
      <c r="C2034" s="116">
        <v>883.9</v>
      </c>
      <c r="D2034" s="116">
        <v>880.25</v>
      </c>
      <c r="E2034" s="116">
        <v>893.3</v>
      </c>
      <c r="F2034" s="116">
        <v>883.9</v>
      </c>
      <c r="G2034">
        <v>25778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44999</v>
      </c>
      <c r="B2035" s="116">
        <v>889.6</v>
      </c>
      <c r="C2035" s="116">
        <v>863.35</v>
      </c>
      <c r="D2035" s="116">
        <v>862.15</v>
      </c>
      <c r="E2035" s="116">
        <v>880.3</v>
      </c>
      <c r="F2035" s="116">
        <v>863.35</v>
      </c>
      <c r="G2035">
        <v>27423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45000</v>
      </c>
      <c r="B2036" s="116">
        <v>891</v>
      </c>
      <c r="C2036" s="116">
        <v>873.8</v>
      </c>
      <c r="D2036" s="116">
        <v>868.95</v>
      </c>
      <c r="E2036" s="116">
        <v>868.95</v>
      </c>
      <c r="F2036" s="116">
        <v>873.8</v>
      </c>
      <c r="G2036">
        <v>31716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45001</v>
      </c>
      <c r="B2037" s="116">
        <v>884.15</v>
      </c>
      <c r="C2037" s="116">
        <v>880.85</v>
      </c>
      <c r="D2037" s="116">
        <v>863.7</v>
      </c>
      <c r="E2037" s="116">
        <v>870.05</v>
      </c>
      <c r="F2037" s="116">
        <v>880.85</v>
      </c>
      <c r="G2037">
        <v>21727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45002</v>
      </c>
      <c r="B2038" s="116">
        <v>905</v>
      </c>
      <c r="C2038" s="116">
        <v>879.85</v>
      </c>
      <c r="D2038" s="116">
        <v>878.4</v>
      </c>
      <c r="E2038" s="116">
        <v>900</v>
      </c>
      <c r="F2038" s="116">
        <v>879.85</v>
      </c>
      <c r="G2038">
        <v>39358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45005</v>
      </c>
      <c r="B2039" s="116">
        <v>879.9</v>
      </c>
      <c r="C2039" s="116">
        <v>851.1</v>
      </c>
      <c r="D2039" s="116">
        <v>844.2</v>
      </c>
      <c r="E2039" s="116">
        <v>879.85</v>
      </c>
      <c r="F2039" s="116">
        <v>851.1</v>
      </c>
      <c r="G2039">
        <v>30754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45006</v>
      </c>
      <c r="B2040" s="116">
        <v>858.45</v>
      </c>
      <c r="C2040" s="116">
        <v>838.15</v>
      </c>
      <c r="D2040" s="116">
        <v>834.5</v>
      </c>
      <c r="E2040" s="116">
        <v>851</v>
      </c>
      <c r="F2040" s="116">
        <v>838.15</v>
      </c>
      <c r="G2040">
        <v>102053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45007</v>
      </c>
      <c r="B2041" s="116">
        <v>848.3</v>
      </c>
      <c r="C2041" s="116">
        <v>844.65</v>
      </c>
      <c r="D2041" s="116">
        <v>835.5</v>
      </c>
      <c r="E2041" s="116">
        <v>846.95</v>
      </c>
      <c r="F2041" s="116">
        <v>844.65</v>
      </c>
      <c r="G2041">
        <v>35896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45008</v>
      </c>
      <c r="B2042" s="116">
        <v>847.7</v>
      </c>
      <c r="C2042" s="116">
        <v>833.5</v>
      </c>
      <c r="D2042" s="116">
        <v>831.7</v>
      </c>
      <c r="E2042" s="116">
        <v>840.1</v>
      </c>
      <c r="F2042" s="116">
        <v>833.5</v>
      </c>
      <c r="G2042">
        <v>16031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45009</v>
      </c>
      <c r="B2043" s="116">
        <v>836.05</v>
      </c>
      <c r="C2043" s="116">
        <v>821.7</v>
      </c>
      <c r="D2043" s="116">
        <v>816.6</v>
      </c>
      <c r="E2043" s="116">
        <v>831.05</v>
      </c>
      <c r="F2043" s="116">
        <v>821.7</v>
      </c>
      <c r="G2043">
        <v>38284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45012</v>
      </c>
      <c r="B2044" s="116">
        <v>829.4</v>
      </c>
      <c r="C2044" s="116">
        <v>822.85</v>
      </c>
      <c r="D2044" s="116">
        <v>811.8</v>
      </c>
      <c r="E2044" s="116">
        <v>820.05</v>
      </c>
      <c r="F2044" s="116">
        <v>822.85</v>
      </c>
      <c r="G2044">
        <v>15030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45013</v>
      </c>
      <c r="B2045" s="116">
        <v>826.2</v>
      </c>
      <c r="C2045" s="116">
        <v>812.3</v>
      </c>
      <c r="D2045" s="116">
        <v>808</v>
      </c>
      <c r="E2045" s="116">
        <v>823.05</v>
      </c>
      <c r="F2045" s="116">
        <v>812.3</v>
      </c>
      <c r="G2045">
        <v>9678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45014</v>
      </c>
      <c r="B2046" s="116">
        <v>816.75</v>
      </c>
      <c r="C2046" s="116">
        <v>811.65</v>
      </c>
      <c r="D2046" s="116">
        <v>805.55</v>
      </c>
      <c r="E2046" s="116">
        <v>812.95</v>
      </c>
      <c r="F2046" s="116">
        <v>811.65</v>
      </c>
      <c r="G2046">
        <v>23792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45016</v>
      </c>
      <c r="B2047" s="116">
        <v>822</v>
      </c>
      <c r="C2047" s="116">
        <v>818.25</v>
      </c>
      <c r="D2047" s="116">
        <v>811.75</v>
      </c>
      <c r="E2047" s="116">
        <v>811.75</v>
      </c>
      <c r="F2047" s="116">
        <v>818.25</v>
      </c>
      <c r="G2047">
        <v>50945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45019</v>
      </c>
      <c r="B2048" s="116">
        <v>824.95</v>
      </c>
      <c r="C2048" s="116">
        <v>823.15</v>
      </c>
      <c r="D2048" s="116">
        <v>817.05</v>
      </c>
      <c r="E2048" s="116">
        <v>824</v>
      </c>
      <c r="F2048" s="116">
        <v>823.15</v>
      </c>
      <c r="G2048">
        <v>17283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45021</v>
      </c>
      <c r="B2049" s="116">
        <v>824.7</v>
      </c>
      <c r="C2049" s="116">
        <v>818.4</v>
      </c>
      <c r="D2049" s="116">
        <v>815.55</v>
      </c>
      <c r="E2049" s="116">
        <v>824.7</v>
      </c>
      <c r="F2049" s="116">
        <v>818.4</v>
      </c>
      <c r="G2049">
        <v>9495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45022</v>
      </c>
      <c r="B2050" s="116">
        <v>832.2</v>
      </c>
      <c r="C2050" s="116">
        <v>831.2</v>
      </c>
      <c r="D2050" s="116">
        <v>815.2</v>
      </c>
      <c r="E2050" s="116">
        <v>815.2</v>
      </c>
      <c r="F2050" s="116">
        <v>831.2</v>
      </c>
      <c r="G2050">
        <v>37212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45026</v>
      </c>
      <c r="B2051" s="116">
        <v>847.2</v>
      </c>
      <c r="C2051" s="116">
        <v>822.55</v>
      </c>
      <c r="D2051" s="116">
        <v>818.7</v>
      </c>
      <c r="E2051" s="116">
        <v>847.2</v>
      </c>
      <c r="F2051" s="116">
        <v>822.55</v>
      </c>
      <c r="G2051">
        <v>57433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45027</v>
      </c>
      <c r="B2052" s="116">
        <v>828.35</v>
      </c>
      <c r="C2052" s="116">
        <v>813.95</v>
      </c>
      <c r="D2052" s="116">
        <v>811.6</v>
      </c>
      <c r="E2052" s="116">
        <v>823.05</v>
      </c>
      <c r="F2052" s="116">
        <v>813.95</v>
      </c>
      <c r="G2052">
        <v>15313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45028</v>
      </c>
      <c r="B2053" s="116">
        <v>821.5</v>
      </c>
      <c r="C2053" s="116">
        <v>817.05</v>
      </c>
      <c r="D2053" s="116">
        <v>813.9</v>
      </c>
      <c r="E2053" s="116">
        <v>819.85</v>
      </c>
      <c r="F2053" s="116">
        <v>817.05</v>
      </c>
      <c r="G2053">
        <v>25020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45029</v>
      </c>
      <c r="B2054" s="116">
        <v>824.7</v>
      </c>
      <c r="C2054" s="116">
        <v>823.45</v>
      </c>
      <c r="D2054" s="116">
        <v>813.3</v>
      </c>
      <c r="E2054" s="116">
        <v>818</v>
      </c>
      <c r="F2054" s="116">
        <v>823.45</v>
      </c>
      <c r="G2054">
        <v>55860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45033</v>
      </c>
      <c r="B2055" s="116">
        <v>839.7</v>
      </c>
      <c r="C2055" s="116">
        <v>835.45</v>
      </c>
      <c r="D2055" s="116">
        <v>812.7</v>
      </c>
      <c r="E2055" s="116">
        <v>829.2</v>
      </c>
      <c r="F2055" s="116">
        <v>835.45</v>
      </c>
      <c r="G2055">
        <v>34531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45034</v>
      </c>
      <c r="B2056" s="116">
        <v>844.75</v>
      </c>
      <c r="C2056" s="116">
        <v>835.15</v>
      </c>
      <c r="D2056" s="116">
        <v>828.7</v>
      </c>
      <c r="E2056" s="116">
        <v>840</v>
      </c>
      <c r="F2056" s="116">
        <v>835.15</v>
      </c>
      <c r="G2056">
        <v>40142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45035</v>
      </c>
      <c r="B2057" s="116">
        <v>853.2</v>
      </c>
      <c r="C2057" s="116">
        <v>851.45</v>
      </c>
      <c r="D2057" s="116">
        <v>832.55</v>
      </c>
      <c r="E2057" s="116">
        <v>836.95</v>
      </c>
      <c r="F2057" s="116">
        <v>851.45</v>
      </c>
      <c r="G2057">
        <v>40124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45036</v>
      </c>
      <c r="B2058" s="116">
        <v>868</v>
      </c>
      <c r="C2058" s="116">
        <v>867.25</v>
      </c>
      <c r="D2058" s="116">
        <v>846.65</v>
      </c>
      <c r="E2058" s="116">
        <v>851.45</v>
      </c>
      <c r="F2058" s="116">
        <v>867.25</v>
      </c>
      <c r="G2058">
        <v>420166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45037</v>
      </c>
      <c r="B2059" s="116">
        <v>870.8</v>
      </c>
      <c r="C2059" s="116">
        <v>856.95</v>
      </c>
      <c r="D2059" s="116">
        <v>855</v>
      </c>
      <c r="E2059" s="116">
        <v>870.8</v>
      </c>
      <c r="F2059" s="116">
        <v>856.95</v>
      </c>
      <c r="G2059">
        <v>22327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45040</v>
      </c>
      <c r="B2060" s="116">
        <v>867.65</v>
      </c>
      <c r="C2060" s="116">
        <v>847.7</v>
      </c>
      <c r="D2060" s="116">
        <v>845.5</v>
      </c>
      <c r="E2060" s="116">
        <v>856.95</v>
      </c>
      <c r="F2060" s="116">
        <v>847.7</v>
      </c>
      <c r="G2060">
        <v>24547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45041</v>
      </c>
      <c r="B2061" s="116">
        <v>851.55</v>
      </c>
      <c r="C2061" s="116">
        <v>843.6</v>
      </c>
      <c r="D2061" s="116">
        <v>841.7</v>
      </c>
      <c r="E2061" s="116">
        <v>845.35</v>
      </c>
      <c r="F2061" s="116">
        <v>843.6</v>
      </c>
      <c r="G2061">
        <v>25276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45042</v>
      </c>
      <c r="B2062" s="116">
        <v>866.7</v>
      </c>
      <c r="C2062" s="116">
        <v>855.05</v>
      </c>
      <c r="D2062" s="116">
        <v>840.1</v>
      </c>
      <c r="E2062" s="116">
        <v>840.1</v>
      </c>
      <c r="F2062" s="116">
        <v>855.05</v>
      </c>
      <c r="G2062">
        <v>87020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45043</v>
      </c>
      <c r="B2063" s="116">
        <v>847</v>
      </c>
      <c r="C2063" s="116">
        <v>808.8</v>
      </c>
      <c r="D2063" s="116">
        <v>804.7</v>
      </c>
      <c r="E2063" s="116">
        <v>830.6</v>
      </c>
      <c r="F2063" s="116">
        <v>808.8</v>
      </c>
      <c r="G2063">
        <v>220146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45044</v>
      </c>
      <c r="B2064" s="116">
        <v>808</v>
      </c>
      <c r="C2064" s="116">
        <v>798.9</v>
      </c>
      <c r="D2064" s="116">
        <v>762.8</v>
      </c>
      <c r="E2064" s="116">
        <v>808</v>
      </c>
      <c r="F2064" s="116">
        <v>798.9</v>
      </c>
      <c r="G2064">
        <v>344454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45048</v>
      </c>
      <c r="B2065" s="116">
        <v>810</v>
      </c>
      <c r="C2065" s="116">
        <v>802</v>
      </c>
      <c r="D2065" s="116">
        <v>793.1</v>
      </c>
      <c r="E2065" s="116">
        <v>796.95</v>
      </c>
      <c r="F2065" s="116">
        <v>802</v>
      </c>
      <c r="G2065">
        <v>42062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45049</v>
      </c>
      <c r="B2066" s="116">
        <v>818</v>
      </c>
      <c r="C2066" s="116">
        <v>809.8</v>
      </c>
      <c r="D2066" s="116">
        <v>795.1</v>
      </c>
      <c r="E2066" s="116">
        <v>795.1</v>
      </c>
      <c r="F2066" s="116">
        <v>809.8</v>
      </c>
      <c r="G2066">
        <v>84031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45050</v>
      </c>
      <c r="B2067" s="116">
        <v>814.8</v>
      </c>
      <c r="C2067" s="116">
        <v>802.2</v>
      </c>
      <c r="D2067" s="116">
        <v>800.6</v>
      </c>
      <c r="E2067" s="116">
        <v>812.1</v>
      </c>
      <c r="F2067" s="116">
        <v>802.2</v>
      </c>
      <c r="G2067">
        <v>26574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45051</v>
      </c>
      <c r="B2068" s="116">
        <v>808.8</v>
      </c>
      <c r="C2068" s="116">
        <v>798.5</v>
      </c>
      <c r="D2068" s="116">
        <v>796.1</v>
      </c>
      <c r="E2068" s="116">
        <v>797.4</v>
      </c>
      <c r="F2068" s="116">
        <v>798.5</v>
      </c>
      <c r="G2068">
        <v>76208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45054</v>
      </c>
      <c r="B2069" s="116">
        <v>807.25</v>
      </c>
      <c r="C2069" s="116">
        <v>803.15</v>
      </c>
      <c r="D2069" s="116">
        <v>799</v>
      </c>
      <c r="E2069" s="116">
        <v>799.55</v>
      </c>
      <c r="F2069" s="116">
        <v>803.15</v>
      </c>
      <c r="G2069">
        <v>35655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45055</v>
      </c>
      <c r="B2070" s="116">
        <v>808.45</v>
      </c>
      <c r="C2070" s="116">
        <v>803.45</v>
      </c>
      <c r="D2070" s="116">
        <v>801.35</v>
      </c>
      <c r="E2070" s="116">
        <v>803</v>
      </c>
      <c r="F2070" s="116">
        <v>803.45</v>
      </c>
      <c r="G2070">
        <v>16030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45056</v>
      </c>
      <c r="B2071" s="116">
        <v>808.25</v>
      </c>
      <c r="C2071" s="116">
        <v>807.25</v>
      </c>
      <c r="D2071" s="116">
        <v>798.65</v>
      </c>
      <c r="E2071" s="116">
        <v>804.3</v>
      </c>
      <c r="F2071" s="116">
        <v>807.25</v>
      </c>
      <c r="G2071">
        <v>17300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45057</v>
      </c>
      <c r="B2072" s="116">
        <v>815.8</v>
      </c>
      <c r="C2072" s="116">
        <v>813.55</v>
      </c>
      <c r="D2072" s="116">
        <v>805.95</v>
      </c>
      <c r="E2072" s="116">
        <v>808.5</v>
      </c>
      <c r="F2072" s="116">
        <v>813.55</v>
      </c>
      <c r="G2072">
        <v>20404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45058</v>
      </c>
      <c r="B2073" s="116">
        <v>817.4</v>
      </c>
      <c r="C2073" s="116">
        <v>809.1</v>
      </c>
      <c r="D2073" s="116">
        <v>808.05</v>
      </c>
      <c r="E2073" s="116">
        <v>817.4</v>
      </c>
      <c r="F2073" s="116">
        <v>809.1</v>
      </c>
      <c r="G2073">
        <v>15742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45061</v>
      </c>
      <c r="B2074" s="116">
        <v>813.9</v>
      </c>
      <c r="C2074" s="116">
        <v>810.1</v>
      </c>
      <c r="D2074" s="116">
        <v>805</v>
      </c>
      <c r="E2074" s="116">
        <v>806.05</v>
      </c>
      <c r="F2074" s="116">
        <v>810.1</v>
      </c>
      <c r="G2074">
        <v>36432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45062</v>
      </c>
      <c r="B2075" s="116">
        <v>815.95</v>
      </c>
      <c r="C2075" s="116">
        <v>804.15</v>
      </c>
      <c r="D2075" s="116">
        <v>803.2</v>
      </c>
      <c r="E2075" s="116">
        <v>810</v>
      </c>
      <c r="F2075" s="116">
        <v>804.15</v>
      </c>
      <c r="G2075">
        <v>11750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45063</v>
      </c>
      <c r="B2076" s="116">
        <v>806.7</v>
      </c>
      <c r="C2076" s="116">
        <v>802.9</v>
      </c>
      <c r="D2076" s="116">
        <v>795.05</v>
      </c>
      <c r="E2076" s="116">
        <v>801.05</v>
      </c>
      <c r="F2076" s="116">
        <v>802.9</v>
      </c>
      <c r="G2076">
        <v>16351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45064</v>
      </c>
      <c r="B2077" s="116">
        <v>808.55</v>
      </c>
      <c r="C2077" s="116">
        <v>797.75</v>
      </c>
      <c r="D2077" s="116">
        <v>796</v>
      </c>
      <c r="E2077" s="116">
        <v>802.05</v>
      </c>
      <c r="F2077" s="116">
        <v>797.75</v>
      </c>
      <c r="G2077">
        <v>13397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45065</v>
      </c>
      <c r="B2078" s="116">
        <v>800</v>
      </c>
      <c r="C2078" s="116">
        <v>797.25</v>
      </c>
      <c r="D2078" s="116">
        <v>785.9</v>
      </c>
      <c r="E2078" s="116">
        <v>798.05</v>
      </c>
      <c r="F2078" s="116">
        <v>797.25</v>
      </c>
      <c r="G2078">
        <v>38438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45068</v>
      </c>
      <c r="B2079" s="116">
        <v>812</v>
      </c>
      <c r="C2079" s="116">
        <v>809.6</v>
      </c>
      <c r="D2079" s="116">
        <v>792.5</v>
      </c>
      <c r="E2079" s="116">
        <v>795</v>
      </c>
      <c r="F2079" s="116">
        <v>809.6</v>
      </c>
      <c r="G2079">
        <v>20121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45069</v>
      </c>
      <c r="B2080" s="116">
        <v>811.8</v>
      </c>
      <c r="C2080" s="116">
        <v>805.55</v>
      </c>
      <c r="D2080" s="116">
        <v>804.05</v>
      </c>
      <c r="E2080" s="116">
        <v>810.4</v>
      </c>
      <c r="F2080" s="116">
        <v>805.55</v>
      </c>
      <c r="G2080">
        <v>13688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45070</v>
      </c>
      <c r="B2081" s="116">
        <v>808.7</v>
      </c>
      <c r="C2081" s="116">
        <v>803.45</v>
      </c>
      <c r="D2081" s="116">
        <v>800</v>
      </c>
      <c r="E2081" s="116">
        <v>805.55</v>
      </c>
      <c r="F2081" s="116">
        <v>803.45</v>
      </c>
      <c r="G2081">
        <v>12176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45071</v>
      </c>
      <c r="B2082" s="116">
        <v>814</v>
      </c>
      <c r="C2082" s="116">
        <v>812.8</v>
      </c>
      <c r="D2082" s="116">
        <v>802</v>
      </c>
      <c r="E2082" s="116">
        <v>802.05</v>
      </c>
      <c r="F2082" s="116">
        <v>812.8</v>
      </c>
      <c r="G2082">
        <v>22107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45072</v>
      </c>
      <c r="B2083" s="116">
        <v>817.9</v>
      </c>
      <c r="C2083" s="116">
        <v>814.25</v>
      </c>
      <c r="D2083" s="116">
        <v>809.2</v>
      </c>
      <c r="E2083" s="116">
        <v>816.95</v>
      </c>
      <c r="F2083" s="116">
        <v>814.25</v>
      </c>
      <c r="G2083">
        <v>37686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45075</v>
      </c>
      <c r="B2084" s="116">
        <v>827.4</v>
      </c>
      <c r="C2084" s="116">
        <v>825.25</v>
      </c>
      <c r="D2084" s="116">
        <v>815.05</v>
      </c>
      <c r="E2084" s="116">
        <v>815.05</v>
      </c>
      <c r="F2084" s="116">
        <v>825.25</v>
      </c>
      <c r="G2084">
        <v>22217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45076</v>
      </c>
      <c r="B2085" s="116">
        <v>830.85</v>
      </c>
      <c r="C2085" s="116">
        <v>822</v>
      </c>
      <c r="D2085" s="116">
        <v>818.75</v>
      </c>
      <c r="E2085" s="116">
        <v>825.25</v>
      </c>
      <c r="F2085" s="116">
        <v>822</v>
      </c>
      <c r="G2085">
        <v>17721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45077</v>
      </c>
      <c r="B2086" s="116">
        <v>826.7</v>
      </c>
      <c r="C2086" s="116">
        <v>821.85</v>
      </c>
      <c r="D2086" s="116">
        <v>817.75</v>
      </c>
      <c r="E2086" s="116">
        <v>822.9</v>
      </c>
      <c r="F2086" s="116">
        <v>821.85</v>
      </c>
      <c r="G2086">
        <v>34119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45078</v>
      </c>
      <c r="B2087" s="116">
        <v>831.95</v>
      </c>
      <c r="C2087" s="116">
        <v>825.85</v>
      </c>
      <c r="D2087" s="116">
        <v>820</v>
      </c>
      <c r="E2087" s="116">
        <v>821.8</v>
      </c>
      <c r="F2087" s="116">
        <v>825.85</v>
      </c>
      <c r="G2087">
        <v>46996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45079</v>
      </c>
      <c r="B2088" s="116">
        <v>830.65</v>
      </c>
      <c r="C2088" s="116">
        <v>818.95</v>
      </c>
      <c r="D2088" s="116">
        <v>817.25</v>
      </c>
      <c r="E2088" s="116">
        <v>830</v>
      </c>
      <c r="F2088" s="116">
        <v>818.95</v>
      </c>
      <c r="G2088">
        <v>32877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45082</v>
      </c>
      <c r="B2089" s="116">
        <v>826.05</v>
      </c>
      <c r="C2089" s="116">
        <v>822.8</v>
      </c>
      <c r="D2089" s="116">
        <v>819.05</v>
      </c>
      <c r="E2089" s="116">
        <v>819.05</v>
      </c>
      <c r="F2089" s="116">
        <v>822.8</v>
      </c>
      <c r="G2089">
        <v>29284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45083</v>
      </c>
      <c r="B2090" s="116">
        <v>824</v>
      </c>
      <c r="C2090" s="116">
        <v>803.5</v>
      </c>
      <c r="D2090" s="116">
        <v>791.5</v>
      </c>
      <c r="E2090" s="116">
        <v>824</v>
      </c>
      <c r="F2090" s="116">
        <v>803.5</v>
      </c>
      <c r="G2090">
        <v>51178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45084</v>
      </c>
      <c r="B2091" s="116">
        <v>808.4</v>
      </c>
      <c r="C2091" s="116">
        <v>805.65</v>
      </c>
      <c r="D2091" s="116">
        <v>801.2</v>
      </c>
      <c r="E2091" s="116">
        <v>807</v>
      </c>
      <c r="F2091" s="116">
        <v>805.65</v>
      </c>
      <c r="G2091">
        <v>39002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45085</v>
      </c>
      <c r="B2092" s="116">
        <v>809.25</v>
      </c>
      <c r="C2092" s="116">
        <v>804.85</v>
      </c>
      <c r="D2092" s="116">
        <v>801.5</v>
      </c>
      <c r="E2092" s="116">
        <v>805.85</v>
      </c>
      <c r="F2092" s="116">
        <v>804.85</v>
      </c>
      <c r="G2092">
        <v>15895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45086</v>
      </c>
      <c r="B2093" s="116">
        <v>806.4</v>
      </c>
      <c r="C2093" s="116">
        <v>777.95</v>
      </c>
      <c r="D2093" s="116">
        <v>776.5</v>
      </c>
      <c r="E2093" s="116">
        <v>806.4</v>
      </c>
      <c r="F2093" s="116">
        <v>777.95</v>
      </c>
      <c r="G2093">
        <v>56576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45089</v>
      </c>
      <c r="B2094" s="116">
        <v>795.8</v>
      </c>
      <c r="C2094" s="116">
        <v>790.95</v>
      </c>
      <c r="D2094" s="116">
        <v>774.6</v>
      </c>
      <c r="E2094" s="116">
        <v>778.05</v>
      </c>
      <c r="F2094" s="116">
        <v>790.95</v>
      </c>
      <c r="G2094">
        <v>39598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45090</v>
      </c>
      <c r="B2095" s="116">
        <v>807.95</v>
      </c>
      <c r="C2095" s="116">
        <v>806.55</v>
      </c>
      <c r="D2095" s="116">
        <v>790</v>
      </c>
      <c r="E2095" s="116">
        <v>790</v>
      </c>
      <c r="F2095" s="116">
        <v>806.55</v>
      </c>
      <c r="G2095">
        <v>90210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45091</v>
      </c>
      <c r="B2096" s="116">
        <v>826.9</v>
      </c>
      <c r="C2096" s="116">
        <v>815.6</v>
      </c>
      <c r="D2096" s="116">
        <v>800.85</v>
      </c>
      <c r="E2096" s="116">
        <v>808</v>
      </c>
      <c r="F2096" s="116">
        <v>815.6</v>
      </c>
      <c r="G2096">
        <v>180376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45092</v>
      </c>
      <c r="B2097" s="116">
        <v>817.6</v>
      </c>
      <c r="C2097" s="116">
        <v>801.05</v>
      </c>
      <c r="D2097" s="116">
        <v>797.55</v>
      </c>
      <c r="E2097" s="116">
        <v>815</v>
      </c>
      <c r="F2097" s="116">
        <v>801.05</v>
      </c>
      <c r="G2097">
        <v>56234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45093</v>
      </c>
      <c r="B2098" s="116">
        <v>803.65</v>
      </c>
      <c r="C2098" s="116">
        <v>796.3</v>
      </c>
      <c r="D2098" s="116">
        <v>794.25</v>
      </c>
      <c r="E2098" s="116">
        <v>802</v>
      </c>
      <c r="F2098" s="116">
        <v>796.3</v>
      </c>
      <c r="G2098">
        <v>59851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45096</v>
      </c>
      <c r="B2099" s="116">
        <v>799.75</v>
      </c>
      <c r="C2099" s="116">
        <v>789.35</v>
      </c>
      <c r="D2099" s="116">
        <v>785.95</v>
      </c>
      <c r="E2099" s="116">
        <v>799.75</v>
      </c>
      <c r="F2099" s="116">
        <v>789.35</v>
      </c>
      <c r="G2099">
        <v>65708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45097</v>
      </c>
      <c r="B2100" s="116">
        <v>795.15</v>
      </c>
      <c r="C2100" s="116">
        <v>789.6</v>
      </c>
      <c r="D2100" s="116">
        <v>786</v>
      </c>
      <c r="E2100" s="116">
        <v>789</v>
      </c>
      <c r="F2100" s="116">
        <v>789.6</v>
      </c>
      <c r="G2100">
        <v>18279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45098</v>
      </c>
      <c r="B2101" s="116">
        <v>794.95</v>
      </c>
      <c r="C2101" s="116">
        <v>787.75</v>
      </c>
      <c r="D2101" s="116">
        <v>783</v>
      </c>
      <c r="E2101" s="116">
        <v>794.95</v>
      </c>
      <c r="F2101" s="116">
        <v>787.75</v>
      </c>
      <c r="G2101">
        <v>43231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45099</v>
      </c>
      <c r="B2102" s="116">
        <v>789.1</v>
      </c>
      <c r="C2102" s="116">
        <v>782.25</v>
      </c>
      <c r="D2102" s="116">
        <v>778.45</v>
      </c>
      <c r="E2102" s="116">
        <v>786</v>
      </c>
      <c r="F2102" s="116">
        <v>782.25</v>
      </c>
      <c r="G2102">
        <v>53811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45100</v>
      </c>
      <c r="B2103" s="116">
        <v>775.95</v>
      </c>
      <c r="C2103" s="116">
        <v>750.4</v>
      </c>
      <c r="D2103" s="116">
        <v>749.05</v>
      </c>
      <c r="E2103" s="116">
        <v>773.95</v>
      </c>
      <c r="F2103" s="116">
        <v>750.4</v>
      </c>
      <c r="G2103">
        <v>263195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45103</v>
      </c>
      <c r="B2104" s="116">
        <v>759</v>
      </c>
      <c r="C2104" s="116">
        <v>757.8</v>
      </c>
      <c r="D2104" s="116">
        <v>747.9</v>
      </c>
      <c r="E2104" s="116">
        <v>753.6</v>
      </c>
      <c r="F2104" s="116">
        <v>757.8</v>
      </c>
      <c r="G2104">
        <v>138473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45104</v>
      </c>
      <c r="B2105" s="116">
        <v>767.8</v>
      </c>
      <c r="C2105" s="116">
        <v>760.9</v>
      </c>
      <c r="D2105" s="116">
        <v>758.7</v>
      </c>
      <c r="E2105" s="116">
        <v>762</v>
      </c>
      <c r="F2105" s="116">
        <v>760.9</v>
      </c>
      <c r="G2105">
        <v>63545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45105</v>
      </c>
      <c r="B2106" s="116">
        <v>767</v>
      </c>
      <c r="C2106" s="116">
        <v>761.55</v>
      </c>
      <c r="D2106" s="116">
        <v>758.9</v>
      </c>
      <c r="E2106" s="116">
        <v>760.1</v>
      </c>
      <c r="F2106" s="116">
        <v>761.55</v>
      </c>
      <c r="G2106">
        <v>23393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45107</v>
      </c>
      <c r="B2107" s="116">
        <v>763.1</v>
      </c>
      <c r="C2107" s="116">
        <v>759.8</v>
      </c>
      <c r="D2107" s="116">
        <v>756</v>
      </c>
      <c r="E2107" s="116">
        <v>761.55</v>
      </c>
      <c r="F2107" s="116">
        <v>759.8</v>
      </c>
      <c r="G2107">
        <v>25821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45110</v>
      </c>
      <c r="B2108" s="116">
        <v>769.45</v>
      </c>
      <c r="C2108" s="116">
        <v>762.5</v>
      </c>
      <c r="D2108" s="116">
        <v>759.65</v>
      </c>
      <c r="E2108" s="116">
        <v>765</v>
      </c>
      <c r="F2108" s="116">
        <v>762.5</v>
      </c>
      <c r="G2108">
        <v>51124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45111</v>
      </c>
      <c r="B2109" s="116">
        <v>767.3</v>
      </c>
      <c r="C2109" s="116">
        <v>759.05</v>
      </c>
      <c r="D2109" s="116">
        <v>757.05</v>
      </c>
      <c r="E2109" s="116">
        <v>767.3</v>
      </c>
      <c r="F2109" s="116">
        <v>759.05</v>
      </c>
      <c r="G2109">
        <v>27839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45112</v>
      </c>
      <c r="B2110" s="116">
        <v>768.95</v>
      </c>
      <c r="C2110" s="116">
        <v>766.65</v>
      </c>
      <c r="D2110" s="116">
        <v>753.85</v>
      </c>
      <c r="E2110" s="116">
        <v>762.25</v>
      </c>
      <c r="F2110" s="116">
        <v>766.65</v>
      </c>
      <c r="G2110">
        <v>71212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45113</v>
      </c>
      <c r="B2111" s="116">
        <v>772</v>
      </c>
      <c r="C2111" s="116">
        <v>769</v>
      </c>
      <c r="D2111" s="116">
        <v>763.05</v>
      </c>
      <c r="E2111" s="116">
        <v>765.05</v>
      </c>
      <c r="F2111" s="116">
        <v>769</v>
      </c>
      <c r="G2111">
        <v>57535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45114</v>
      </c>
      <c r="B2112" s="116">
        <v>766.8</v>
      </c>
      <c r="C2112" s="116">
        <v>760.5</v>
      </c>
      <c r="D2112" s="116">
        <v>756.9</v>
      </c>
      <c r="E2112" s="116">
        <v>764</v>
      </c>
      <c r="F2112" s="116">
        <v>760.5</v>
      </c>
      <c r="G2112">
        <v>53809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45117</v>
      </c>
      <c r="B2113" s="116">
        <v>762.9</v>
      </c>
      <c r="C2113" s="116">
        <v>758.3</v>
      </c>
      <c r="D2113" s="116">
        <v>752.8</v>
      </c>
      <c r="E2113" s="116">
        <v>758.05</v>
      </c>
      <c r="F2113" s="116">
        <v>758.3</v>
      </c>
      <c r="G2113">
        <v>47641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45118</v>
      </c>
      <c r="B2114" s="116">
        <v>767.2</v>
      </c>
      <c r="C2114" s="116">
        <v>759.3</v>
      </c>
      <c r="D2114" s="116">
        <v>756.05</v>
      </c>
      <c r="E2114" s="116">
        <v>758.5</v>
      </c>
      <c r="F2114" s="116">
        <v>759.3</v>
      </c>
      <c r="G2114">
        <v>49513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45119</v>
      </c>
      <c r="B2115" s="116">
        <v>764.6</v>
      </c>
      <c r="C2115" s="116">
        <v>762.35</v>
      </c>
      <c r="D2115" s="116">
        <v>759.15</v>
      </c>
      <c r="E2115" s="116">
        <v>764</v>
      </c>
      <c r="F2115" s="116">
        <v>762.35</v>
      </c>
      <c r="G2115">
        <v>32639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45120</v>
      </c>
      <c r="B2116" s="116">
        <v>765.95</v>
      </c>
      <c r="C2116" s="116">
        <v>748.6</v>
      </c>
      <c r="D2116" s="116">
        <v>746.4</v>
      </c>
      <c r="E2116" s="116">
        <v>765.95</v>
      </c>
      <c r="F2116" s="116">
        <v>748.6</v>
      </c>
      <c r="G2116">
        <v>96724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45121</v>
      </c>
      <c r="B2117" s="116">
        <v>755.6</v>
      </c>
      <c r="C2117" s="116">
        <v>754.75</v>
      </c>
      <c r="D2117" s="116">
        <v>745</v>
      </c>
      <c r="E2117" s="116">
        <v>749.05</v>
      </c>
      <c r="F2117" s="116">
        <v>754.75</v>
      </c>
      <c r="G2117">
        <v>15605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45124</v>
      </c>
      <c r="B2118" s="116">
        <v>767</v>
      </c>
      <c r="C2118" s="116">
        <v>763.8</v>
      </c>
      <c r="D2118" s="116">
        <v>752.7</v>
      </c>
      <c r="E2118" s="116">
        <v>754.05</v>
      </c>
      <c r="F2118" s="116">
        <v>763.8</v>
      </c>
      <c r="G2118">
        <v>77193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45125</v>
      </c>
      <c r="B2119" s="116">
        <v>769.95</v>
      </c>
      <c r="C2119" s="116">
        <v>765.85</v>
      </c>
      <c r="D2119" s="116">
        <v>757.45</v>
      </c>
      <c r="E2119" s="116">
        <v>769.95</v>
      </c>
      <c r="F2119" s="116">
        <v>765.85</v>
      </c>
      <c r="G2119">
        <v>1541705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45126</v>
      </c>
      <c r="B2120" s="116">
        <v>792.5</v>
      </c>
      <c r="C2120" s="116">
        <v>777.95</v>
      </c>
      <c r="D2120" s="116">
        <v>764.05</v>
      </c>
      <c r="E2120" s="116">
        <v>769.5</v>
      </c>
      <c r="F2120" s="116">
        <v>777.95</v>
      </c>
      <c r="G2120">
        <v>302800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45127</v>
      </c>
      <c r="B2121" s="116">
        <v>790.5</v>
      </c>
      <c r="C2121" s="116">
        <v>777.4</v>
      </c>
      <c r="D2121" s="116">
        <v>775</v>
      </c>
      <c r="E2121" s="116">
        <v>780</v>
      </c>
      <c r="F2121" s="116">
        <v>777.4</v>
      </c>
      <c r="G2121">
        <v>115035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45128</v>
      </c>
      <c r="B2122" s="116">
        <v>773</v>
      </c>
      <c r="C2122" s="116">
        <v>764.55</v>
      </c>
      <c r="D2122" s="116">
        <v>763</v>
      </c>
      <c r="E2122" s="116">
        <v>770.1</v>
      </c>
      <c r="F2122" s="116">
        <v>764.55</v>
      </c>
      <c r="G2122">
        <v>67462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45131</v>
      </c>
      <c r="B2123" s="116">
        <v>769.55</v>
      </c>
      <c r="C2123" s="116">
        <v>765.95</v>
      </c>
      <c r="D2123" s="116">
        <v>759</v>
      </c>
      <c r="E2123" s="116">
        <v>764</v>
      </c>
      <c r="F2123" s="116">
        <v>765.95</v>
      </c>
      <c r="G2123">
        <v>54053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45132</v>
      </c>
      <c r="B2124" s="116">
        <v>771.2</v>
      </c>
      <c r="C2124" s="116">
        <v>767.3</v>
      </c>
      <c r="D2124" s="116">
        <v>765</v>
      </c>
      <c r="E2124" s="116">
        <v>769.95</v>
      </c>
      <c r="F2124" s="116">
        <v>767.3</v>
      </c>
      <c r="G2124">
        <v>38588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45133</v>
      </c>
      <c r="B2125" s="116">
        <v>769</v>
      </c>
      <c r="C2125" s="116">
        <v>765.15</v>
      </c>
      <c r="D2125" s="116">
        <v>763.4</v>
      </c>
      <c r="E2125" s="116">
        <v>766.55</v>
      </c>
      <c r="F2125" s="116">
        <v>765.15</v>
      </c>
      <c r="G2125">
        <v>38434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45134</v>
      </c>
      <c r="B2126" s="116">
        <v>770</v>
      </c>
      <c r="C2126" s="116">
        <v>758.55</v>
      </c>
      <c r="D2126" s="116">
        <v>756.7</v>
      </c>
      <c r="E2126" s="116">
        <v>765.2</v>
      </c>
      <c r="F2126" s="116">
        <v>758.55</v>
      </c>
      <c r="G2126">
        <v>41242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45135</v>
      </c>
      <c r="B2127" s="116">
        <v>764.5</v>
      </c>
      <c r="C2127" s="116">
        <v>763</v>
      </c>
      <c r="D2127" s="116">
        <v>758.05</v>
      </c>
      <c r="E2127" s="116">
        <v>758.05</v>
      </c>
      <c r="F2127" s="116">
        <v>763</v>
      </c>
      <c r="G2127">
        <v>15255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45138</v>
      </c>
      <c r="B2128" s="116">
        <v>781.75</v>
      </c>
      <c r="C2128" s="116">
        <v>779.8</v>
      </c>
      <c r="D2128" s="116">
        <v>761.45</v>
      </c>
      <c r="E2128" s="116">
        <v>766</v>
      </c>
      <c r="F2128" s="116">
        <v>779.8</v>
      </c>
      <c r="G2128">
        <v>31615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45139</v>
      </c>
      <c r="B2129" s="116">
        <v>800.25</v>
      </c>
      <c r="C2129" s="116">
        <v>797.35</v>
      </c>
      <c r="D2129" s="116">
        <v>781</v>
      </c>
      <c r="E2129" s="116">
        <v>783.45</v>
      </c>
      <c r="F2129" s="116">
        <v>797.35</v>
      </c>
      <c r="G2129">
        <v>64467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45140</v>
      </c>
      <c r="B2130" s="116">
        <v>805.05</v>
      </c>
      <c r="C2130" s="116">
        <v>801.35</v>
      </c>
      <c r="D2130" s="116">
        <v>791.15</v>
      </c>
      <c r="E2130" s="116">
        <v>798</v>
      </c>
      <c r="F2130" s="116">
        <v>801.35</v>
      </c>
      <c r="G2130">
        <v>79766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45141</v>
      </c>
      <c r="B2131" s="116">
        <v>810.3</v>
      </c>
      <c r="C2131" s="116">
        <v>799.5</v>
      </c>
      <c r="D2131" s="116">
        <v>794.65</v>
      </c>
      <c r="E2131" s="116">
        <v>795.05</v>
      </c>
      <c r="F2131" s="116">
        <v>799.5</v>
      </c>
      <c r="G2131">
        <v>131667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45142</v>
      </c>
      <c r="B2132" s="116">
        <v>821</v>
      </c>
      <c r="C2132" s="116">
        <v>818.6</v>
      </c>
      <c r="D2132" s="116">
        <v>799</v>
      </c>
      <c r="E2132" s="116">
        <v>802.05</v>
      </c>
      <c r="F2132" s="116">
        <v>818.6</v>
      </c>
      <c r="G2132">
        <v>67702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45145</v>
      </c>
      <c r="B2133" s="116">
        <v>828.55</v>
      </c>
      <c r="C2133" s="116">
        <v>826.5</v>
      </c>
      <c r="D2133" s="116">
        <v>819.3</v>
      </c>
      <c r="E2133" s="116">
        <v>824</v>
      </c>
      <c r="F2133" s="116">
        <v>826.5</v>
      </c>
      <c r="G2133">
        <v>40035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45146</v>
      </c>
      <c r="B2134" s="116">
        <v>827.1</v>
      </c>
      <c r="C2134" s="116">
        <v>817.7</v>
      </c>
      <c r="D2134" s="116">
        <v>810.6</v>
      </c>
      <c r="E2134" s="116">
        <v>827.05</v>
      </c>
      <c r="F2134" s="116">
        <v>817.7</v>
      </c>
      <c r="G2134">
        <v>87383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45147</v>
      </c>
      <c r="B2135" s="116">
        <v>851.5</v>
      </c>
      <c r="C2135" s="116">
        <v>849.4</v>
      </c>
      <c r="D2135" s="116">
        <v>819.6</v>
      </c>
      <c r="E2135" s="116">
        <v>822</v>
      </c>
      <c r="F2135" s="116">
        <v>849.4</v>
      </c>
      <c r="G2135">
        <v>310649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45148</v>
      </c>
      <c r="B2136" s="116">
        <v>857.85</v>
      </c>
      <c r="C2136" s="116">
        <v>836.4</v>
      </c>
      <c r="D2136" s="116">
        <v>835.05</v>
      </c>
      <c r="E2136" s="116">
        <v>851.95</v>
      </c>
      <c r="F2136" s="116">
        <v>836.4</v>
      </c>
      <c r="G2136">
        <v>51275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45149</v>
      </c>
      <c r="B2137" s="116">
        <v>847.95</v>
      </c>
      <c r="C2137" s="116">
        <v>828.65</v>
      </c>
      <c r="D2137" s="116">
        <v>816.35</v>
      </c>
      <c r="E2137" s="116">
        <v>847.95</v>
      </c>
      <c r="F2137" s="116">
        <v>828.65</v>
      </c>
      <c r="G2137">
        <v>47256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45152</v>
      </c>
      <c r="B2138" s="116">
        <v>829.4</v>
      </c>
      <c r="C2138" s="116">
        <v>825.2</v>
      </c>
      <c r="D2138" s="116">
        <v>794.15</v>
      </c>
      <c r="E2138" s="116">
        <v>820</v>
      </c>
      <c r="F2138" s="116">
        <v>825.2</v>
      </c>
      <c r="G2138">
        <v>155559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45154</v>
      </c>
      <c r="B2139" s="116">
        <v>828.5</v>
      </c>
      <c r="C2139" s="116">
        <v>826.2</v>
      </c>
      <c r="D2139" s="116">
        <v>810.55</v>
      </c>
      <c r="E2139" s="116">
        <v>824.9</v>
      </c>
      <c r="F2139" s="116">
        <v>826.2</v>
      </c>
      <c r="G2139">
        <v>21180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45155</v>
      </c>
      <c r="B2140" s="116">
        <v>832.4</v>
      </c>
      <c r="C2140" s="116">
        <v>825.5</v>
      </c>
      <c r="D2140" s="116">
        <v>820.1</v>
      </c>
      <c r="E2140" s="116">
        <v>820.1</v>
      </c>
      <c r="F2140" s="116">
        <v>825.5</v>
      </c>
      <c r="G2140">
        <v>14336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45156</v>
      </c>
      <c r="B2141" s="116">
        <v>831.1</v>
      </c>
      <c r="C2141" s="116">
        <v>809.95</v>
      </c>
      <c r="D2141" s="116">
        <v>808</v>
      </c>
      <c r="E2141" s="116">
        <v>820.05</v>
      </c>
      <c r="F2141" s="116">
        <v>809.95</v>
      </c>
      <c r="G2141">
        <v>21986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45159</v>
      </c>
      <c r="B2142" s="116">
        <v>814</v>
      </c>
      <c r="C2142" s="116">
        <v>807.65</v>
      </c>
      <c r="D2142" s="116">
        <v>800.85</v>
      </c>
      <c r="E2142" s="116">
        <v>809.95</v>
      </c>
      <c r="F2142" s="116">
        <v>807.65</v>
      </c>
      <c r="G2142">
        <v>51661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45160</v>
      </c>
      <c r="B2143" s="116">
        <v>824.9</v>
      </c>
      <c r="C2143" s="116">
        <v>822.55</v>
      </c>
      <c r="D2143" s="116">
        <v>807.45</v>
      </c>
      <c r="E2143" s="116">
        <v>810</v>
      </c>
      <c r="F2143" s="116">
        <v>822.55</v>
      </c>
      <c r="G2143">
        <v>14536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45161</v>
      </c>
      <c r="B2144" s="116">
        <v>840.9</v>
      </c>
      <c r="C2144" s="116">
        <v>836.95</v>
      </c>
      <c r="D2144" s="116">
        <v>822.55</v>
      </c>
      <c r="E2144" s="116">
        <v>822.55</v>
      </c>
      <c r="F2144" s="116">
        <v>836.95</v>
      </c>
      <c r="G2144">
        <v>30349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45162</v>
      </c>
      <c r="B2145" s="116">
        <v>840.55</v>
      </c>
      <c r="C2145" s="116">
        <v>832.45</v>
      </c>
      <c r="D2145" s="116">
        <v>830.05</v>
      </c>
      <c r="E2145" s="116">
        <v>835</v>
      </c>
      <c r="F2145" s="116">
        <v>832.45</v>
      </c>
      <c r="G2145">
        <v>36367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45163</v>
      </c>
      <c r="B2146" s="116">
        <v>834.4</v>
      </c>
      <c r="C2146" s="116">
        <v>825.25</v>
      </c>
      <c r="D2146" s="116">
        <v>818.8</v>
      </c>
      <c r="E2146" s="116">
        <v>832.45</v>
      </c>
      <c r="F2146" s="116">
        <v>825.25</v>
      </c>
      <c r="G2146">
        <v>22353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45166</v>
      </c>
      <c r="B2147" s="116">
        <v>830</v>
      </c>
      <c r="C2147" s="116">
        <v>827.35</v>
      </c>
      <c r="D2147" s="116">
        <v>821.05</v>
      </c>
      <c r="E2147" s="116">
        <v>821.05</v>
      </c>
      <c r="F2147" s="116">
        <v>827.35</v>
      </c>
      <c r="G2147">
        <v>33009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45167</v>
      </c>
      <c r="B2148" s="116">
        <v>851.05</v>
      </c>
      <c r="C2148" s="116">
        <v>848.55</v>
      </c>
      <c r="D2148" s="116">
        <v>821.6</v>
      </c>
      <c r="E2148" s="116">
        <v>821.6</v>
      </c>
      <c r="F2148" s="116">
        <v>848.55</v>
      </c>
      <c r="G2148">
        <v>50193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45168</v>
      </c>
      <c r="B2149" s="116">
        <v>857.5</v>
      </c>
      <c r="C2149" s="116">
        <v>855.65</v>
      </c>
      <c r="D2149" s="116">
        <v>849.6</v>
      </c>
      <c r="E2149" s="116">
        <v>854.95</v>
      </c>
      <c r="F2149" s="116">
        <v>855.65</v>
      </c>
      <c r="G2149">
        <v>21477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45169</v>
      </c>
      <c r="B2150" s="116">
        <v>871.8</v>
      </c>
      <c r="C2150" s="116">
        <v>869.9</v>
      </c>
      <c r="D2150" s="116">
        <v>854</v>
      </c>
      <c r="E2150" s="116">
        <v>855.75</v>
      </c>
      <c r="F2150" s="116">
        <v>869.9</v>
      </c>
      <c r="G2150">
        <v>120684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45170</v>
      </c>
      <c r="B2151" s="116">
        <v>879.85</v>
      </c>
      <c r="C2151" s="116">
        <v>869.35</v>
      </c>
      <c r="D2151" s="116">
        <v>867.85</v>
      </c>
      <c r="E2151" s="116">
        <v>873.55</v>
      </c>
      <c r="F2151" s="116">
        <v>869.35</v>
      </c>
      <c r="G2151">
        <v>64547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45173</v>
      </c>
      <c r="B2152" s="116">
        <v>873.8</v>
      </c>
      <c r="C2152" s="116">
        <v>866.25</v>
      </c>
      <c r="D2152" s="116">
        <v>864.75</v>
      </c>
      <c r="E2152" s="116">
        <v>872.05</v>
      </c>
      <c r="F2152" s="116">
        <v>866.25</v>
      </c>
      <c r="G2152">
        <v>19289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45174</v>
      </c>
      <c r="B2153" s="116">
        <v>870.6</v>
      </c>
      <c r="C2153" s="116">
        <v>866.5</v>
      </c>
      <c r="D2153" s="116">
        <v>857.8</v>
      </c>
      <c r="E2153" s="116">
        <v>866.25</v>
      </c>
      <c r="F2153" s="116">
        <v>866.5</v>
      </c>
      <c r="G2153">
        <v>49587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45175</v>
      </c>
      <c r="B2154" s="116">
        <v>908.95</v>
      </c>
      <c r="C2154" s="116">
        <v>897.1</v>
      </c>
      <c r="D2154" s="116">
        <v>881.65</v>
      </c>
      <c r="E2154" s="116">
        <v>893.45</v>
      </c>
      <c r="F2154" s="116">
        <v>897.1</v>
      </c>
      <c r="G2154">
        <v>457056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45176</v>
      </c>
      <c r="B2155" s="116">
        <v>900</v>
      </c>
      <c r="C2155" s="116">
        <v>896.3</v>
      </c>
      <c r="D2155" s="116">
        <v>886.7</v>
      </c>
      <c r="E2155" s="116">
        <v>900</v>
      </c>
      <c r="F2155" s="116">
        <v>896.3</v>
      </c>
      <c r="G2155">
        <v>69182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45177</v>
      </c>
      <c r="B2156" s="116">
        <v>908.25</v>
      </c>
      <c r="C2156" s="116">
        <v>904.3</v>
      </c>
      <c r="D2156" s="116">
        <v>893.05</v>
      </c>
      <c r="E2156" s="116">
        <v>897</v>
      </c>
      <c r="F2156" s="116">
        <v>904.3</v>
      </c>
      <c r="G2156">
        <v>81196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45180</v>
      </c>
      <c r="B2157" s="116">
        <v>914.1</v>
      </c>
      <c r="C2157" s="116">
        <v>907.2</v>
      </c>
      <c r="D2157" s="116">
        <v>904.75</v>
      </c>
      <c r="E2157" s="116">
        <v>907</v>
      </c>
      <c r="F2157" s="116">
        <v>907.2</v>
      </c>
      <c r="G2157">
        <v>21229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45181</v>
      </c>
      <c r="B2158" s="116">
        <v>913</v>
      </c>
      <c r="C2158" s="116">
        <v>875.55</v>
      </c>
      <c r="D2158" s="116">
        <v>873.9</v>
      </c>
      <c r="E2158" s="116">
        <v>910.6</v>
      </c>
      <c r="F2158" s="116">
        <v>875.55</v>
      </c>
      <c r="G2158">
        <v>268553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45182</v>
      </c>
      <c r="B2159" s="116">
        <v>890.3</v>
      </c>
      <c r="C2159" s="116">
        <v>887.9</v>
      </c>
      <c r="D2159" s="116">
        <v>869.55</v>
      </c>
      <c r="E2159" s="116">
        <v>872.2</v>
      </c>
      <c r="F2159" s="116">
        <v>887.9</v>
      </c>
      <c r="G2159">
        <v>52968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45183</v>
      </c>
      <c r="B2160" s="116">
        <v>896.8</v>
      </c>
      <c r="C2160" s="116">
        <v>886.45</v>
      </c>
      <c r="D2160" s="116">
        <v>882.55</v>
      </c>
      <c r="E2160" s="116">
        <v>896.8</v>
      </c>
      <c r="F2160" s="116">
        <v>886.45</v>
      </c>
      <c r="G2160">
        <v>27494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45184</v>
      </c>
      <c r="B2161" s="116">
        <v>906</v>
      </c>
      <c r="C2161" s="116">
        <v>893.85</v>
      </c>
      <c r="D2161" s="116">
        <v>886.5</v>
      </c>
      <c r="E2161" s="116">
        <v>886.5</v>
      </c>
      <c r="F2161" s="116">
        <v>893.85</v>
      </c>
      <c r="G2161">
        <v>22700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45187</v>
      </c>
      <c r="B2162" s="116">
        <v>896</v>
      </c>
      <c r="C2162" s="116">
        <v>882.2</v>
      </c>
      <c r="D2162" s="116">
        <v>880</v>
      </c>
      <c r="E2162" s="116">
        <v>894.95</v>
      </c>
      <c r="F2162" s="116">
        <v>882.2</v>
      </c>
      <c r="G2162">
        <v>15303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45189</v>
      </c>
      <c r="B2163" s="116">
        <v>885.6</v>
      </c>
      <c r="C2163" s="116">
        <v>871.3</v>
      </c>
      <c r="D2163" s="116">
        <v>867.05</v>
      </c>
      <c r="E2163" s="116">
        <v>879</v>
      </c>
      <c r="F2163" s="116">
        <v>871.3</v>
      </c>
      <c r="G2163">
        <v>35702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45190</v>
      </c>
      <c r="B2164" s="116">
        <v>879</v>
      </c>
      <c r="C2164" s="116">
        <v>867.9</v>
      </c>
      <c r="D2164" s="116">
        <v>865.5</v>
      </c>
      <c r="E2164" s="116">
        <v>867.05</v>
      </c>
      <c r="F2164" s="116">
        <v>867.9</v>
      </c>
      <c r="G2164">
        <v>8133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45191</v>
      </c>
      <c r="B2165" s="116">
        <v>872.05</v>
      </c>
      <c r="C2165" s="116">
        <v>865.25</v>
      </c>
      <c r="D2165" s="116">
        <v>851.85</v>
      </c>
      <c r="E2165" s="116">
        <v>867.05</v>
      </c>
      <c r="F2165" s="116">
        <v>865.25</v>
      </c>
      <c r="G2165">
        <v>22571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45194</v>
      </c>
      <c r="B2166" s="116">
        <v>878.45</v>
      </c>
      <c r="C2166" s="116">
        <v>875.3</v>
      </c>
      <c r="D2166" s="116">
        <v>854.9</v>
      </c>
      <c r="E2166" s="116">
        <v>865</v>
      </c>
      <c r="F2166" s="116">
        <v>875.3</v>
      </c>
      <c r="G2166">
        <v>12984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45195</v>
      </c>
      <c r="B2167" s="116">
        <v>889.95</v>
      </c>
      <c r="C2167" s="116">
        <v>861.9</v>
      </c>
      <c r="D2167" s="116">
        <v>861</v>
      </c>
      <c r="E2167" s="116">
        <v>889.95</v>
      </c>
      <c r="F2167" s="116">
        <v>861.9</v>
      </c>
      <c r="G2167">
        <v>9433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45196</v>
      </c>
      <c r="B2168" s="116">
        <v>872</v>
      </c>
      <c r="C2168" s="116">
        <v>870.8</v>
      </c>
      <c r="D2168" s="116">
        <v>857.55</v>
      </c>
      <c r="E2168" s="116">
        <v>862</v>
      </c>
      <c r="F2168" s="116">
        <v>870.8</v>
      </c>
      <c r="G2168">
        <v>23954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45197</v>
      </c>
      <c r="B2169" s="116">
        <v>882.4</v>
      </c>
      <c r="C2169" s="116">
        <v>860.95</v>
      </c>
      <c r="D2169" s="116">
        <v>859.5</v>
      </c>
      <c r="E2169" s="116">
        <v>871</v>
      </c>
      <c r="F2169" s="116">
        <v>860.95</v>
      </c>
      <c r="G2169">
        <v>19475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45198</v>
      </c>
      <c r="B2170" s="116">
        <v>869.9</v>
      </c>
      <c r="C2170" s="116">
        <v>863</v>
      </c>
      <c r="D2170" s="116">
        <v>859.8</v>
      </c>
      <c r="E2170" s="116">
        <v>860.95</v>
      </c>
      <c r="F2170" s="116">
        <v>863</v>
      </c>
      <c r="G2170">
        <v>20078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45202</v>
      </c>
      <c r="B2171" s="116">
        <v>880</v>
      </c>
      <c r="C2171" s="116">
        <v>874.15</v>
      </c>
      <c r="D2171" s="116">
        <v>861</v>
      </c>
      <c r="E2171" s="116">
        <v>861</v>
      </c>
      <c r="F2171" s="116">
        <v>874.15</v>
      </c>
      <c r="G2171">
        <v>12124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45203</v>
      </c>
      <c r="B2172" s="116">
        <v>887.8</v>
      </c>
      <c r="C2172" s="116">
        <v>872.5</v>
      </c>
      <c r="D2172" s="116">
        <v>863</v>
      </c>
      <c r="E2172" s="116">
        <v>864.4</v>
      </c>
      <c r="F2172" s="116">
        <v>872.5</v>
      </c>
      <c r="G2172">
        <v>45240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45204</v>
      </c>
      <c r="B2173" s="116">
        <v>883.2</v>
      </c>
      <c r="C2173" s="116">
        <v>880.25</v>
      </c>
      <c r="D2173" s="116">
        <v>872.85</v>
      </c>
      <c r="E2173" s="116">
        <v>875.05</v>
      </c>
      <c r="F2173" s="116">
        <v>880.25</v>
      </c>
      <c r="G2173">
        <v>10716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45205</v>
      </c>
      <c r="B2174" s="116">
        <v>887.6</v>
      </c>
      <c r="C2174" s="116">
        <v>885.4</v>
      </c>
      <c r="D2174" s="116">
        <v>879.4</v>
      </c>
      <c r="E2174" s="116">
        <v>884.95</v>
      </c>
      <c r="F2174" s="116">
        <v>885.4</v>
      </c>
      <c r="G2174">
        <v>28777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45208</v>
      </c>
      <c r="B2175" s="116">
        <v>880</v>
      </c>
      <c r="C2175" s="116">
        <v>852.3</v>
      </c>
      <c r="D2175" s="116">
        <v>826.3</v>
      </c>
      <c r="E2175" s="116">
        <v>826.3</v>
      </c>
      <c r="F2175" s="116">
        <v>852.3</v>
      </c>
      <c r="G2175">
        <v>55067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45209</v>
      </c>
      <c r="B2176" s="116">
        <v>858.1</v>
      </c>
      <c r="C2176" s="116">
        <v>854.75</v>
      </c>
      <c r="D2176" s="116">
        <v>851.1</v>
      </c>
      <c r="E2176" s="116">
        <v>852.35</v>
      </c>
      <c r="F2176" s="116">
        <v>854.75</v>
      </c>
      <c r="G2176">
        <v>6960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45210</v>
      </c>
      <c r="B2177" s="116">
        <v>870.6</v>
      </c>
      <c r="C2177" s="116">
        <v>862.1</v>
      </c>
      <c r="D2177" s="116">
        <v>855.05</v>
      </c>
      <c r="E2177" s="116">
        <v>855.05</v>
      </c>
      <c r="F2177" s="116">
        <v>862.1</v>
      </c>
      <c r="G2177">
        <v>9287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45211</v>
      </c>
      <c r="B2178" s="116">
        <v>870.85</v>
      </c>
      <c r="C2178" s="116">
        <v>857.1</v>
      </c>
      <c r="D2178" s="116">
        <v>855.95</v>
      </c>
      <c r="E2178" s="116">
        <v>870.85</v>
      </c>
      <c r="F2178" s="116">
        <v>857.1</v>
      </c>
      <c r="G2178">
        <v>7642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45212</v>
      </c>
      <c r="B2179" s="116">
        <v>855</v>
      </c>
      <c r="C2179" s="116">
        <v>845.2</v>
      </c>
      <c r="D2179" s="116">
        <v>839.15</v>
      </c>
      <c r="E2179" s="116">
        <v>855</v>
      </c>
      <c r="F2179" s="116">
        <v>845.2</v>
      </c>
      <c r="G2179">
        <v>36092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45215</v>
      </c>
      <c r="B2180" s="116">
        <v>854.45</v>
      </c>
      <c r="C2180" s="116">
        <v>852.2</v>
      </c>
      <c r="D2180" s="116">
        <v>842.05</v>
      </c>
      <c r="E2180" s="116">
        <v>846</v>
      </c>
      <c r="F2180" s="116">
        <v>852.2</v>
      </c>
      <c r="G2180">
        <v>42700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45216</v>
      </c>
      <c r="B2181" s="116">
        <v>856.5</v>
      </c>
      <c r="C2181" s="116">
        <v>850.65</v>
      </c>
      <c r="D2181" s="116">
        <v>847.5</v>
      </c>
      <c r="E2181" s="116">
        <v>851.35</v>
      </c>
      <c r="F2181" s="116">
        <v>850.65</v>
      </c>
      <c r="G2181">
        <v>4789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45217</v>
      </c>
      <c r="B2182" s="116">
        <v>856.6</v>
      </c>
      <c r="C2182" s="116">
        <v>833.6</v>
      </c>
      <c r="D2182" s="116">
        <v>830.2</v>
      </c>
      <c r="E2182" s="116">
        <v>850.65</v>
      </c>
      <c r="F2182" s="116">
        <v>833.6</v>
      </c>
      <c r="G2182">
        <v>16573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45218</v>
      </c>
      <c r="B2183" s="116">
        <v>847.85</v>
      </c>
      <c r="C2183" s="116">
        <v>839.3</v>
      </c>
      <c r="D2183" s="116">
        <v>823.05</v>
      </c>
      <c r="E2183" s="116">
        <v>847.85</v>
      </c>
      <c r="F2183" s="116">
        <v>839.3</v>
      </c>
      <c r="G2183">
        <v>13834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45219</v>
      </c>
      <c r="B2184" s="116">
        <v>837.9</v>
      </c>
      <c r="C2184" s="116">
        <v>818.55</v>
      </c>
      <c r="D2184" s="116">
        <v>812.75</v>
      </c>
      <c r="E2184" s="116">
        <v>820</v>
      </c>
      <c r="F2184" s="116">
        <v>818.55</v>
      </c>
      <c r="G2184">
        <v>61170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45222</v>
      </c>
      <c r="B2185" s="116">
        <v>831.95</v>
      </c>
      <c r="C2185" s="116">
        <v>818.5</v>
      </c>
      <c r="D2185" s="116">
        <v>806.9</v>
      </c>
      <c r="E2185" s="116">
        <v>819</v>
      </c>
      <c r="F2185" s="116">
        <v>818.5</v>
      </c>
      <c r="G2185">
        <v>24553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45224</v>
      </c>
      <c r="B2186" s="116">
        <v>843</v>
      </c>
      <c r="C2186" s="116">
        <v>816.7</v>
      </c>
      <c r="D2186" s="116">
        <v>814.45</v>
      </c>
      <c r="E2186" s="116">
        <v>822.15</v>
      </c>
      <c r="F2186" s="116">
        <v>816.7</v>
      </c>
      <c r="G2186">
        <v>22299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45225</v>
      </c>
      <c r="B2187" s="116">
        <v>833.1</v>
      </c>
      <c r="C2187" s="116">
        <v>828.45</v>
      </c>
      <c r="D2187" s="116">
        <v>810.05</v>
      </c>
      <c r="E2187" s="116">
        <v>810.05</v>
      </c>
      <c r="F2187" s="116">
        <v>828.45</v>
      </c>
      <c r="G2187">
        <v>30307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45226</v>
      </c>
      <c r="B2188" s="116">
        <v>838.95</v>
      </c>
      <c r="C2188" s="116">
        <v>835.05</v>
      </c>
      <c r="D2188" s="116">
        <v>826.2</v>
      </c>
      <c r="E2188" s="116">
        <v>838.95</v>
      </c>
      <c r="F2188" s="116">
        <v>835.05</v>
      </c>
      <c r="G2188">
        <v>18834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45229</v>
      </c>
      <c r="B2189" s="116">
        <v>840</v>
      </c>
      <c r="C2189" s="116">
        <v>834.35</v>
      </c>
      <c r="D2189" s="116">
        <v>820.85</v>
      </c>
      <c r="E2189" s="116">
        <v>838.85</v>
      </c>
      <c r="F2189" s="116">
        <v>834.35</v>
      </c>
      <c r="G2189">
        <v>21022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45230</v>
      </c>
      <c r="B2190" s="116">
        <v>840.1</v>
      </c>
      <c r="C2190" s="116">
        <v>837.25</v>
      </c>
      <c r="D2190" s="116">
        <v>830</v>
      </c>
      <c r="E2190" s="116">
        <v>834.05</v>
      </c>
      <c r="F2190" s="116">
        <v>837.25</v>
      </c>
      <c r="G2190">
        <v>8127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45231</v>
      </c>
      <c r="B2191" s="116">
        <v>841.4</v>
      </c>
      <c r="C2191" s="116">
        <v>829.85</v>
      </c>
      <c r="D2191" s="116">
        <v>828.4</v>
      </c>
      <c r="E2191" s="116">
        <v>841.4</v>
      </c>
      <c r="F2191" s="116">
        <v>829.85</v>
      </c>
      <c r="G2191">
        <v>4972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45232</v>
      </c>
      <c r="B2192" s="116">
        <v>839.3</v>
      </c>
      <c r="C2192" s="116">
        <v>834.25</v>
      </c>
      <c r="D2192" s="116">
        <v>831.45</v>
      </c>
      <c r="E2192" s="116">
        <v>834.35</v>
      </c>
      <c r="F2192" s="116">
        <v>834.25</v>
      </c>
      <c r="G2192">
        <v>4612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45233</v>
      </c>
      <c r="B2193" s="116">
        <v>840</v>
      </c>
      <c r="C2193" s="116">
        <v>835.15</v>
      </c>
      <c r="D2193" s="116">
        <v>832</v>
      </c>
      <c r="E2193" s="116">
        <v>834.75</v>
      </c>
      <c r="F2193" s="116">
        <v>835.15</v>
      </c>
      <c r="G2193">
        <v>13888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45236</v>
      </c>
      <c r="B2194" s="116">
        <v>839.5</v>
      </c>
      <c r="C2194" s="116">
        <v>827.4</v>
      </c>
      <c r="D2194" s="116">
        <v>826.4</v>
      </c>
      <c r="E2194" s="116">
        <v>835.7</v>
      </c>
      <c r="F2194" s="116">
        <v>827.4</v>
      </c>
      <c r="G2194">
        <v>10864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45237</v>
      </c>
      <c r="B2195" s="116">
        <v>829.2</v>
      </c>
      <c r="C2195" s="116">
        <v>813.8</v>
      </c>
      <c r="D2195" s="116">
        <v>811.7</v>
      </c>
      <c r="E2195" s="116">
        <v>827.9</v>
      </c>
      <c r="F2195" s="116">
        <v>813.8</v>
      </c>
      <c r="G2195">
        <v>27169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45238</v>
      </c>
      <c r="B2196" s="116">
        <v>824.8</v>
      </c>
      <c r="C2196" s="116">
        <v>820.15</v>
      </c>
      <c r="D2196" s="116">
        <v>817</v>
      </c>
      <c r="E2196" s="116">
        <v>819.05</v>
      </c>
      <c r="F2196" s="116">
        <v>820.15</v>
      </c>
      <c r="G2196">
        <v>24934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45239</v>
      </c>
      <c r="B2197" s="116">
        <v>830.4</v>
      </c>
      <c r="C2197" s="116">
        <v>827.7</v>
      </c>
      <c r="D2197" s="116">
        <v>814.8</v>
      </c>
      <c r="E2197" s="116">
        <v>820.1</v>
      </c>
      <c r="F2197" s="116">
        <v>827.7</v>
      </c>
      <c r="G2197">
        <v>15582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45240</v>
      </c>
      <c r="B2198" s="116">
        <v>833.25</v>
      </c>
      <c r="C2198" s="116">
        <v>829.45</v>
      </c>
      <c r="D2198" s="116">
        <v>817.9</v>
      </c>
      <c r="E2198" s="116">
        <v>831.05</v>
      </c>
      <c r="F2198" s="116">
        <v>829.45</v>
      </c>
      <c r="G2198">
        <v>22325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45242</v>
      </c>
      <c r="B2199" s="116">
        <v>835.45</v>
      </c>
      <c r="C2199" s="116">
        <v>829.5</v>
      </c>
      <c r="D2199" s="116">
        <v>825.05</v>
      </c>
      <c r="E2199" s="116">
        <v>831</v>
      </c>
      <c r="F2199" s="116">
        <v>829.5</v>
      </c>
      <c r="G2199">
        <v>3222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45243</v>
      </c>
      <c r="B2200" s="116">
        <v>828.15</v>
      </c>
      <c r="C2200" s="116">
        <v>813.3</v>
      </c>
      <c r="D2200" s="116">
        <v>811.7</v>
      </c>
      <c r="E2200" s="116">
        <v>828.15</v>
      </c>
      <c r="F2200" s="116">
        <v>813.3</v>
      </c>
      <c r="G2200">
        <v>29125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45245</v>
      </c>
      <c r="B2201" s="116">
        <v>830.95</v>
      </c>
      <c r="C2201" s="116">
        <v>824.85</v>
      </c>
      <c r="D2201" s="116">
        <v>813.05</v>
      </c>
      <c r="E2201" s="116">
        <v>824.95</v>
      </c>
      <c r="F2201" s="116">
        <v>824.85</v>
      </c>
      <c r="G2201">
        <v>12349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45246</v>
      </c>
      <c r="B2202" s="116">
        <v>827.7</v>
      </c>
      <c r="C2202" s="116">
        <v>820.75</v>
      </c>
      <c r="D2202" s="116">
        <v>819.5</v>
      </c>
      <c r="E2202" s="116">
        <v>821.05</v>
      </c>
      <c r="F2202" s="116">
        <v>820.75</v>
      </c>
      <c r="G2202">
        <v>22595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45247</v>
      </c>
      <c r="B2203" s="116">
        <v>832</v>
      </c>
      <c r="C2203" s="116">
        <v>824.15</v>
      </c>
      <c r="D2203" s="116">
        <v>818.95</v>
      </c>
      <c r="E2203" s="116">
        <v>820.85</v>
      </c>
      <c r="F2203" s="116">
        <v>824.15</v>
      </c>
      <c r="G2203">
        <v>12159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45250</v>
      </c>
      <c r="B2204" s="116">
        <v>832.45</v>
      </c>
      <c r="C2204" s="116">
        <v>828.65</v>
      </c>
      <c r="D2204" s="116">
        <v>815.85</v>
      </c>
      <c r="E2204" s="116">
        <v>826.05</v>
      </c>
      <c r="F2204" s="116">
        <v>828.65</v>
      </c>
      <c r="G2204">
        <v>14197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45251</v>
      </c>
      <c r="B2205" s="116">
        <v>852</v>
      </c>
      <c r="C2205" s="116">
        <v>843.35</v>
      </c>
      <c r="D2205" s="116">
        <v>830.75</v>
      </c>
      <c r="E2205" s="116">
        <v>832.3</v>
      </c>
      <c r="F2205" s="116">
        <v>843.35</v>
      </c>
      <c r="G2205">
        <v>71395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45252</v>
      </c>
      <c r="B2206" s="116">
        <v>853.1</v>
      </c>
      <c r="C2206" s="116">
        <v>847.8</v>
      </c>
      <c r="D2206" s="116">
        <v>839.6</v>
      </c>
      <c r="E2206" s="116">
        <v>845</v>
      </c>
      <c r="F2206" s="116">
        <v>847.8</v>
      </c>
      <c r="G2206">
        <v>16186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45253</v>
      </c>
      <c r="B2207" s="116">
        <v>852.3</v>
      </c>
      <c r="C2207" s="116">
        <v>834.7</v>
      </c>
      <c r="D2207" s="116">
        <v>834.15</v>
      </c>
      <c r="E2207" s="116">
        <v>847.85</v>
      </c>
      <c r="F2207" s="116">
        <v>834.7</v>
      </c>
      <c r="G2207">
        <v>9594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45254</v>
      </c>
      <c r="B2208" s="116">
        <v>836.6</v>
      </c>
      <c r="C2208" s="116">
        <v>823.95</v>
      </c>
      <c r="D2208" s="116">
        <v>819.45</v>
      </c>
      <c r="E2208" s="116">
        <v>835.05</v>
      </c>
      <c r="F2208" s="116">
        <v>823.95</v>
      </c>
      <c r="G2208">
        <v>9196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45258</v>
      </c>
      <c r="B2209" s="116">
        <v>825.8</v>
      </c>
      <c r="C2209" s="116">
        <v>820.4</v>
      </c>
      <c r="D2209" s="116">
        <v>818</v>
      </c>
      <c r="E2209" s="116">
        <v>824.05</v>
      </c>
      <c r="F2209" s="116">
        <v>820.4</v>
      </c>
      <c r="G2209">
        <v>16522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45259</v>
      </c>
      <c r="B2210" s="116">
        <v>827</v>
      </c>
      <c r="C2210" s="116">
        <v>820.15</v>
      </c>
      <c r="D2210" s="116">
        <v>819.1</v>
      </c>
      <c r="E2210" s="116">
        <v>823</v>
      </c>
      <c r="F2210" s="116">
        <v>820.15</v>
      </c>
      <c r="G2210">
        <v>38123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45260</v>
      </c>
      <c r="B2211" s="116">
        <v>829.15</v>
      </c>
      <c r="C2211" s="116">
        <v>826.95</v>
      </c>
      <c r="D2211" s="116">
        <v>811.5</v>
      </c>
      <c r="E2211" s="116">
        <v>822.85</v>
      </c>
      <c r="F2211" s="116">
        <v>826.95</v>
      </c>
      <c r="G2211">
        <v>112761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45261</v>
      </c>
      <c r="B2212" s="116">
        <v>841.05</v>
      </c>
      <c r="C2212" s="116">
        <v>835</v>
      </c>
      <c r="D2212" s="116">
        <v>828.55</v>
      </c>
      <c r="E2212" s="116">
        <v>829.95</v>
      </c>
      <c r="F2212" s="116">
        <v>835</v>
      </c>
      <c r="G2212">
        <v>13355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45264</v>
      </c>
      <c r="B2213" s="116">
        <v>848.5</v>
      </c>
      <c r="C2213" s="116">
        <v>837.65</v>
      </c>
      <c r="D2213" s="116">
        <v>830.5</v>
      </c>
      <c r="E2213" s="116">
        <v>844.95</v>
      </c>
      <c r="F2213" s="116">
        <v>837.65</v>
      </c>
      <c r="G2213">
        <v>34481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45265</v>
      </c>
      <c r="B2214" s="116">
        <v>846.5</v>
      </c>
      <c r="C2214" s="116">
        <v>832.2</v>
      </c>
      <c r="D2214" s="116">
        <v>825.65</v>
      </c>
      <c r="E2214" s="116">
        <v>840</v>
      </c>
      <c r="F2214" s="116">
        <v>832.2</v>
      </c>
      <c r="G2214">
        <v>33310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45266</v>
      </c>
      <c r="B2215" s="116">
        <v>849.9</v>
      </c>
      <c r="C2215" s="116">
        <v>844.95</v>
      </c>
      <c r="D2215" s="116">
        <v>834.05</v>
      </c>
      <c r="E2215" s="116">
        <v>839</v>
      </c>
      <c r="F2215" s="116">
        <v>844.95</v>
      </c>
      <c r="G2215">
        <v>26340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45267</v>
      </c>
      <c r="B2216" s="116">
        <v>869.75</v>
      </c>
      <c r="C2216" s="116">
        <v>865.85</v>
      </c>
      <c r="D2216" s="116">
        <v>833.15</v>
      </c>
      <c r="E2216" s="116">
        <v>848.95</v>
      </c>
      <c r="F2216" s="116">
        <v>865.85</v>
      </c>
      <c r="G2216">
        <v>39809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45268</v>
      </c>
      <c r="B2217" s="116">
        <v>878.4</v>
      </c>
      <c r="C2217" s="116">
        <v>855.35</v>
      </c>
      <c r="D2217" s="116">
        <v>845.4</v>
      </c>
      <c r="E2217" s="116">
        <v>872.9</v>
      </c>
      <c r="F2217" s="116">
        <v>855.35</v>
      </c>
      <c r="G2217">
        <v>56315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45271</v>
      </c>
      <c r="B2218" s="116">
        <v>865.85</v>
      </c>
      <c r="C2218" s="116">
        <v>853.7</v>
      </c>
      <c r="D2218" s="116">
        <v>851.05</v>
      </c>
      <c r="E2218" s="116">
        <v>864.2</v>
      </c>
      <c r="F2218" s="116">
        <v>853.7</v>
      </c>
      <c r="G2218">
        <v>38753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45272</v>
      </c>
      <c r="B2219" s="116">
        <v>861.5</v>
      </c>
      <c r="C2219" s="116">
        <v>851.2</v>
      </c>
      <c r="D2219" s="116">
        <v>847.25</v>
      </c>
      <c r="E2219" s="116">
        <v>853.9</v>
      </c>
      <c r="F2219" s="116">
        <v>851.2</v>
      </c>
      <c r="G2219">
        <v>35037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45273</v>
      </c>
      <c r="B2220" s="116">
        <v>856.25</v>
      </c>
      <c r="C2220" s="116">
        <v>852.15</v>
      </c>
      <c r="D2220" s="116">
        <v>841.95</v>
      </c>
      <c r="E2220" s="116">
        <v>852.3</v>
      </c>
      <c r="F2220" s="116">
        <v>852.15</v>
      </c>
      <c r="G2220">
        <v>224789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45274</v>
      </c>
      <c r="B2221" s="116">
        <v>860.45</v>
      </c>
      <c r="C2221" s="116">
        <v>853.4</v>
      </c>
      <c r="D2221" s="116">
        <v>849.75</v>
      </c>
      <c r="E2221" s="116">
        <v>853.05</v>
      </c>
      <c r="F2221" s="116">
        <v>853.4</v>
      </c>
      <c r="G2221">
        <v>24312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45275</v>
      </c>
      <c r="B2222" s="116">
        <v>869.35</v>
      </c>
      <c r="C2222" s="116">
        <v>860.45</v>
      </c>
      <c r="D2222" s="116">
        <v>855.05</v>
      </c>
      <c r="E2222" s="116">
        <v>856</v>
      </c>
      <c r="F2222" s="116">
        <v>860.45</v>
      </c>
      <c r="G2222">
        <v>386268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45278</v>
      </c>
      <c r="B2223" s="116">
        <v>872.25</v>
      </c>
      <c r="C2223" s="116">
        <v>868.45</v>
      </c>
      <c r="D2223" s="116">
        <v>857.55</v>
      </c>
      <c r="E2223" s="116">
        <v>863.95</v>
      </c>
      <c r="F2223" s="116">
        <v>868.45</v>
      </c>
      <c r="G2223">
        <v>167663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45279</v>
      </c>
      <c r="B2224" s="116">
        <v>904</v>
      </c>
      <c r="C2224" s="116">
        <v>896.65</v>
      </c>
      <c r="D2224" s="116">
        <v>868.55</v>
      </c>
      <c r="E2224" s="116">
        <v>871</v>
      </c>
      <c r="F2224" s="116">
        <v>896.65</v>
      </c>
      <c r="G2224">
        <v>161829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45280</v>
      </c>
      <c r="B2225" s="116">
        <v>957</v>
      </c>
      <c r="C2225" s="116">
        <v>928.2</v>
      </c>
      <c r="D2225" s="116">
        <v>905.2</v>
      </c>
      <c r="E2225" s="116">
        <v>905.2</v>
      </c>
      <c r="F2225" s="116">
        <v>928.2</v>
      </c>
      <c r="G2225">
        <v>316192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45281</v>
      </c>
      <c r="B2226" s="116">
        <v>948</v>
      </c>
      <c r="C2226" s="116">
        <v>943.15</v>
      </c>
      <c r="D2226" s="116">
        <v>916.55</v>
      </c>
      <c r="E2226" s="116">
        <v>929</v>
      </c>
      <c r="F2226" s="116">
        <v>943.15</v>
      </c>
      <c r="G2226">
        <v>139650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45282</v>
      </c>
      <c r="B2227" s="116">
        <v>954</v>
      </c>
      <c r="C2227" s="116">
        <v>947.05</v>
      </c>
      <c r="D2227" s="116">
        <v>943.15</v>
      </c>
      <c r="E2227" s="116">
        <v>949</v>
      </c>
      <c r="F2227" s="116">
        <v>947.05</v>
      </c>
      <c r="G2227">
        <v>77761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45286</v>
      </c>
      <c r="B2228" s="116">
        <v>968.7</v>
      </c>
      <c r="C2228" s="116">
        <v>965.45</v>
      </c>
      <c r="D2228" s="116">
        <v>948.55</v>
      </c>
      <c r="E2228" s="116">
        <v>949.55</v>
      </c>
      <c r="F2228" s="116">
        <v>965.45</v>
      </c>
      <c r="G2228">
        <v>43146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45287</v>
      </c>
      <c r="B2229" s="116">
        <v>993</v>
      </c>
      <c r="C2229" s="116">
        <v>985.25</v>
      </c>
      <c r="D2229" s="116">
        <v>964.95</v>
      </c>
      <c r="E2229" s="116">
        <v>964.95</v>
      </c>
      <c r="F2229" s="116">
        <v>985.25</v>
      </c>
      <c r="G2229">
        <v>59742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45288</v>
      </c>
      <c r="B2230" s="116">
        <v>991.55</v>
      </c>
      <c r="C2230" s="116">
        <v>971.85</v>
      </c>
      <c r="D2230" s="116">
        <v>965.05</v>
      </c>
      <c r="E2230" s="116">
        <v>978.3</v>
      </c>
      <c r="F2230" s="116">
        <v>971.85</v>
      </c>
      <c r="G2230">
        <v>88119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45289</v>
      </c>
      <c r="B2231" s="116">
        <v>985</v>
      </c>
      <c r="C2231" s="116">
        <v>978.45</v>
      </c>
      <c r="D2231" s="116">
        <v>969.25</v>
      </c>
      <c r="E2231" s="116">
        <v>969.25</v>
      </c>
      <c r="F2231" s="116">
        <v>978.45</v>
      </c>
      <c r="G2231">
        <v>60523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45292</v>
      </c>
      <c r="B2232" s="116">
        <v>983.95</v>
      </c>
      <c r="C2232" s="116">
        <v>977.6</v>
      </c>
      <c r="D2232" s="116">
        <v>972</v>
      </c>
      <c r="E2232" s="116">
        <v>983.95</v>
      </c>
      <c r="F2232" s="116">
        <v>977.6</v>
      </c>
      <c r="G2232">
        <v>94443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A2733" s="170">
        <v>46028</v>
      </c>
      <c r="B2733">
        <v>1504.6</v>
      </c>
      <c r="C2733">
        <v>1486.15</v>
      </c>
      <c r="D2733">
        <v>1473.85</v>
      </c>
      <c r="E2733">
        <v>1479</v>
      </c>
      <c r="F2733">
        <v>1486.15</v>
      </c>
      <c r="G2733">
        <v>69155</v>
      </c>
      <c r="H2733" s="116"/>
      <c r="I2733" s="116"/>
      <c r="L2733" s="170">
        <v>46028</v>
      </c>
      <c r="M2733" s="116">
        <v>1486.2</v>
      </c>
      <c r="N2733" s="116">
        <v>1505</v>
      </c>
      <c r="O2733" s="116">
        <v>1472.8</v>
      </c>
      <c r="P2733" s="116">
        <v>1476.8</v>
      </c>
      <c r="Q2733" s="116">
        <v>1486.2</v>
      </c>
      <c r="R2733">
        <v>1231903</v>
      </c>
    </row>
    <row r="2734" spans="1:18" x14ac:dyDescent="0.25">
      <c r="A2734" s="170">
        <v>46029</v>
      </c>
      <c r="B2734">
        <v>1517.2</v>
      </c>
      <c r="C2734">
        <v>1506.75</v>
      </c>
      <c r="D2734">
        <v>1477.15</v>
      </c>
      <c r="E2734">
        <v>1477.15</v>
      </c>
      <c r="F2734">
        <v>1506.75</v>
      </c>
      <c r="G2734">
        <v>155658</v>
      </c>
      <c r="H2734" s="116"/>
      <c r="I2734" s="116"/>
      <c r="L2734" s="170">
        <v>46029</v>
      </c>
      <c r="M2734" s="116">
        <v>1507.6</v>
      </c>
      <c r="N2734" s="116">
        <v>1517.9</v>
      </c>
      <c r="O2734" s="116">
        <v>1482.4</v>
      </c>
      <c r="P2734" s="116">
        <v>1485</v>
      </c>
      <c r="Q2734" s="116">
        <v>1507.6</v>
      </c>
      <c r="R2734">
        <v>1046719</v>
      </c>
    </row>
    <row r="2735" spans="1:18" x14ac:dyDescent="0.25">
      <c r="A2735" s="170">
        <v>46030</v>
      </c>
      <c r="B2735">
        <v>1510</v>
      </c>
      <c r="C2735">
        <v>1467.95</v>
      </c>
      <c r="D2735">
        <v>1463.25</v>
      </c>
      <c r="E2735">
        <v>1506.75</v>
      </c>
      <c r="F2735">
        <v>1467.95</v>
      </c>
      <c r="G2735">
        <v>31336</v>
      </c>
      <c r="H2735" s="116"/>
      <c r="I2735" s="116"/>
      <c r="L2735" s="170">
        <v>46030</v>
      </c>
      <c r="M2735" s="116">
        <v>1469.1</v>
      </c>
      <c r="N2735" s="116">
        <v>1512</v>
      </c>
      <c r="O2735" s="116">
        <v>1465.1</v>
      </c>
      <c r="P2735" s="116">
        <v>1507.7</v>
      </c>
      <c r="Q2735" s="116">
        <v>1469.1</v>
      </c>
      <c r="R2735">
        <v>375644</v>
      </c>
    </row>
    <row r="2736" spans="1:18" x14ac:dyDescent="0.25">
      <c r="A2736" s="170">
        <v>46031</v>
      </c>
      <c r="B2736">
        <v>1482.7</v>
      </c>
      <c r="C2736">
        <v>1466.3</v>
      </c>
      <c r="D2736">
        <v>1457.8</v>
      </c>
      <c r="E2736">
        <v>1463</v>
      </c>
      <c r="F2736">
        <v>1466.3</v>
      </c>
      <c r="G2736">
        <v>20239</v>
      </c>
      <c r="H2736" s="116"/>
      <c r="I2736" s="116"/>
      <c r="L2736" s="170">
        <v>46031</v>
      </c>
      <c r="M2736" s="116">
        <v>1466.8</v>
      </c>
      <c r="N2736" s="116">
        <v>1482.8</v>
      </c>
      <c r="O2736" s="116">
        <v>1458</v>
      </c>
      <c r="P2736" s="116">
        <v>1465</v>
      </c>
      <c r="Q2736" s="116">
        <v>1466.8</v>
      </c>
      <c r="R2736">
        <v>368916</v>
      </c>
    </row>
    <row r="2737" spans="1:18" x14ac:dyDescent="0.25">
      <c r="A2737" s="170">
        <v>46034</v>
      </c>
      <c r="B2737">
        <v>1483.35</v>
      </c>
      <c r="C2737">
        <v>1468.45</v>
      </c>
      <c r="D2737">
        <v>1457.05</v>
      </c>
      <c r="E2737">
        <v>1457.7</v>
      </c>
      <c r="F2737">
        <v>1468.45</v>
      </c>
      <c r="G2737">
        <v>6348</v>
      </c>
      <c r="H2737" s="116"/>
      <c r="I2737" s="116"/>
      <c r="L2737" s="170">
        <v>46034</v>
      </c>
      <c r="M2737" s="116">
        <v>1468.2</v>
      </c>
      <c r="N2737" s="116">
        <v>1483.3</v>
      </c>
      <c r="O2737" s="116">
        <v>1457</v>
      </c>
      <c r="P2737" s="116">
        <v>1461</v>
      </c>
      <c r="Q2737" s="116">
        <v>1468.2</v>
      </c>
      <c r="R2737">
        <v>802829</v>
      </c>
    </row>
    <row r="2738" spans="1:18" x14ac:dyDescent="0.25">
      <c r="A2738" s="170">
        <v>46035</v>
      </c>
      <c r="B2738">
        <v>1480</v>
      </c>
      <c r="C2738">
        <v>1463.7</v>
      </c>
      <c r="D2738">
        <v>1446</v>
      </c>
      <c r="E2738">
        <v>1465.15</v>
      </c>
      <c r="F2738">
        <v>1463.7</v>
      </c>
      <c r="G2738">
        <v>10661</v>
      </c>
      <c r="H2738" s="116"/>
      <c r="I2738" s="116"/>
      <c r="L2738" s="170">
        <v>46035</v>
      </c>
      <c r="M2738" s="116">
        <v>1460.7</v>
      </c>
      <c r="N2738" s="116">
        <v>1479.8</v>
      </c>
      <c r="O2738" s="116">
        <v>1445.5</v>
      </c>
      <c r="P2738" s="116">
        <v>1470</v>
      </c>
      <c r="Q2738" s="116">
        <v>1460.7</v>
      </c>
      <c r="R2738">
        <v>403722</v>
      </c>
    </row>
    <row r="2739" spans="1:18" x14ac:dyDescent="0.25">
      <c r="A2739" s="170">
        <v>46036</v>
      </c>
      <c r="B2739">
        <v>1455</v>
      </c>
      <c r="C2739">
        <v>1439.55</v>
      </c>
      <c r="D2739">
        <v>1429.15</v>
      </c>
      <c r="E2739">
        <v>1447.35</v>
      </c>
      <c r="F2739">
        <v>1439.55</v>
      </c>
      <c r="G2739">
        <v>27447</v>
      </c>
      <c r="H2739" s="116"/>
      <c r="I2739" s="116"/>
      <c r="L2739" s="170">
        <v>46036</v>
      </c>
      <c r="M2739" s="116">
        <v>1439.9</v>
      </c>
      <c r="N2739" s="116">
        <v>1459</v>
      </c>
      <c r="O2739" s="116">
        <v>1429.1</v>
      </c>
      <c r="P2739" s="116">
        <v>1459</v>
      </c>
      <c r="Q2739" s="116">
        <v>1439.9</v>
      </c>
      <c r="R2739">
        <v>464407</v>
      </c>
    </row>
    <row r="2740" spans="1:18" x14ac:dyDescent="0.25">
      <c r="A2740" s="170">
        <v>46038</v>
      </c>
      <c r="B2740">
        <v>1447.95</v>
      </c>
      <c r="C2740">
        <v>1410.95</v>
      </c>
      <c r="D2740">
        <v>1407.6</v>
      </c>
      <c r="E2740">
        <v>1426.95</v>
      </c>
      <c r="F2740">
        <v>1410.95</v>
      </c>
      <c r="G2740">
        <v>9266</v>
      </c>
      <c r="H2740" s="116"/>
      <c r="I2740" s="116"/>
      <c r="L2740" s="170">
        <v>46038</v>
      </c>
      <c r="M2740" s="116">
        <v>1411.4</v>
      </c>
      <c r="N2740" s="116">
        <v>1448.5</v>
      </c>
      <c r="O2740" s="116">
        <v>1407</v>
      </c>
      <c r="P2740" s="116">
        <v>1440</v>
      </c>
      <c r="Q2740" s="116">
        <v>1411.4</v>
      </c>
      <c r="R2740">
        <v>432002</v>
      </c>
    </row>
    <row r="2741" spans="1:18" x14ac:dyDescent="0.25">
      <c r="A2741" s="170">
        <v>46041</v>
      </c>
      <c r="B2741">
        <v>1417.7</v>
      </c>
      <c r="C2741">
        <v>1398.7</v>
      </c>
      <c r="D2741">
        <v>1394.9</v>
      </c>
      <c r="E2741">
        <v>1403.65</v>
      </c>
      <c r="F2741">
        <v>1398.7</v>
      </c>
      <c r="G2741">
        <v>4863</v>
      </c>
      <c r="H2741" s="116"/>
      <c r="I2741" s="116"/>
      <c r="L2741" s="170">
        <v>46041</v>
      </c>
      <c r="M2741" s="116">
        <v>1398.4</v>
      </c>
      <c r="N2741" s="116">
        <v>1417.6</v>
      </c>
      <c r="O2741" s="116">
        <v>1395</v>
      </c>
      <c r="P2741" s="116">
        <v>1405.2</v>
      </c>
      <c r="Q2741" s="116">
        <v>1398.4</v>
      </c>
      <c r="R2741">
        <v>592965</v>
      </c>
    </row>
    <row r="2742" spans="1:18" x14ac:dyDescent="0.25">
      <c r="A2742" s="170">
        <v>46042</v>
      </c>
      <c r="B2742">
        <v>1399.95</v>
      </c>
      <c r="C2742">
        <v>1326.35</v>
      </c>
      <c r="D2742">
        <v>1320</v>
      </c>
      <c r="E2742">
        <v>1397.3</v>
      </c>
      <c r="F2742">
        <v>1326.35</v>
      </c>
      <c r="G2742">
        <v>20237</v>
      </c>
      <c r="H2742" s="116"/>
      <c r="I2742" s="116"/>
      <c r="L2742" s="170">
        <v>46042</v>
      </c>
      <c r="M2742" s="116">
        <v>1324.3</v>
      </c>
      <c r="N2742" s="116">
        <v>1402.4</v>
      </c>
      <c r="O2742" s="116">
        <v>1319.2</v>
      </c>
      <c r="P2742" s="116">
        <v>1390.5</v>
      </c>
      <c r="Q2742" s="116">
        <v>1324.3</v>
      </c>
      <c r="R2742">
        <v>634651</v>
      </c>
    </row>
    <row r="2743" spans="1:18" x14ac:dyDescent="0.25">
      <c r="A2743" s="170">
        <v>46043</v>
      </c>
      <c r="B2743">
        <v>1329.9</v>
      </c>
      <c r="C2743">
        <v>1289.4000000000001</v>
      </c>
      <c r="D2743">
        <v>1274.3</v>
      </c>
      <c r="E2743">
        <v>1320</v>
      </c>
      <c r="F2743">
        <v>1289.4000000000001</v>
      </c>
      <c r="G2743">
        <v>27622</v>
      </c>
      <c r="H2743" s="116"/>
      <c r="I2743" s="116"/>
      <c r="L2743" s="170">
        <v>46043</v>
      </c>
      <c r="M2743" s="116">
        <v>1290.5999999999999</v>
      </c>
      <c r="N2743" s="116">
        <v>1331.3</v>
      </c>
      <c r="O2743" s="116">
        <v>1274.2</v>
      </c>
      <c r="P2743" s="116">
        <v>1320</v>
      </c>
      <c r="Q2743" s="116">
        <v>1290.5999999999999</v>
      </c>
      <c r="R2743">
        <v>868081</v>
      </c>
    </row>
    <row r="2744" spans="1:18" x14ac:dyDescent="0.25">
      <c r="A2744" s="170">
        <v>46044</v>
      </c>
      <c r="B2744">
        <v>1312</v>
      </c>
      <c r="C2744">
        <v>1292.95</v>
      </c>
      <c r="D2744">
        <v>1275</v>
      </c>
      <c r="E2744">
        <v>1297</v>
      </c>
      <c r="F2744">
        <v>1292.95</v>
      </c>
      <c r="G2744">
        <v>15477</v>
      </c>
      <c r="H2744" s="116"/>
      <c r="I2744" s="116"/>
      <c r="L2744" s="170">
        <v>46044</v>
      </c>
      <c r="M2744" s="116">
        <v>1293.5</v>
      </c>
      <c r="N2744" s="116">
        <v>1313</v>
      </c>
      <c r="O2744" s="116">
        <v>1274.9000000000001</v>
      </c>
      <c r="P2744" s="116">
        <v>1304</v>
      </c>
      <c r="Q2744" s="116">
        <v>1293.5</v>
      </c>
      <c r="R2744">
        <v>740297</v>
      </c>
    </row>
    <row r="2745" spans="1:18" x14ac:dyDescent="0.25">
      <c r="A2745" s="170">
        <v>46045</v>
      </c>
      <c r="B2745">
        <v>1363.9</v>
      </c>
      <c r="C2745">
        <v>1316.2</v>
      </c>
      <c r="D2745">
        <v>1296.5</v>
      </c>
      <c r="E2745">
        <v>1299.3</v>
      </c>
      <c r="F2745">
        <v>1316.2</v>
      </c>
      <c r="G2745">
        <v>67078</v>
      </c>
      <c r="H2745" s="116"/>
      <c r="I2745" s="116"/>
      <c r="L2745" s="170">
        <v>46045</v>
      </c>
      <c r="M2745" s="116">
        <v>1315.4</v>
      </c>
      <c r="N2745" s="116">
        <v>1363</v>
      </c>
      <c r="O2745" s="116">
        <v>1295</v>
      </c>
      <c r="P2745" s="116">
        <v>1298</v>
      </c>
      <c r="Q2745" s="116">
        <v>1315.4</v>
      </c>
      <c r="R2745">
        <v>1639531</v>
      </c>
    </row>
    <row r="2746" spans="1:18" x14ac:dyDescent="0.25">
      <c r="A2746" s="170">
        <v>46049</v>
      </c>
      <c r="B2746">
        <v>1340.9</v>
      </c>
      <c r="C2746">
        <v>1330.55</v>
      </c>
      <c r="D2746">
        <v>1287.5</v>
      </c>
      <c r="E2746">
        <v>1317.4</v>
      </c>
      <c r="F2746">
        <v>1330.55</v>
      </c>
      <c r="G2746">
        <v>20541</v>
      </c>
      <c r="H2746" s="116"/>
      <c r="I2746" s="116"/>
      <c r="L2746" s="170">
        <v>46049</v>
      </c>
      <c r="M2746" s="116">
        <v>1330.6</v>
      </c>
      <c r="N2746" s="116">
        <v>1343.4</v>
      </c>
      <c r="O2746" s="116">
        <v>1288</v>
      </c>
      <c r="P2746" s="116">
        <v>1320</v>
      </c>
      <c r="Q2746" s="116">
        <v>1330.6</v>
      </c>
      <c r="R2746">
        <v>879649</v>
      </c>
    </row>
    <row r="2747" spans="1:18" x14ac:dyDescent="0.25">
      <c r="A2747" s="170">
        <v>46050</v>
      </c>
      <c r="B2747">
        <v>1382.1</v>
      </c>
      <c r="C2747">
        <v>1374.4</v>
      </c>
      <c r="D2747">
        <v>1330.65</v>
      </c>
      <c r="E2747">
        <v>1330.65</v>
      </c>
      <c r="F2747">
        <v>1374.4</v>
      </c>
      <c r="G2747">
        <v>13833</v>
      </c>
      <c r="H2747" s="116"/>
      <c r="I2747" s="116"/>
      <c r="L2747" s="170">
        <v>46050</v>
      </c>
      <c r="M2747" s="116">
        <v>1372.9</v>
      </c>
      <c r="N2747" s="116">
        <v>1379.9</v>
      </c>
      <c r="O2747" s="116">
        <v>1333.6</v>
      </c>
      <c r="P2747" s="116">
        <v>1341</v>
      </c>
      <c r="Q2747" s="116">
        <v>1372.9</v>
      </c>
      <c r="R2747">
        <v>744898</v>
      </c>
    </row>
    <row r="2748" spans="1:18" x14ac:dyDescent="0.25">
      <c r="A2748" s="170">
        <v>46051</v>
      </c>
      <c r="B2748">
        <v>1379.95</v>
      </c>
      <c r="C2748">
        <v>1347.15</v>
      </c>
      <c r="D2748">
        <v>1333.5</v>
      </c>
      <c r="E2748">
        <v>1379.95</v>
      </c>
      <c r="F2748">
        <v>1347.15</v>
      </c>
      <c r="G2748">
        <v>26030</v>
      </c>
      <c r="H2748" s="116"/>
      <c r="I2748" s="116"/>
      <c r="L2748" s="170">
        <v>46051</v>
      </c>
      <c r="M2748" s="116">
        <v>1349.1</v>
      </c>
      <c r="N2748" s="116">
        <v>1374.9</v>
      </c>
      <c r="O2748" s="116">
        <v>1332.6</v>
      </c>
      <c r="P2748" s="116">
        <v>1374.9</v>
      </c>
      <c r="Q2748" s="116">
        <v>1349.1</v>
      </c>
      <c r="R2748">
        <v>712808</v>
      </c>
    </row>
    <row r="2749" spans="1:18" x14ac:dyDescent="0.25">
      <c r="A2749" s="170">
        <v>46052</v>
      </c>
      <c r="B2749">
        <v>1363.8</v>
      </c>
      <c r="C2749">
        <v>1328.45</v>
      </c>
      <c r="D2749">
        <v>1280.4000000000001</v>
      </c>
      <c r="E2749">
        <v>1344.25</v>
      </c>
      <c r="F2749">
        <v>1328.45</v>
      </c>
      <c r="G2749">
        <v>59892</v>
      </c>
      <c r="H2749" s="116"/>
      <c r="I2749" s="116"/>
      <c r="L2749" s="170">
        <v>46052</v>
      </c>
      <c r="M2749" s="116">
        <v>1327.9</v>
      </c>
      <c r="N2749" s="116">
        <v>1364.2</v>
      </c>
      <c r="O2749" s="116">
        <v>1280</v>
      </c>
      <c r="P2749" s="116">
        <v>1341.4</v>
      </c>
      <c r="Q2749" s="116">
        <v>1327.9</v>
      </c>
      <c r="R2749">
        <v>1448958</v>
      </c>
    </row>
    <row r="2750" spans="1:18" x14ac:dyDescent="0.25">
      <c r="A2750" s="170">
        <v>46054</v>
      </c>
      <c r="B2750">
        <v>1331.2</v>
      </c>
      <c r="C2750">
        <v>1294.55</v>
      </c>
      <c r="D2750">
        <v>1284.05</v>
      </c>
      <c r="E2750">
        <v>1328</v>
      </c>
      <c r="F2750">
        <v>1294.55</v>
      </c>
      <c r="G2750">
        <v>16811</v>
      </c>
      <c r="H2750" s="116"/>
      <c r="I2750" s="116"/>
      <c r="L2750" s="170">
        <v>46054</v>
      </c>
      <c r="M2750" s="116">
        <v>1294.8</v>
      </c>
      <c r="N2750" s="116">
        <v>1331.1</v>
      </c>
      <c r="O2750" s="116">
        <v>1283.3</v>
      </c>
      <c r="P2750" s="116">
        <v>1328</v>
      </c>
      <c r="Q2750" s="116">
        <v>1294.8</v>
      </c>
      <c r="R2750">
        <v>248364</v>
      </c>
    </row>
    <row r="2751" spans="1:18" x14ac:dyDescent="0.25">
      <c r="A2751" s="170">
        <v>46055</v>
      </c>
      <c r="B2751">
        <v>1331</v>
      </c>
      <c r="C2751">
        <v>1327.4</v>
      </c>
      <c r="D2751">
        <v>1270.8</v>
      </c>
      <c r="E2751">
        <v>1282.95</v>
      </c>
      <c r="F2751">
        <v>1327.4</v>
      </c>
      <c r="G2751">
        <v>8749</v>
      </c>
      <c r="H2751" s="116"/>
      <c r="I2751" s="116"/>
      <c r="L2751" s="170">
        <v>46055</v>
      </c>
      <c r="M2751" s="116">
        <v>1326.8</v>
      </c>
      <c r="N2751" s="116">
        <v>1331.7</v>
      </c>
      <c r="O2751" s="116">
        <v>1270</v>
      </c>
      <c r="P2751" s="116">
        <v>1297.4000000000001</v>
      </c>
      <c r="Q2751" s="116">
        <v>1326.8</v>
      </c>
      <c r="R2751">
        <v>804266</v>
      </c>
    </row>
    <row r="2752" spans="1:18" x14ac:dyDescent="0.25">
      <c r="A2752" s="170">
        <v>46056</v>
      </c>
      <c r="B2752">
        <v>1379.95</v>
      </c>
      <c r="C2752">
        <v>1366.35</v>
      </c>
      <c r="D2752">
        <v>1350.05</v>
      </c>
      <c r="E2752">
        <v>1350.05</v>
      </c>
      <c r="F2752">
        <v>1366.35</v>
      </c>
      <c r="G2752">
        <v>23631</v>
      </c>
      <c r="H2752" s="116"/>
      <c r="I2752" s="116"/>
      <c r="L2752" s="170">
        <v>46056</v>
      </c>
      <c r="M2752" s="116">
        <v>1366.9</v>
      </c>
      <c r="N2752" s="116">
        <v>1387</v>
      </c>
      <c r="O2752" s="116">
        <v>1350.1</v>
      </c>
      <c r="P2752" s="116">
        <v>1351</v>
      </c>
      <c r="Q2752" s="116">
        <v>1366.9</v>
      </c>
      <c r="R2752">
        <v>885505</v>
      </c>
    </row>
    <row r="2753" spans="1:18" x14ac:dyDescent="0.25">
      <c r="A2753" s="170">
        <v>46057</v>
      </c>
      <c r="B2753">
        <v>1426</v>
      </c>
      <c r="C2753">
        <v>1420.8</v>
      </c>
      <c r="D2753">
        <v>1359.45</v>
      </c>
      <c r="E2753">
        <v>1367.05</v>
      </c>
      <c r="F2753">
        <v>1420.8</v>
      </c>
      <c r="G2753">
        <v>12325</v>
      </c>
      <c r="H2753" s="116"/>
      <c r="I2753" s="116"/>
      <c r="L2753" s="170">
        <v>46057</v>
      </c>
      <c r="M2753" s="116">
        <v>1419.5</v>
      </c>
      <c r="N2753" s="116">
        <v>1427</v>
      </c>
      <c r="O2753" s="116">
        <v>1360.2</v>
      </c>
      <c r="P2753" s="116">
        <v>1368.4</v>
      </c>
      <c r="Q2753" s="116">
        <v>1419.5</v>
      </c>
      <c r="R2753">
        <v>598049</v>
      </c>
    </row>
    <row r="2754" spans="1:18" x14ac:dyDescent="0.25">
      <c r="A2754" s="170">
        <v>46058</v>
      </c>
      <c r="B2754">
        <v>1433.95</v>
      </c>
      <c r="C2754">
        <v>1428.65</v>
      </c>
      <c r="D2754">
        <v>1404.3</v>
      </c>
      <c r="E2754">
        <v>1429</v>
      </c>
      <c r="F2754">
        <v>1428.65</v>
      </c>
      <c r="G2754">
        <v>18819</v>
      </c>
      <c r="H2754" s="116"/>
      <c r="I2754" s="116"/>
      <c r="L2754" s="170">
        <v>46058</v>
      </c>
      <c r="M2754" s="116">
        <v>1426.8</v>
      </c>
      <c r="N2754" s="116">
        <v>1434.2</v>
      </c>
      <c r="O2754" s="116">
        <v>1404.7</v>
      </c>
      <c r="P2754" s="116">
        <v>1429</v>
      </c>
      <c r="Q2754" s="116">
        <v>1426.8</v>
      </c>
      <c r="R2754">
        <v>392029</v>
      </c>
    </row>
    <row r="2755" spans="1:18" x14ac:dyDescent="0.25">
      <c r="A2755" s="170">
        <v>46059</v>
      </c>
      <c r="B2755">
        <v>1438.95</v>
      </c>
      <c r="C2755">
        <v>1435.8</v>
      </c>
      <c r="D2755">
        <v>1403.2</v>
      </c>
      <c r="E2755">
        <v>1427.8</v>
      </c>
      <c r="F2755">
        <v>1435.8</v>
      </c>
      <c r="G2755">
        <v>19780</v>
      </c>
      <c r="H2755" s="116"/>
      <c r="I2755" s="116"/>
      <c r="L2755" s="170">
        <v>46059</v>
      </c>
      <c r="M2755" s="116">
        <v>1435</v>
      </c>
      <c r="N2755" s="116">
        <v>1439.4</v>
      </c>
      <c r="O2755" s="116">
        <v>1404.1</v>
      </c>
      <c r="P2755" s="116">
        <v>1420</v>
      </c>
      <c r="Q2755" s="116">
        <v>1435</v>
      </c>
      <c r="R2755">
        <v>458866</v>
      </c>
    </row>
    <row r="2756" spans="1:18" x14ac:dyDescent="0.25">
      <c r="A2756" s="170">
        <v>46062</v>
      </c>
      <c r="B2756">
        <v>1505.8</v>
      </c>
      <c r="C2756">
        <v>1502.65</v>
      </c>
      <c r="D2756">
        <v>1435</v>
      </c>
      <c r="E2756">
        <v>1436</v>
      </c>
      <c r="F2756">
        <v>1502.65</v>
      </c>
      <c r="G2756">
        <v>52814</v>
      </c>
      <c r="H2756" s="116"/>
      <c r="I2756" s="116"/>
      <c r="L2756" s="170">
        <v>46062</v>
      </c>
      <c r="M2756" s="116">
        <v>1502.9</v>
      </c>
      <c r="N2756" s="116">
        <v>1506</v>
      </c>
      <c r="O2756" s="116">
        <v>1431.4</v>
      </c>
      <c r="P2756" s="116">
        <v>1440</v>
      </c>
      <c r="Q2756" s="116">
        <v>1502.9</v>
      </c>
      <c r="R2756">
        <v>769229</v>
      </c>
    </row>
    <row r="2757" spans="1:18" x14ac:dyDescent="0.25">
      <c r="A2757" s="170">
        <v>46063</v>
      </c>
      <c r="B2757">
        <v>1529.9</v>
      </c>
      <c r="C2757">
        <v>1476.1</v>
      </c>
      <c r="D2757">
        <v>1459.15</v>
      </c>
      <c r="E2757">
        <v>1510</v>
      </c>
      <c r="F2757">
        <v>1476.1</v>
      </c>
      <c r="G2757">
        <v>31581</v>
      </c>
      <c r="H2757" s="116"/>
      <c r="I2757" s="116"/>
      <c r="L2757" s="170">
        <v>46063</v>
      </c>
      <c r="M2757" s="116">
        <v>1475.6</v>
      </c>
      <c r="N2757" s="116">
        <v>1530</v>
      </c>
      <c r="O2757" s="116">
        <v>1459.3</v>
      </c>
      <c r="P2757" s="116">
        <v>1510</v>
      </c>
      <c r="Q2757" s="116">
        <v>1475.6</v>
      </c>
      <c r="R2757">
        <v>1416129</v>
      </c>
    </row>
    <row r="2758" spans="1:18" x14ac:dyDescent="0.25">
      <c r="A2758" s="170">
        <v>46064</v>
      </c>
      <c r="B2758">
        <v>1509</v>
      </c>
      <c r="C2758">
        <v>1506.15</v>
      </c>
      <c r="D2758">
        <v>1472.5</v>
      </c>
      <c r="E2758">
        <v>1476.9</v>
      </c>
      <c r="F2758">
        <v>1506.15</v>
      </c>
      <c r="G2758">
        <v>26411</v>
      </c>
      <c r="H2758" s="116"/>
      <c r="I2758" s="116"/>
      <c r="L2758" s="170">
        <v>46064</v>
      </c>
      <c r="M2758" s="116">
        <v>1506.5</v>
      </c>
      <c r="N2758" s="116">
        <v>1509.5</v>
      </c>
      <c r="O2758" s="116">
        <v>1472.3</v>
      </c>
      <c r="P2758" s="116">
        <v>1482.8</v>
      </c>
      <c r="Q2758" s="116">
        <v>1506.5</v>
      </c>
      <c r="R2758">
        <v>633002</v>
      </c>
    </row>
    <row r="2759" spans="1:18" x14ac:dyDescent="0.25">
      <c r="A2759" s="170">
        <v>46065</v>
      </c>
      <c r="B2759">
        <v>1545.35</v>
      </c>
      <c r="C2759">
        <v>1536.55</v>
      </c>
      <c r="D2759">
        <v>1488.05</v>
      </c>
      <c r="E2759">
        <v>1504.55</v>
      </c>
      <c r="F2759">
        <v>1536.55</v>
      </c>
      <c r="G2759">
        <v>113877</v>
      </c>
      <c r="H2759" s="116"/>
      <c r="I2759" s="116"/>
      <c r="L2759" s="170">
        <v>46065</v>
      </c>
      <c r="M2759" s="116">
        <v>1535.8</v>
      </c>
      <c r="N2759" s="116">
        <v>1546.8</v>
      </c>
      <c r="O2759" s="116">
        <v>1488.6</v>
      </c>
      <c r="P2759" s="116">
        <v>1502.3</v>
      </c>
      <c r="Q2759" s="116">
        <v>1535.8</v>
      </c>
      <c r="R2759">
        <v>1343371</v>
      </c>
    </row>
    <row r="2760" spans="1:18" x14ac:dyDescent="0.25">
      <c r="A2760" s="170">
        <v>46066</v>
      </c>
      <c r="B2760">
        <v>1533.7</v>
      </c>
      <c r="C2760">
        <v>1525.2</v>
      </c>
      <c r="D2760">
        <v>1509.75</v>
      </c>
      <c r="E2760">
        <v>1530.05</v>
      </c>
      <c r="F2760">
        <v>1525.2</v>
      </c>
      <c r="G2760">
        <v>36455</v>
      </c>
      <c r="H2760" s="116"/>
      <c r="I2760" s="116"/>
      <c r="L2760" s="170">
        <v>46066</v>
      </c>
      <c r="M2760" s="116">
        <v>1525.4</v>
      </c>
      <c r="N2760" s="116">
        <v>1534</v>
      </c>
      <c r="O2760" s="116">
        <v>1510.2</v>
      </c>
      <c r="P2760" s="116">
        <v>1534</v>
      </c>
      <c r="Q2760" s="116">
        <v>1525.4</v>
      </c>
      <c r="R2760">
        <v>534253</v>
      </c>
    </row>
    <row r="2761" spans="1:18" x14ac:dyDescent="0.25">
      <c r="A2761" s="170">
        <v>46069</v>
      </c>
      <c r="B2761">
        <v>1539.65</v>
      </c>
      <c r="C2761">
        <v>1531.95</v>
      </c>
      <c r="D2761">
        <v>1518.6</v>
      </c>
      <c r="E2761">
        <v>1525.4</v>
      </c>
      <c r="F2761">
        <v>1531.95</v>
      </c>
      <c r="G2761">
        <v>14660</v>
      </c>
      <c r="H2761" s="116"/>
      <c r="I2761" s="116"/>
      <c r="L2761" s="170">
        <v>46069</v>
      </c>
      <c r="M2761" s="116">
        <v>1530.6</v>
      </c>
      <c r="N2761" s="116">
        <v>1539.8</v>
      </c>
      <c r="O2761" s="116">
        <v>1517.4</v>
      </c>
      <c r="P2761" s="116">
        <v>1530</v>
      </c>
      <c r="Q2761" s="116">
        <v>1530.6</v>
      </c>
      <c r="R2761">
        <v>300771</v>
      </c>
    </row>
    <row r="2762" spans="1:18" x14ac:dyDescent="0.25">
      <c r="A2762" s="170">
        <v>46070</v>
      </c>
      <c r="B2762">
        <v>1535.8</v>
      </c>
      <c r="C2762">
        <v>1531.8</v>
      </c>
      <c r="D2762">
        <v>1511.2</v>
      </c>
      <c r="E2762">
        <v>1511.2</v>
      </c>
      <c r="F2762">
        <v>1531.8</v>
      </c>
      <c r="G2762">
        <v>506296</v>
      </c>
      <c r="H2762" s="116"/>
      <c r="I2762" s="116"/>
      <c r="L2762" s="170">
        <v>46070</v>
      </c>
      <c r="M2762" s="116">
        <v>1529.7</v>
      </c>
      <c r="N2762" s="116">
        <v>1540</v>
      </c>
      <c r="O2762" s="116">
        <v>1513.2</v>
      </c>
      <c r="P2762" s="116">
        <v>1540</v>
      </c>
      <c r="Q2762" s="116">
        <v>1529.7</v>
      </c>
      <c r="R2762">
        <v>444923</v>
      </c>
    </row>
    <row r="2763" spans="1:18" x14ac:dyDescent="0.25">
      <c r="A2763" s="170">
        <v>46071</v>
      </c>
      <c r="B2763">
        <v>1552</v>
      </c>
      <c r="C2763">
        <v>1543.5</v>
      </c>
      <c r="D2763">
        <v>1519.6</v>
      </c>
      <c r="E2763">
        <v>1532.15</v>
      </c>
      <c r="F2763">
        <v>1543.5</v>
      </c>
      <c r="G2763">
        <v>31866</v>
      </c>
      <c r="H2763" s="116"/>
      <c r="I2763" s="116"/>
      <c r="L2763" s="170">
        <v>46071</v>
      </c>
      <c r="M2763" s="116">
        <v>1543.4</v>
      </c>
      <c r="N2763" s="116">
        <v>1552.8</v>
      </c>
      <c r="O2763" s="116">
        <v>1519.6</v>
      </c>
      <c r="P2763" s="116">
        <v>1534.9</v>
      </c>
      <c r="Q2763" s="116">
        <v>1543.4</v>
      </c>
      <c r="R2763">
        <v>1073285</v>
      </c>
    </row>
    <row r="2764" spans="1:18" x14ac:dyDescent="0.25">
      <c r="A2764" s="170">
        <v>46072</v>
      </c>
      <c r="B2764">
        <v>1555.75</v>
      </c>
      <c r="C2764">
        <v>1511.3</v>
      </c>
      <c r="D2764">
        <v>1503.05</v>
      </c>
      <c r="E2764">
        <v>1555.75</v>
      </c>
      <c r="F2764">
        <v>1511.3</v>
      </c>
      <c r="G2764">
        <v>21606</v>
      </c>
      <c r="H2764" s="116"/>
      <c r="I2764" s="116"/>
      <c r="L2764" s="170">
        <v>46072</v>
      </c>
      <c r="M2764" s="116">
        <v>1512.7</v>
      </c>
      <c r="N2764" s="116">
        <v>1551.3</v>
      </c>
      <c r="O2764" s="116">
        <v>1504</v>
      </c>
      <c r="P2764" s="116">
        <v>1551</v>
      </c>
      <c r="Q2764" s="116">
        <v>1512.7</v>
      </c>
      <c r="R2764">
        <v>657967</v>
      </c>
    </row>
    <row r="2765" spans="1:18" x14ac:dyDescent="0.25">
      <c r="A2765" s="170">
        <v>46073</v>
      </c>
      <c r="B2765">
        <v>1550.95</v>
      </c>
      <c r="C2765">
        <v>1545.25</v>
      </c>
      <c r="D2765">
        <v>1505.4</v>
      </c>
      <c r="E2765">
        <v>1509</v>
      </c>
      <c r="F2765">
        <v>1545.25</v>
      </c>
      <c r="G2765">
        <v>211258</v>
      </c>
      <c r="H2765" s="116"/>
      <c r="I2765" s="116"/>
      <c r="L2765" s="170">
        <v>46073</v>
      </c>
      <c r="M2765" s="116">
        <v>1546.9</v>
      </c>
      <c r="N2765" s="116">
        <v>1550.9</v>
      </c>
      <c r="O2765" s="116">
        <v>1505.1</v>
      </c>
      <c r="P2765" s="116">
        <v>1509.9</v>
      </c>
      <c r="Q2765" s="116">
        <v>1546.9</v>
      </c>
      <c r="R2765">
        <v>935468</v>
      </c>
    </row>
    <row r="2766" spans="1:18" x14ac:dyDescent="0.25">
      <c r="A2766" s="170">
        <v>46076</v>
      </c>
      <c r="B2766">
        <v>1562.9</v>
      </c>
      <c r="C2766">
        <v>1539.05</v>
      </c>
      <c r="D2766">
        <v>1530.15</v>
      </c>
      <c r="E2766">
        <v>1549.45</v>
      </c>
      <c r="F2766">
        <v>1539.05</v>
      </c>
      <c r="G2766">
        <v>24893</v>
      </c>
      <c r="H2766" s="116"/>
      <c r="I2766" s="116"/>
      <c r="L2766" s="170">
        <v>46076</v>
      </c>
      <c r="M2766" s="116">
        <v>1538.2</v>
      </c>
      <c r="N2766" s="116">
        <v>1563</v>
      </c>
      <c r="O2766" s="116">
        <v>1529.7</v>
      </c>
      <c r="P2766" s="116">
        <v>1548.1</v>
      </c>
      <c r="Q2766" s="116">
        <v>1538.2</v>
      </c>
      <c r="R2766">
        <v>555656</v>
      </c>
    </row>
    <row r="2767" spans="1:18" x14ac:dyDescent="0.25">
      <c r="A2767" s="170">
        <v>46077</v>
      </c>
      <c r="B2767">
        <v>1555</v>
      </c>
      <c r="C2767">
        <v>1537.9</v>
      </c>
      <c r="D2767">
        <v>1530.9</v>
      </c>
      <c r="E2767">
        <v>1536.4</v>
      </c>
      <c r="F2767">
        <v>1537.9</v>
      </c>
      <c r="G2767">
        <v>23391</v>
      </c>
      <c r="H2767" s="116"/>
      <c r="I2767" s="116"/>
      <c r="L2767" s="170">
        <v>46077</v>
      </c>
      <c r="M2767" s="116">
        <v>1538</v>
      </c>
      <c r="N2767" s="116">
        <v>1555</v>
      </c>
      <c r="O2767" s="116">
        <v>1531</v>
      </c>
      <c r="P2767" s="116">
        <v>1534.1</v>
      </c>
      <c r="Q2767" s="116">
        <v>1538</v>
      </c>
      <c r="R2767">
        <v>927647</v>
      </c>
    </row>
    <row r="2768" spans="1:18" x14ac:dyDescent="0.25">
      <c r="A2768" s="170">
        <v>46078</v>
      </c>
      <c r="B2768">
        <v>1566</v>
      </c>
      <c r="C2768">
        <v>1522.25</v>
      </c>
      <c r="D2768">
        <v>1513.15</v>
      </c>
      <c r="E2768">
        <v>1538.3</v>
      </c>
      <c r="F2768">
        <v>1522.25</v>
      </c>
      <c r="G2768">
        <v>18244</v>
      </c>
      <c r="H2768" s="116"/>
      <c r="I2768" s="116"/>
      <c r="L2768" s="170">
        <v>46078</v>
      </c>
      <c r="M2768" s="116">
        <v>1522.4</v>
      </c>
      <c r="N2768" s="116">
        <v>1566.4</v>
      </c>
      <c r="O2768" s="116">
        <v>1513.1</v>
      </c>
      <c r="P2768" s="116">
        <v>1548</v>
      </c>
      <c r="Q2768" s="116">
        <v>1522.4</v>
      </c>
      <c r="R2768">
        <v>1200666</v>
      </c>
    </row>
    <row r="2769" spans="1:18" x14ac:dyDescent="0.25">
      <c r="A2769" s="170">
        <v>46079</v>
      </c>
      <c r="B2769">
        <v>1558</v>
      </c>
      <c r="C2769">
        <v>1545.85</v>
      </c>
      <c r="D2769">
        <v>1523.75</v>
      </c>
      <c r="E2769">
        <v>1528.15</v>
      </c>
      <c r="F2769">
        <v>1545.85</v>
      </c>
      <c r="G2769">
        <v>16703</v>
      </c>
      <c r="H2769" s="116"/>
      <c r="I2769" s="116"/>
      <c r="L2769" s="170">
        <v>46079</v>
      </c>
      <c r="M2769" s="116">
        <v>1544.5</v>
      </c>
      <c r="N2769" s="116">
        <v>1559</v>
      </c>
      <c r="O2769" s="116">
        <v>1521</v>
      </c>
      <c r="P2769" s="116">
        <v>1533</v>
      </c>
      <c r="Q2769" s="116">
        <v>1544.5</v>
      </c>
      <c r="R2769">
        <v>1229111</v>
      </c>
    </row>
    <row r="2770" spans="1:18" x14ac:dyDescent="0.25">
      <c r="A2770" s="170">
        <v>46080</v>
      </c>
      <c r="B2770">
        <v>1582</v>
      </c>
      <c r="C2770">
        <v>1563.85</v>
      </c>
      <c r="D2770">
        <v>1536.6</v>
      </c>
      <c r="E2770">
        <v>1540.05</v>
      </c>
      <c r="F2770">
        <v>1563.85</v>
      </c>
      <c r="G2770">
        <v>54967</v>
      </c>
      <c r="H2770" s="116"/>
      <c r="I2770" s="116"/>
      <c r="L2770" s="170">
        <v>46080</v>
      </c>
      <c r="M2770" s="116">
        <v>1561.3</v>
      </c>
      <c r="N2770" s="116">
        <v>1582.5</v>
      </c>
      <c r="O2770" s="116">
        <v>1534.2</v>
      </c>
      <c r="P2770" s="116">
        <v>1550</v>
      </c>
      <c r="Q2770" s="116">
        <v>1561.3</v>
      </c>
      <c r="R2770">
        <v>1650861</v>
      </c>
    </row>
    <row r="2771" spans="1:18" x14ac:dyDescent="0.25">
      <c r="A2771" s="170">
        <v>46083</v>
      </c>
      <c r="B2771">
        <v>1534.25</v>
      </c>
      <c r="C2771">
        <v>1498.95</v>
      </c>
      <c r="D2771">
        <v>1482.4</v>
      </c>
      <c r="E2771">
        <v>1501.9</v>
      </c>
      <c r="F2771">
        <v>1498.95</v>
      </c>
      <c r="G2771">
        <v>88022</v>
      </c>
      <c r="H2771" s="116"/>
      <c r="I2771" s="116"/>
      <c r="L2771" s="170">
        <v>46083</v>
      </c>
      <c r="M2771" s="116">
        <v>1499.1</v>
      </c>
      <c r="N2771" s="116">
        <v>1539</v>
      </c>
      <c r="O2771" s="116">
        <v>1482.7</v>
      </c>
      <c r="P2771" s="116">
        <v>1521</v>
      </c>
      <c r="Q2771" s="116">
        <v>1499.1</v>
      </c>
      <c r="R2771">
        <v>1419196</v>
      </c>
    </row>
    <row r="2772" spans="1:18" x14ac:dyDescent="0.25">
      <c r="A2772" s="170">
        <v>46085</v>
      </c>
      <c r="B2772">
        <v>1484.7</v>
      </c>
      <c r="C2772">
        <v>1438.6</v>
      </c>
      <c r="D2772">
        <v>1432.55</v>
      </c>
      <c r="E2772">
        <v>1484.7</v>
      </c>
      <c r="F2772">
        <v>1438.6</v>
      </c>
      <c r="G2772">
        <v>41504</v>
      </c>
      <c r="H2772" s="116"/>
      <c r="I2772" s="116"/>
      <c r="L2772" s="170">
        <v>46085</v>
      </c>
      <c r="M2772" s="116">
        <v>1438.9</v>
      </c>
      <c r="N2772" s="116">
        <v>1480</v>
      </c>
      <c r="O2772" s="116">
        <v>1430</v>
      </c>
      <c r="P2772" s="116">
        <v>1470.1</v>
      </c>
      <c r="Q2772" s="116">
        <v>1438.9</v>
      </c>
      <c r="R2772">
        <v>664840</v>
      </c>
    </row>
    <row r="2773" spans="1:18" x14ac:dyDescent="0.25">
      <c r="A2773" s="170">
        <v>46086</v>
      </c>
      <c r="B2773">
        <v>1496.95</v>
      </c>
      <c r="C2773">
        <v>1484.1</v>
      </c>
      <c r="D2773">
        <v>1438.6</v>
      </c>
      <c r="E2773">
        <v>1438.6</v>
      </c>
      <c r="F2773">
        <v>1484.1</v>
      </c>
      <c r="G2773">
        <v>25215</v>
      </c>
      <c r="H2773" s="116"/>
      <c r="I2773" s="116"/>
      <c r="L2773" s="170">
        <v>46086</v>
      </c>
      <c r="M2773" s="116">
        <v>1485.3</v>
      </c>
      <c r="N2773" s="116">
        <v>1498</v>
      </c>
      <c r="O2773" s="116">
        <v>1438</v>
      </c>
      <c r="P2773" s="116">
        <v>1438.9</v>
      </c>
      <c r="Q2773" s="116">
        <v>1485.3</v>
      </c>
      <c r="R2773">
        <v>821653</v>
      </c>
    </row>
    <row r="2774" spans="1:18" x14ac:dyDescent="0.25">
      <c r="A2774" s="170">
        <v>46087</v>
      </c>
      <c r="B2774">
        <v>1489.5</v>
      </c>
      <c r="C2774">
        <v>1478.35</v>
      </c>
      <c r="D2774">
        <v>1460.6</v>
      </c>
      <c r="E2774">
        <v>1475.15</v>
      </c>
      <c r="F2774">
        <v>1478.35</v>
      </c>
      <c r="G2774">
        <v>15540</v>
      </c>
      <c r="H2774" s="116"/>
      <c r="I2774" s="116"/>
      <c r="L2774" s="170">
        <v>46087</v>
      </c>
      <c r="M2774" s="116">
        <v>1478.4</v>
      </c>
      <c r="N2774" s="116">
        <v>1489.4</v>
      </c>
      <c r="O2774" s="116">
        <v>1460.2</v>
      </c>
      <c r="P2774" s="116">
        <v>1480</v>
      </c>
      <c r="Q2774" s="116">
        <v>1478.4</v>
      </c>
      <c r="R2774">
        <v>686869</v>
      </c>
    </row>
    <row r="2775" spans="1:18" x14ac:dyDescent="0.25">
      <c r="A2775" s="170">
        <v>46090</v>
      </c>
      <c r="B2775">
        <v>1474.65</v>
      </c>
      <c r="C2775">
        <v>1437.2</v>
      </c>
      <c r="D2775">
        <v>1413</v>
      </c>
      <c r="E2775">
        <v>1474.65</v>
      </c>
      <c r="F2775">
        <v>1437.2</v>
      </c>
      <c r="G2775">
        <v>33221</v>
      </c>
      <c r="H2775" s="116"/>
      <c r="I2775" s="116"/>
      <c r="L2775" s="170">
        <v>46090</v>
      </c>
      <c r="M2775" s="116">
        <v>1436.5</v>
      </c>
      <c r="N2775" s="116">
        <v>1469.7</v>
      </c>
      <c r="O2775" s="116">
        <v>1413</v>
      </c>
      <c r="P2775" s="116">
        <v>1462</v>
      </c>
      <c r="Q2775" s="116">
        <v>1436.5</v>
      </c>
      <c r="R2775">
        <v>1094929</v>
      </c>
    </row>
    <row r="2776" spans="1:18" x14ac:dyDescent="0.25">
      <c r="A2776" s="170">
        <v>46091</v>
      </c>
      <c r="B2776">
        <v>1472.8</v>
      </c>
      <c r="C2776">
        <v>1449.1</v>
      </c>
      <c r="D2776">
        <v>1433.7</v>
      </c>
      <c r="E2776">
        <v>1468.1</v>
      </c>
      <c r="F2776">
        <v>1449.1</v>
      </c>
      <c r="G2776">
        <v>13609</v>
      </c>
      <c r="H2776" s="116"/>
      <c r="I2776" s="116"/>
      <c r="L2776" s="170">
        <v>46091</v>
      </c>
      <c r="M2776" s="116">
        <v>1448.9</v>
      </c>
      <c r="N2776" s="116">
        <v>1472</v>
      </c>
      <c r="O2776" s="116">
        <v>1434</v>
      </c>
      <c r="P2776" s="116">
        <v>1460</v>
      </c>
      <c r="Q2776" s="116">
        <v>1448.9</v>
      </c>
      <c r="R2776">
        <v>415157</v>
      </c>
    </row>
    <row r="2777" spans="1:18" x14ac:dyDescent="0.25">
      <c r="A2777" s="170">
        <v>46092</v>
      </c>
      <c r="B2777">
        <v>1508</v>
      </c>
      <c r="C2777">
        <v>1472.25</v>
      </c>
      <c r="D2777">
        <v>1450.8</v>
      </c>
      <c r="E2777">
        <v>1450.8</v>
      </c>
      <c r="F2777">
        <v>1472.25</v>
      </c>
      <c r="G2777">
        <v>40158</v>
      </c>
      <c r="H2777" s="116"/>
      <c r="I2777" s="116"/>
      <c r="L2777" s="170">
        <v>46092</v>
      </c>
      <c r="M2777" s="116">
        <v>1471.4</v>
      </c>
      <c r="N2777" s="116">
        <v>1509.8</v>
      </c>
      <c r="O2777" s="116">
        <v>1453.2</v>
      </c>
      <c r="P2777" s="116">
        <v>1455</v>
      </c>
      <c r="Q2777" s="116">
        <v>1471.4</v>
      </c>
      <c r="R2777">
        <v>1149992</v>
      </c>
    </row>
    <row r="2778" spans="1:18" x14ac:dyDescent="0.25">
      <c r="A2778" s="170">
        <v>46093</v>
      </c>
      <c r="B2778">
        <v>1475</v>
      </c>
      <c r="C2778">
        <v>1449.55</v>
      </c>
      <c r="D2778">
        <v>1420.3</v>
      </c>
      <c r="E2778">
        <v>1458.15</v>
      </c>
      <c r="F2778">
        <v>1449.55</v>
      </c>
      <c r="G2778">
        <v>28025</v>
      </c>
      <c r="H2778" s="116"/>
      <c r="I2778" s="116"/>
      <c r="L2778" s="170">
        <v>46093</v>
      </c>
      <c r="M2778" s="116">
        <v>1449.4</v>
      </c>
      <c r="N2778" s="116">
        <v>1474.8</v>
      </c>
      <c r="O2778" s="116">
        <v>1420</v>
      </c>
      <c r="P2778" s="116">
        <v>1469</v>
      </c>
      <c r="Q2778" s="116">
        <v>1449.4</v>
      </c>
      <c r="R2778">
        <v>799532</v>
      </c>
    </row>
    <row r="2779" spans="1:18" x14ac:dyDescent="0.25">
      <c r="A2779" s="170">
        <v>46094</v>
      </c>
      <c r="B2779">
        <v>1449.25</v>
      </c>
      <c r="C2779">
        <v>1411.85</v>
      </c>
      <c r="D2779">
        <v>1385.3</v>
      </c>
      <c r="E2779">
        <v>1431.55</v>
      </c>
      <c r="F2779">
        <v>1411.85</v>
      </c>
      <c r="G2779">
        <v>50384</v>
      </c>
      <c r="H2779" s="116"/>
      <c r="I2779" s="116"/>
      <c r="L2779" s="170">
        <v>46094</v>
      </c>
      <c r="M2779" s="116">
        <v>1414.2</v>
      </c>
      <c r="N2779" s="116">
        <v>1448.9</v>
      </c>
      <c r="O2779" s="116">
        <v>1385.2</v>
      </c>
      <c r="P2779" s="116">
        <v>1440</v>
      </c>
      <c r="Q2779" s="116">
        <v>1414.2</v>
      </c>
      <c r="R2779">
        <v>1524789</v>
      </c>
    </row>
    <row r="2780" spans="1:18" x14ac:dyDescent="0.25">
      <c r="A2780" s="170">
        <v>46097</v>
      </c>
      <c r="B2780">
        <v>1421.75</v>
      </c>
      <c r="C2780">
        <v>1405.4</v>
      </c>
      <c r="D2780">
        <v>1361.8</v>
      </c>
      <c r="E2780">
        <v>1412.4</v>
      </c>
      <c r="F2780">
        <v>1405.4</v>
      </c>
      <c r="G2780">
        <v>25327</v>
      </c>
      <c r="H2780" s="116"/>
      <c r="I2780" s="116"/>
      <c r="L2780" s="170">
        <v>46097</v>
      </c>
      <c r="M2780" s="116">
        <v>1406.4</v>
      </c>
      <c r="N2780" s="116">
        <v>1421.6</v>
      </c>
      <c r="O2780" s="116">
        <v>1361</v>
      </c>
      <c r="P2780" s="116">
        <v>1410.6</v>
      </c>
      <c r="Q2780" s="116">
        <v>1406.4</v>
      </c>
      <c r="R2780">
        <v>814633</v>
      </c>
    </row>
    <row r="2781" spans="1:18" x14ac:dyDescent="0.25">
      <c r="A2781" s="170">
        <v>46098</v>
      </c>
      <c r="B2781">
        <v>1426.8</v>
      </c>
      <c r="C2781">
        <v>1421.45</v>
      </c>
      <c r="D2781">
        <v>1396.55</v>
      </c>
      <c r="E2781">
        <v>1412.15</v>
      </c>
      <c r="F2781">
        <v>1421.45</v>
      </c>
      <c r="G2781">
        <v>32326</v>
      </c>
      <c r="H2781" s="116"/>
      <c r="I2781" s="116"/>
      <c r="L2781" s="170">
        <v>46098</v>
      </c>
      <c r="M2781" s="116">
        <v>1420.4</v>
      </c>
      <c r="N2781" s="116">
        <v>1427.6</v>
      </c>
      <c r="O2781" s="116">
        <v>1396.5</v>
      </c>
      <c r="P2781" s="116">
        <v>1419</v>
      </c>
      <c r="Q2781" s="116">
        <v>1420.4</v>
      </c>
      <c r="R2781">
        <v>582855</v>
      </c>
    </row>
    <row r="2782" spans="1:18" x14ac:dyDescent="0.25">
      <c r="A2782" s="170">
        <v>46099</v>
      </c>
      <c r="B2782">
        <v>1448.1</v>
      </c>
      <c r="C2782">
        <v>1423.1</v>
      </c>
      <c r="D2782">
        <v>1411.8</v>
      </c>
      <c r="E2782">
        <v>1416.05</v>
      </c>
      <c r="F2782">
        <v>1423.1</v>
      </c>
      <c r="G2782">
        <v>27267</v>
      </c>
      <c r="H2782" s="116"/>
      <c r="I2782" s="116"/>
      <c r="L2782" s="170">
        <v>46099</v>
      </c>
      <c r="M2782" s="116">
        <v>1422.6</v>
      </c>
      <c r="N2782" s="116">
        <v>1448</v>
      </c>
      <c r="O2782" s="116">
        <v>1410.3</v>
      </c>
      <c r="P2782" s="116">
        <v>1420</v>
      </c>
      <c r="Q2782" s="116">
        <v>1422.6</v>
      </c>
      <c r="R2782">
        <v>441894</v>
      </c>
    </row>
    <row r="2783" spans="1:18" x14ac:dyDescent="0.25">
      <c r="A2783" s="170">
        <v>46100</v>
      </c>
      <c r="B2783">
        <v>1405</v>
      </c>
      <c r="C2783">
        <v>1348.65</v>
      </c>
      <c r="D2783">
        <v>1341.4</v>
      </c>
      <c r="E2783">
        <v>1396.05</v>
      </c>
      <c r="F2783">
        <v>1348.65</v>
      </c>
      <c r="G2783">
        <v>293617</v>
      </c>
      <c r="H2783" s="116"/>
      <c r="I2783" s="116"/>
      <c r="L2783" s="170">
        <v>46100</v>
      </c>
      <c r="M2783" s="116">
        <v>1347.2</v>
      </c>
      <c r="N2783" s="116">
        <v>1401.9</v>
      </c>
      <c r="O2783" s="116">
        <v>1341.4</v>
      </c>
      <c r="P2783" s="116">
        <v>1400</v>
      </c>
      <c r="Q2783" s="116">
        <v>1347.2</v>
      </c>
      <c r="R2783">
        <v>1242317</v>
      </c>
    </row>
    <row r="2784" spans="1:18" x14ac:dyDescent="0.25">
      <c r="A2784" s="170">
        <v>46101</v>
      </c>
      <c r="B2784">
        <v>1378.15</v>
      </c>
      <c r="C2784">
        <v>1324.1</v>
      </c>
      <c r="D2784">
        <v>1320.1</v>
      </c>
      <c r="E2784">
        <v>1350.05</v>
      </c>
      <c r="F2784">
        <v>1324.1</v>
      </c>
      <c r="G2784">
        <v>34288</v>
      </c>
      <c r="H2784" s="116"/>
      <c r="I2784" s="116"/>
      <c r="L2784" s="170">
        <v>46101</v>
      </c>
      <c r="M2784" s="116">
        <v>1324.5</v>
      </c>
      <c r="N2784" s="116">
        <v>1378</v>
      </c>
      <c r="O2784" s="116">
        <v>1318.4</v>
      </c>
      <c r="P2784" s="116">
        <v>1353</v>
      </c>
      <c r="Q2784" s="116">
        <v>1324.5</v>
      </c>
      <c r="R2784">
        <v>681533</v>
      </c>
    </row>
    <row r="2785" spans="1:18" x14ac:dyDescent="0.25">
      <c r="A2785" s="170">
        <v>46104</v>
      </c>
      <c r="B2785">
        <v>1323.95</v>
      </c>
      <c r="C2785">
        <v>1250.05</v>
      </c>
      <c r="D2785">
        <v>1222.5</v>
      </c>
      <c r="E2785">
        <v>1309.05</v>
      </c>
      <c r="F2785">
        <v>1250.05</v>
      </c>
      <c r="G2785">
        <v>51409</v>
      </c>
      <c r="H2785" s="116"/>
      <c r="I2785" s="116"/>
      <c r="L2785" s="170">
        <v>46104</v>
      </c>
      <c r="M2785" s="116">
        <v>1251.2</v>
      </c>
      <c r="N2785" s="116">
        <v>1305</v>
      </c>
      <c r="O2785" s="116">
        <v>1223</v>
      </c>
      <c r="P2785" s="116">
        <v>1305</v>
      </c>
      <c r="Q2785" s="116">
        <v>1251.2</v>
      </c>
      <c r="R2785">
        <v>1982017</v>
      </c>
    </row>
    <row r="2786" spans="1:18" x14ac:dyDescent="0.25">
      <c r="A2786" s="170">
        <v>46105</v>
      </c>
      <c r="B2786">
        <v>1309.5</v>
      </c>
      <c r="C2786">
        <v>1301.5999999999999</v>
      </c>
      <c r="D2786">
        <v>1247.1500000000001</v>
      </c>
      <c r="E2786">
        <v>1295.7</v>
      </c>
      <c r="F2786">
        <v>1301.5999999999999</v>
      </c>
      <c r="G2786">
        <v>22400</v>
      </c>
      <c r="H2786" s="116"/>
      <c r="I2786" s="116"/>
      <c r="L2786" s="170">
        <v>46105</v>
      </c>
      <c r="M2786" s="116">
        <v>1302.0999999999999</v>
      </c>
      <c r="N2786" s="116">
        <v>1309.9000000000001</v>
      </c>
      <c r="O2786" s="116">
        <v>1246.4000000000001</v>
      </c>
      <c r="P2786" s="116">
        <v>1283.4000000000001</v>
      </c>
      <c r="Q2786" s="116">
        <v>1302.0999999999999</v>
      </c>
      <c r="R2786">
        <v>1335206</v>
      </c>
    </row>
    <row r="2787" spans="1:18" x14ac:dyDescent="0.25">
      <c r="A2787" s="170">
        <v>46106</v>
      </c>
      <c r="B2787">
        <v>1380.9</v>
      </c>
      <c r="C2787">
        <v>1368.75</v>
      </c>
      <c r="D2787">
        <v>1314</v>
      </c>
      <c r="E2787">
        <v>1314</v>
      </c>
      <c r="F2787">
        <v>1368.75</v>
      </c>
      <c r="G2787">
        <v>39918</v>
      </c>
      <c r="H2787" s="116"/>
      <c r="I2787" s="116"/>
      <c r="L2787" s="170">
        <v>46106</v>
      </c>
      <c r="M2787" s="116">
        <v>1368.8</v>
      </c>
      <c r="N2787" s="116">
        <v>1381</v>
      </c>
      <c r="O2787" s="116">
        <v>1317.7</v>
      </c>
      <c r="P2787" s="116">
        <v>1317.7</v>
      </c>
      <c r="Q2787" s="116">
        <v>1368.8</v>
      </c>
      <c r="R2787">
        <v>1350940</v>
      </c>
    </row>
    <row r="2788" spans="1:18" x14ac:dyDescent="0.25">
      <c r="A2788" s="170">
        <v>46108</v>
      </c>
      <c r="B2788">
        <v>1358.1</v>
      </c>
      <c r="C2788">
        <v>1322</v>
      </c>
      <c r="D2788">
        <v>1318.4</v>
      </c>
      <c r="E2788">
        <v>1357.2</v>
      </c>
      <c r="F2788">
        <v>1322</v>
      </c>
      <c r="G2788">
        <v>22647</v>
      </c>
      <c r="H2788" s="116"/>
      <c r="I2788" s="116"/>
      <c r="L2788" s="170">
        <v>46108</v>
      </c>
      <c r="M2788" s="116">
        <v>1322.6</v>
      </c>
      <c r="N2788" s="116">
        <v>1359</v>
      </c>
      <c r="O2788" s="116">
        <v>1317.9</v>
      </c>
      <c r="P2788" s="116">
        <v>1350</v>
      </c>
      <c r="Q2788" s="116">
        <v>1322.6</v>
      </c>
      <c r="R2788">
        <v>1254069</v>
      </c>
    </row>
    <row r="2789" spans="1:18" x14ac:dyDescent="0.25">
      <c r="A2789" s="170">
        <v>46111</v>
      </c>
      <c r="B2789">
        <v>1313.15</v>
      </c>
      <c r="C2789">
        <v>1270.25</v>
      </c>
      <c r="D2789">
        <v>1254.0999999999999</v>
      </c>
      <c r="E2789">
        <v>1254.0999999999999</v>
      </c>
      <c r="F2789">
        <v>1270.25</v>
      </c>
      <c r="G2789">
        <v>20884</v>
      </c>
      <c r="H2789" s="116"/>
      <c r="I2789" s="116"/>
      <c r="L2789" s="170">
        <v>46111</v>
      </c>
      <c r="M2789" s="116">
        <v>1272.8</v>
      </c>
      <c r="N2789" s="116">
        <v>1313.5</v>
      </c>
      <c r="O2789" s="116">
        <v>1253.0999999999999</v>
      </c>
      <c r="P2789" s="116">
        <v>1291</v>
      </c>
      <c r="Q2789" s="116">
        <v>1272.8</v>
      </c>
      <c r="R2789">
        <v>1622222</v>
      </c>
    </row>
    <row r="2790" spans="1:18" x14ac:dyDescent="0.25">
      <c r="A2790" s="170">
        <v>46113</v>
      </c>
      <c r="B2790">
        <v>1309.8499999999999</v>
      </c>
      <c r="C2790">
        <v>1250.5999999999999</v>
      </c>
      <c r="D2790">
        <v>1215</v>
      </c>
      <c r="E2790">
        <v>1297.9000000000001</v>
      </c>
      <c r="F2790">
        <v>1250.5999999999999</v>
      </c>
      <c r="G2790">
        <v>69163</v>
      </c>
      <c r="H2790" s="116"/>
      <c r="I2790" s="116"/>
      <c r="L2790" s="170">
        <v>46113</v>
      </c>
      <c r="M2790" s="116">
        <v>1249.7</v>
      </c>
      <c r="N2790" s="116">
        <v>1310.4000000000001</v>
      </c>
      <c r="O2790" s="116">
        <v>1214.4000000000001</v>
      </c>
      <c r="P2790" s="116">
        <v>1300</v>
      </c>
      <c r="Q2790" s="116">
        <v>1249.7</v>
      </c>
      <c r="R2790">
        <v>2810600</v>
      </c>
    </row>
    <row r="2791" spans="1:18" x14ac:dyDescent="0.25">
      <c r="A2791" s="170">
        <v>46114</v>
      </c>
      <c r="B2791">
        <v>1241.3</v>
      </c>
      <c r="C2791">
        <v>1235.8</v>
      </c>
      <c r="D2791">
        <v>1187.5</v>
      </c>
      <c r="E2791">
        <v>1235.05</v>
      </c>
      <c r="F2791">
        <v>1235.8</v>
      </c>
      <c r="G2791">
        <v>70290</v>
      </c>
      <c r="H2791" s="116"/>
      <c r="I2791" s="116"/>
      <c r="L2791" s="170">
        <v>46114</v>
      </c>
      <c r="M2791" s="116">
        <v>1235.4000000000001</v>
      </c>
      <c r="N2791" s="116">
        <v>1241.4000000000001</v>
      </c>
      <c r="O2791" s="116">
        <v>1186.8</v>
      </c>
      <c r="P2791" s="116">
        <v>1239.2</v>
      </c>
      <c r="Q2791" s="116">
        <v>1235.4000000000001</v>
      </c>
      <c r="R2791">
        <v>2452341</v>
      </c>
    </row>
    <row r="2792" spans="1:18" x14ac:dyDescent="0.25">
      <c r="A2792" s="170">
        <v>46118</v>
      </c>
      <c r="B2792">
        <v>1256.3499999999999</v>
      </c>
      <c r="C2792">
        <v>1250.95</v>
      </c>
      <c r="D2792">
        <v>1203.3</v>
      </c>
      <c r="E2792">
        <v>1222.9000000000001</v>
      </c>
      <c r="F2792">
        <v>1250.95</v>
      </c>
      <c r="G2792">
        <v>47975</v>
      </c>
      <c r="H2792" s="116"/>
      <c r="I2792" s="116"/>
      <c r="L2792" s="170">
        <v>46118</v>
      </c>
      <c r="M2792" s="116">
        <v>1252</v>
      </c>
      <c r="N2792" s="116">
        <v>1256.5999999999999</v>
      </c>
      <c r="O2792" s="116">
        <v>1204.0999999999999</v>
      </c>
      <c r="P2792" s="116">
        <v>1225</v>
      </c>
      <c r="Q2792" s="116">
        <v>1252</v>
      </c>
      <c r="R2792">
        <v>1213038</v>
      </c>
    </row>
    <row r="2793" spans="1:18" x14ac:dyDescent="0.25">
      <c r="A2793" s="170">
        <v>46119</v>
      </c>
      <c r="B2793">
        <v>1242</v>
      </c>
      <c r="C2793">
        <v>1220.5</v>
      </c>
      <c r="D2793">
        <v>1213.05</v>
      </c>
      <c r="E2793">
        <v>1234.55</v>
      </c>
      <c r="F2793">
        <v>1220.5</v>
      </c>
      <c r="G2793">
        <v>34514</v>
      </c>
      <c r="H2793" s="116"/>
      <c r="I2793" s="116"/>
      <c r="L2793" s="170">
        <v>46119</v>
      </c>
      <c r="M2793" s="116">
        <v>1220.2</v>
      </c>
      <c r="N2793" s="116">
        <v>1245.2</v>
      </c>
      <c r="O2793" s="116">
        <v>1213</v>
      </c>
      <c r="P2793" s="116">
        <v>1235.3</v>
      </c>
      <c r="Q2793" s="116">
        <v>1220.2</v>
      </c>
      <c r="R2793">
        <v>1023903</v>
      </c>
    </row>
    <row r="2794" spans="1:18" x14ac:dyDescent="0.25">
      <c r="A2794" s="170">
        <v>46120</v>
      </c>
      <c r="B2794">
        <v>1277.4000000000001</v>
      </c>
      <c r="C2794">
        <v>1263.8499999999999</v>
      </c>
      <c r="D2794">
        <v>1246.1500000000001</v>
      </c>
      <c r="E2794">
        <v>1246.1500000000001</v>
      </c>
      <c r="F2794">
        <v>1263.8499999999999</v>
      </c>
      <c r="G2794">
        <v>92427</v>
      </c>
      <c r="H2794" s="116"/>
      <c r="I2794" s="116"/>
      <c r="L2794" s="170">
        <v>46120</v>
      </c>
      <c r="M2794" s="116">
        <v>1264.8</v>
      </c>
      <c r="N2794" s="116">
        <v>1278</v>
      </c>
      <c r="O2794" s="116">
        <v>1246.4000000000001</v>
      </c>
      <c r="P2794" s="116">
        <v>1250</v>
      </c>
      <c r="Q2794" s="116">
        <v>1264.8</v>
      </c>
      <c r="R2794">
        <v>1548576</v>
      </c>
    </row>
    <row r="2795" spans="1:18" x14ac:dyDescent="0.25">
      <c r="A2795" s="170">
        <v>46121</v>
      </c>
      <c r="B2795">
        <v>1291</v>
      </c>
      <c r="C2795">
        <v>1284.4000000000001</v>
      </c>
      <c r="D2795">
        <v>1242</v>
      </c>
      <c r="E2795">
        <v>1264.8</v>
      </c>
      <c r="F2795">
        <v>1284.4000000000001</v>
      </c>
      <c r="G2795">
        <v>32670</v>
      </c>
      <c r="H2795" s="116"/>
      <c r="I2795" s="116"/>
      <c r="L2795" s="170">
        <v>46121</v>
      </c>
      <c r="M2795" s="116">
        <v>1283.9000000000001</v>
      </c>
      <c r="N2795" s="116">
        <v>1291.7</v>
      </c>
      <c r="O2795" s="116">
        <v>1241.2</v>
      </c>
      <c r="P2795" s="116">
        <v>1264.8</v>
      </c>
      <c r="Q2795" s="116">
        <v>1283.9000000000001</v>
      </c>
      <c r="R2795">
        <v>2040449</v>
      </c>
    </row>
    <row r="2796" spans="1:18" x14ac:dyDescent="0.25">
      <c r="A2796" s="170">
        <v>46122</v>
      </c>
      <c r="B2796">
        <v>1318.1</v>
      </c>
      <c r="C2796">
        <v>1315.15</v>
      </c>
      <c r="D2796">
        <v>1282</v>
      </c>
      <c r="E2796">
        <v>1306.75</v>
      </c>
      <c r="F2796">
        <v>1315.15</v>
      </c>
      <c r="G2796">
        <v>61460</v>
      </c>
      <c r="H2796" s="116"/>
      <c r="I2796" s="116"/>
      <c r="L2796" s="170">
        <v>46122</v>
      </c>
      <c r="M2796" s="116">
        <v>1315.6</v>
      </c>
      <c r="N2796" s="116">
        <v>1319</v>
      </c>
      <c r="O2796" s="116">
        <v>1280.5</v>
      </c>
      <c r="P2796" s="116">
        <v>1299.7</v>
      </c>
      <c r="Q2796" s="116">
        <v>1315.6</v>
      </c>
      <c r="R2796">
        <v>1419604</v>
      </c>
    </row>
    <row r="2797" spans="1:18" x14ac:dyDescent="0.25">
      <c r="A2797" s="170">
        <v>46125</v>
      </c>
      <c r="B2797">
        <v>1367.8</v>
      </c>
      <c r="C2797">
        <v>1362.6</v>
      </c>
      <c r="D2797">
        <v>1271.8</v>
      </c>
      <c r="E2797">
        <v>1292.7</v>
      </c>
      <c r="F2797">
        <v>1362.6</v>
      </c>
      <c r="G2797">
        <v>67716</v>
      </c>
      <c r="H2797" s="116"/>
      <c r="I2797" s="116"/>
      <c r="L2797" s="170">
        <v>46125</v>
      </c>
      <c r="M2797" s="116">
        <v>1361.6</v>
      </c>
      <c r="N2797" s="116">
        <v>1368</v>
      </c>
      <c r="O2797" s="116">
        <v>1271.7</v>
      </c>
      <c r="P2797" s="116">
        <v>1286</v>
      </c>
      <c r="Q2797" s="116">
        <v>1361.6</v>
      </c>
      <c r="R2797">
        <v>2793680</v>
      </c>
    </row>
    <row r="2798" spans="1:18" x14ac:dyDescent="0.25">
      <c r="A2798" s="170">
        <v>46127</v>
      </c>
      <c r="B2798">
        <v>1412.9</v>
      </c>
      <c r="C2798">
        <v>1402.35</v>
      </c>
      <c r="D2798">
        <v>1375.25</v>
      </c>
      <c r="E2798">
        <v>1375.25</v>
      </c>
      <c r="F2798">
        <v>1402.35</v>
      </c>
      <c r="G2798">
        <v>68510</v>
      </c>
      <c r="H2798" s="116"/>
      <c r="I2798" s="116"/>
      <c r="L2798" s="170">
        <v>46127</v>
      </c>
      <c r="M2798" s="116">
        <v>1402.2</v>
      </c>
      <c r="N2798" s="116">
        <v>1412.8</v>
      </c>
      <c r="O2798" s="116">
        <v>1380.8</v>
      </c>
      <c r="P2798" s="116">
        <v>1390</v>
      </c>
      <c r="Q2798" s="116">
        <v>1402.2</v>
      </c>
      <c r="R2798">
        <v>1396462</v>
      </c>
    </row>
    <row r="2799" spans="1:18" x14ac:dyDescent="0.25">
      <c r="A2799" s="170">
        <v>46128</v>
      </c>
      <c r="B2799">
        <v>1431.25</v>
      </c>
      <c r="C2799">
        <v>1409</v>
      </c>
      <c r="D2799">
        <v>1387.15</v>
      </c>
      <c r="E2799">
        <v>1403.3</v>
      </c>
      <c r="F2799">
        <v>1409</v>
      </c>
      <c r="G2799">
        <v>50276</v>
      </c>
      <c r="H2799" s="116"/>
      <c r="I2799" s="116"/>
      <c r="L2799" s="170">
        <v>46128</v>
      </c>
      <c r="M2799" s="116">
        <v>1408.8</v>
      </c>
      <c r="N2799" s="116">
        <v>1432.1</v>
      </c>
      <c r="O2799" s="116">
        <v>1387.2</v>
      </c>
      <c r="P2799" s="116">
        <v>1409</v>
      </c>
      <c r="Q2799" s="116">
        <v>1408.8</v>
      </c>
      <c r="R2799">
        <v>1292882</v>
      </c>
    </row>
    <row r="2800" spans="1:18" x14ac:dyDescent="0.25">
      <c r="A2800" s="170">
        <v>46129</v>
      </c>
      <c r="B2800">
        <v>1447</v>
      </c>
      <c r="C2800">
        <v>1440</v>
      </c>
      <c r="D2800">
        <v>1395.1</v>
      </c>
      <c r="E2800">
        <v>1418.45</v>
      </c>
      <c r="F2800">
        <v>1440</v>
      </c>
      <c r="G2800">
        <v>45078</v>
      </c>
      <c r="H2800" s="116"/>
      <c r="I2800" s="116"/>
      <c r="L2800" s="170">
        <v>46129</v>
      </c>
      <c r="M2800" s="116">
        <v>1440.1</v>
      </c>
      <c r="N2800" s="116">
        <v>1447.8</v>
      </c>
      <c r="O2800" s="116">
        <v>1393.5</v>
      </c>
      <c r="P2800" s="116">
        <v>1416.6</v>
      </c>
      <c r="Q2800" s="116">
        <v>1440.1</v>
      </c>
      <c r="R2800">
        <v>1266294</v>
      </c>
    </row>
    <row r="2801" spans="1:18" x14ac:dyDescent="0.25">
      <c r="A2801" s="170">
        <v>46132</v>
      </c>
      <c r="B2801">
        <v>1476.6</v>
      </c>
      <c r="C2801">
        <v>1437.6</v>
      </c>
      <c r="D2801">
        <v>1431.15</v>
      </c>
      <c r="E2801">
        <v>1449.75</v>
      </c>
      <c r="F2801">
        <v>1437.6</v>
      </c>
      <c r="G2801">
        <v>33401</v>
      </c>
      <c r="H2801" s="116"/>
      <c r="I2801" s="116"/>
      <c r="L2801" s="170">
        <v>46132</v>
      </c>
      <c r="M2801" s="116">
        <v>1438</v>
      </c>
      <c r="N2801" s="116">
        <v>1476.5</v>
      </c>
      <c r="O2801" s="116">
        <v>1429.9</v>
      </c>
      <c r="P2801" s="116">
        <v>1447</v>
      </c>
      <c r="Q2801" s="116">
        <v>1438</v>
      </c>
      <c r="R2801">
        <v>1789507</v>
      </c>
    </row>
    <row r="2802" spans="1:18" x14ac:dyDescent="0.25">
      <c r="A2802" s="170">
        <v>46133</v>
      </c>
      <c r="B2802">
        <v>1468.55</v>
      </c>
      <c r="C2802">
        <v>1457.85</v>
      </c>
      <c r="D2802">
        <v>1444.75</v>
      </c>
      <c r="E2802">
        <v>1447.05</v>
      </c>
      <c r="F2802">
        <v>1457.85</v>
      </c>
      <c r="G2802">
        <v>16988</v>
      </c>
      <c r="H2802" s="116"/>
      <c r="I2802" s="116"/>
      <c r="L2802" s="170">
        <v>46133</v>
      </c>
      <c r="M2802" s="116">
        <v>1457.2</v>
      </c>
      <c r="N2802" s="116">
        <v>1468.6</v>
      </c>
      <c r="O2802" s="116">
        <v>1444.4</v>
      </c>
      <c r="P2802" s="116">
        <v>1445</v>
      </c>
      <c r="Q2802" s="116">
        <v>1457.2</v>
      </c>
      <c r="R2802">
        <v>1068169</v>
      </c>
    </row>
    <row r="2803" spans="1:18" x14ac:dyDescent="0.25">
      <c r="A2803" s="170">
        <v>46134</v>
      </c>
      <c r="B2803">
        <v>1503</v>
      </c>
      <c r="C2803">
        <v>1480.9</v>
      </c>
      <c r="D2803">
        <v>1457</v>
      </c>
      <c r="E2803">
        <v>1457.4</v>
      </c>
      <c r="F2803">
        <v>1480.9</v>
      </c>
      <c r="G2803">
        <v>62197</v>
      </c>
      <c r="H2803" s="116"/>
      <c r="I2803" s="116"/>
      <c r="L2803" s="170">
        <v>46134</v>
      </c>
      <c r="M2803" s="116">
        <v>1481.6</v>
      </c>
      <c r="N2803" s="116">
        <v>1503.5</v>
      </c>
      <c r="O2803" s="116">
        <v>1455</v>
      </c>
      <c r="P2803" s="116">
        <v>1459.9</v>
      </c>
      <c r="Q2803" s="116">
        <v>1481.6</v>
      </c>
      <c r="R2803">
        <v>865864</v>
      </c>
    </row>
    <row r="2804" spans="1:18" x14ac:dyDescent="0.25">
      <c r="A2804" s="170">
        <v>46135</v>
      </c>
      <c r="B2804">
        <v>1480.35</v>
      </c>
      <c r="C2804">
        <v>1446.7</v>
      </c>
      <c r="D2804">
        <v>1430.8</v>
      </c>
      <c r="E2804">
        <v>1480.35</v>
      </c>
      <c r="F2804">
        <v>1446.7</v>
      </c>
      <c r="G2804">
        <v>24253</v>
      </c>
      <c r="H2804" s="116"/>
      <c r="I2804" s="116"/>
      <c r="L2804" s="170">
        <v>46135</v>
      </c>
      <c r="M2804" s="116">
        <v>1445.5</v>
      </c>
      <c r="N2804" s="116">
        <v>1476.5</v>
      </c>
      <c r="O2804" s="116">
        <v>1429.6</v>
      </c>
      <c r="P2804" s="116">
        <v>1476</v>
      </c>
      <c r="Q2804" s="116">
        <v>1445.5</v>
      </c>
      <c r="R2804">
        <v>1043970</v>
      </c>
    </row>
    <row r="2805" spans="1:18" x14ac:dyDescent="0.25">
      <c r="A2805" s="170">
        <v>46136</v>
      </c>
      <c r="B2805">
        <v>1469.35</v>
      </c>
      <c r="C2805">
        <v>1463.1</v>
      </c>
      <c r="D2805">
        <v>1432.6</v>
      </c>
      <c r="E2805">
        <v>1450.05</v>
      </c>
      <c r="F2805">
        <v>1463.1</v>
      </c>
      <c r="G2805">
        <v>33144</v>
      </c>
      <c r="H2805" s="116"/>
      <c r="I2805" s="116"/>
      <c r="L2805" s="170">
        <v>46136</v>
      </c>
      <c r="M2805" s="116">
        <v>1464</v>
      </c>
      <c r="N2805" s="116">
        <v>1470</v>
      </c>
      <c r="O2805" s="116">
        <v>1431.9</v>
      </c>
      <c r="P2805" s="116">
        <v>1452.9</v>
      </c>
      <c r="Q2805" s="116">
        <v>1464</v>
      </c>
      <c r="R2805">
        <v>715448</v>
      </c>
    </row>
    <row r="2806" spans="1:18" x14ac:dyDescent="0.25">
      <c r="A2806" s="170">
        <v>46139</v>
      </c>
      <c r="B2806">
        <v>1529.35</v>
      </c>
      <c r="C2806">
        <v>1514.75</v>
      </c>
      <c r="D2806">
        <v>1476.1</v>
      </c>
      <c r="E2806">
        <v>1480</v>
      </c>
      <c r="F2806">
        <v>1514.75</v>
      </c>
      <c r="G2806">
        <v>68275</v>
      </c>
      <c r="H2806" s="116"/>
      <c r="I2806" s="116"/>
      <c r="L2806" s="170">
        <v>46139</v>
      </c>
      <c r="M2806" s="116">
        <v>1515</v>
      </c>
      <c r="N2806" s="116">
        <v>1529.9</v>
      </c>
      <c r="O2806" s="116">
        <v>1475</v>
      </c>
      <c r="P2806" s="116">
        <v>1481.4</v>
      </c>
      <c r="Q2806" s="116">
        <v>1515</v>
      </c>
      <c r="R2806">
        <v>1856047</v>
      </c>
    </row>
    <row r="2807" spans="1:18" x14ac:dyDescent="0.25">
      <c r="A2807" s="170">
        <v>46140</v>
      </c>
      <c r="B2807">
        <v>1533.65</v>
      </c>
      <c r="C2807">
        <v>1511.95</v>
      </c>
      <c r="D2807">
        <v>1499.5</v>
      </c>
      <c r="E2807">
        <v>1524.95</v>
      </c>
      <c r="F2807">
        <v>1511.95</v>
      </c>
      <c r="G2807">
        <v>21775</v>
      </c>
      <c r="H2807" s="116"/>
      <c r="I2807" s="116"/>
      <c r="L2807" s="170">
        <v>46140</v>
      </c>
      <c r="M2807" s="116">
        <v>1511.1</v>
      </c>
      <c r="N2807" s="116">
        <v>1533.7</v>
      </c>
      <c r="O2807" s="116">
        <v>1499</v>
      </c>
      <c r="P2807" s="116">
        <v>1522.4</v>
      </c>
      <c r="Q2807" s="116">
        <v>1511.1</v>
      </c>
      <c r="R2807">
        <v>1090853</v>
      </c>
    </row>
    <row r="2808" spans="1:18" x14ac:dyDescent="0.25">
      <c r="A2808" s="170">
        <v>46141</v>
      </c>
      <c r="B2808">
        <v>1537.6</v>
      </c>
      <c r="C2808">
        <v>1474.05</v>
      </c>
      <c r="D2808">
        <v>1465</v>
      </c>
      <c r="E2808">
        <v>1516.4</v>
      </c>
      <c r="F2808">
        <v>1474.05</v>
      </c>
      <c r="G2808">
        <v>55040</v>
      </c>
      <c r="H2808" s="116"/>
      <c r="I2808" s="116"/>
      <c r="L2808" s="170">
        <v>46141</v>
      </c>
      <c r="M2808" s="116">
        <v>1474.8</v>
      </c>
      <c r="N2808" s="116">
        <v>1537.9</v>
      </c>
      <c r="O2808" s="116">
        <v>1465</v>
      </c>
      <c r="P2808" s="116">
        <v>1524</v>
      </c>
      <c r="Q2808" s="116">
        <v>1474.8</v>
      </c>
      <c r="R2808">
        <v>793781</v>
      </c>
    </row>
    <row r="2809" spans="1:18" x14ac:dyDescent="0.25">
      <c r="A2809" s="170">
        <v>46142</v>
      </c>
      <c r="B2809">
        <v>1464</v>
      </c>
      <c r="C2809">
        <v>1430.3</v>
      </c>
      <c r="D2809">
        <v>1418.15</v>
      </c>
      <c r="E2809">
        <v>1463.95</v>
      </c>
      <c r="F2809">
        <v>1430.3</v>
      </c>
      <c r="G2809">
        <v>128449</v>
      </c>
      <c r="H2809" s="116"/>
      <c r="I2809" s="116"/>
      <c r="L2809" s="170">
        <v>46142</v>
      </c>
      <c r="M2809" s="116">
        <v>1430.4</v>
      </c>
      <c r="N2809" s="116">
        <v>1470</v>
      </c>
      <c r="O2809" s="116">
        <v>1418.2</v>
      </c>
      <c r="P2809" s="116">
        <v>1470</v>
      </c>
      <c r="Q2809" s="116">
        <v>1430.4</v>
      </c>
      <c r="R2809">
        <v>1259835</v>
      </c>
    </row>
    <row r="2810" spans="1:18" x14ac:dyDescent="0.25">
      <c r="A2810" s="170">
        <v>46146</v>
      </c>
      <c r="B2810">
        <v>1462</v>
      </c>
      <c r="C2810">
        <v>1454.3</v>
      </c>
      <c r="D2810">
        <v>1414</v>
      </c>
      <c r="E2810">
        <v>1437</v>
      </c>
      <c r="F2810">
        <v>1454.3</v>
      </c>
      <c r="G2810">
        <v>18605</v>
      </c>
      <c r="H2810" s="116"/>
      <c r="I2810" s="116"/>
      <c r="L2810" s="170">
        <v>46146</v>
      </c>
      <c r="M2810" s="116">
        <v>1454.2</v>
      </c>
      <c r="N2810" s="116">
        <v>1463.7</v>
      </c>
      <c r="O2810" s="116">
        <v>1413.3</v>
      </c>
      <c r="P2810" s="116">
        <v>1445.2</v>
      </c>
      <c r="Q2810" s="116">
        <v>1454.2</v>
      </c>
      <c r="R2810">
        <v>506557</v>
      </c>
    </row>
    <row r="2811" spans="1:18" x14ac:dyDescent="0.25">
      <c r="A2811" s="170">
        <v>46147</v>
      </c>
      <c r="B2811">
        <v>1451.85</v>
      </c>
      <c r="C2811">
        <v>1377.2</v>
      </c>
      <c r="D2811">
        <v>1360.1</v>
      </c>
      <c r="E2811">
        <v>1450.45</v>
      </c>
      <c r="F2811">
        <v>1377.2</v>
      </c>
      <c r="G2811">
        <v>87449</v>
      </c>
      <c r="H2811" s="116"/>
      <c r="I2811" s="116"/>
      <c r="L2811" s="170">
        <v>46147</v>
      </c>
      <c r="M2811" s="116">
        <v>1375.9</v>
      </c>
      <c r="N2811" s="116">
        <v>1453</v>
      </c>
      <c r="O2811" s="116">
        <v>1360</v>
      </c>
      <c r="P2811" s="116">
        <v>1452</v>
      </c>
      <c r="Q2811" s="116">
        <v>1375.9</v>
      </c>
      <c r="R2811">
        <v>2219827</v>
      </c>
    </row>
    <row r="2812" spans="1:18" x14ac:dyDescent="0.25">
      <c r="A2812" s="170">
        <v>46148</v>
      </c>
      <c r="B2812">
        <v>1385.6</v>
      </c>
      <c r="C2812">
        <v>1380</v>
      </c>
      <c r="D2812">
        <v>1361.35</v>
      </c>
      <c r="E2812">
        <v>1382.9</v>
      </c>
      <c r="F2812">
        <v>1380</v>
      </c>
      <c r="G2812">
        <v>47077</v>
      </c>
      <c r="H2812" s="116"/>
      <c r="I2812" s="116"/>
      <c r="L2812" s="170">
        <v>46148</v>
      </c>
      <c r="M2812" s="116">
        <v>1379.6</v>
      </c>
      <c r="N2812" s="116">
        <v>1385.9</v>
      </c>
      <c r="O2812" s="116">
        <v>1361.5</v>
      </c>
      <c r="P2812" s="116">
        <v>1380</v>
      </c>
      <c r="Q2812" s="116">
        <v>1379.6</v>
      </c>
      <c r="R2812">
        <v>747279</v>
      </c>
    </row>
    <row r="2813" spans="1:18" x14ac:dyDescent="0.25">
      <c r="A2813" s="170">
        <v>46149</v>
      </c>
      <c r="B2813">
        <v>1389.3</v>
      </c>
      <c r="C2813">
        <v>1363.55</v>
      </c>
      <c r="D2813">
        <v>1353</v>
      </c>
      <c r="E2813">
        <v>1385.5</v>
      </c>
      <c r="F2813">
        <v>1363.55</v>
      </c>
      <c r="G2813">
        <v>45520</v>
      </c>
      <c r="H2813" s="116"/>
      <c r="I2813" s="116"/>
      <c r="L2813" s="170">
        <v>46149</v>
      </c>
      <c r="M2813" s="116">
        <v>1363.9</v>
      </c>
      <c r="N2813" s="116">
        <v>1389</v>
      </c>
      <c r="O2813" s="116">
        <v>1352.3</v>
      </c>
      <c r="P2813" s="116">
        <v>1389</v>
      </c>
      <c r="Q2813" s="116">
        <v>1363.9</v>
      </c>
      <c r="R2813">
        <v>957521</v>
      </c>
    </row>
    <row r="2814" spans="1:18" x14ac:dyDescent="0.25">
      <c r="A2814" s="170">
        <v>46150</v>
      </c>
      <c r="B2814">
        <v>1374.5</v>
      </c>
      <c r="C2814">
        <v>1324</v>
      </c>
      <c r="D2814">
        <v>1321</v>
      </c>
      <c r="E2814">
        <v>1374.5</v>
      </c>
      <c r="F2814">
        <v>1324</v>
      </c>
      <c r="G2814">
        <v>40436</v>
      </c>
      <c r="H2814" s="116"/>
      <c r="I2814" s="116"/>
      <c r="L2814" s="170">
        <v>46150</v>
      </c>
      <c r="M2814" s="116">
        <v>1324.8</v>
      </c>
      <c r="N2814" s="116">
        <v>1363</v>
      </c>
      <c r="O2814" s="116">
        <v>1321</v>
      </c>
      <c r="P2814" s="116">
        <v>1363</v>
      </c>
      <c r="Q2814" s="116">
        <v>1324.8</v>
      </c>
      <c r="R2814">
        <v>1133112</v>
      </c>
    </row>
    <row r="2815" spans="1:18" x14ac:dyDescent="0.25">
      <c r="A2815" s="170">
        <v>46153</v>
      </c>
      <c r="B2815">
        <v>1323.3</v>
      </c>
      <c r="C2815">
        <v>1305.5999999999999</v>
      </c>
      <c r="D2815">
        <v>1299.9000000000001</v>
      </c>
      <c r="E2815">
        <v>1319.8</v>
      </c>
      <c r="F2815">
        <v>1305.5999999999999</v>
      </c>
      <c r="G2815">
        <v>23704</v>
      </c>
      <c r="H2815" s="116"/>
      <c r="I2815" s="116"/>
      <c r="L2815" s="170">
        <v>46153</v>
      </c>
      <c r="M2815" s="116">
        <v>1306.5</v>
      </c>
      <c r="N2815" s="116">
        <v>1322.5</v>
      </c>
      <c r="O2815" s="116">
        <v>1299</v>
      </c>
      <c r="P2815" s="116">
        <v>1315.6</v>
      </c>
      <c r="Q2815" s="116">
        <v>1306.5</v>
      </c>
      <c r="R2815">
        <v>632667</v>
      </c>
    </row>
    <row r="2816" spans="1:18" x14ac:dyDescent="0.25">
      <c r="A2816" s="170">
        <v>46154</v>
      </c>
      <c r="B2816">
        <v>1347.1</v>
      </c>
      <c r="C2816">
        <v>1269.9000000000001</v>
      </c>
      <c r="D2816">
        <v>1266</v>
      </c>
      <c r="E2816">
        <v>1320.75</v>
      </c>
      <c r="F2816">
        <v>1269.9000000000001</v>
      </c>
      <c r="G2816">
        <v>60079</v>
      </c>
      <c r="H2816" s="116"/>
      <c r="I2816" s="116"/>
      <c r="L2816" s="170">
        <v>46154</v>
      </c>
      <c r="M2816" s="116">
        <v>1269.5999999999999</v>
      </c>
      <c r="N2816" s="116">
        <v>1348</v>
      </c>
      <c r="O2816" s="116">
        <v>1265.5999999999999</v>
      </c>
      <c r="P2816" s="116">
        <v>1316</v>
      </c>
      <c r="Q2816" s="116">
        <v>1269.5999999999999</v>
      </c>
      <c r="R2816">
        <v>1087483</v>
      </c>
    </row>
    <row r="2817" spans="1:18" x14ac:dyDescent="0.25">
      <c r="A2817" s="170">
        <v>46155</v>
      </c>
      <c r="B2817">
        <v>1302</v>
      </c>
      <c r="C2817">
        <v>1260.25</v>
      </c>
      <c r="D2817">
        <v>1255.5</v>
      </c>
      <c r="E2817">
        <v>1270.05</v>
      </c>
      <c r="F2817">
        <v>1260.25</v>
      </c>
      <c r="G2817">
        <v>329788</v>
      </c>
      <c r="H2817" s="116"/>
      <c r="I2817" s="116"/>
      <c r="L2817" s="170">
        <v>46155</v>
      </c>
      <c r="M2817" s="116">
        <v>1258.9000000000001</v>
      </c>
      <c r="N2817" s="116">
        <v>1302.7</v>
      </c>
      <c r="O2817" s="116">
        <v>1255</v>
      </c>
      <c r="P2817" s="116">
        <v>1269.5999999999999</v>
      </c>
      <c r="Q2817" s="116">
        <v>1258.9000000000001</v>
      </c>
      <c r="R2817">
        <v>1049831</v>
      </c>
    </row>
    <row r="2818" spans="1:18" x14ac:dyDescent="0.25">
      <c r="A2818" s="170">
        <v>46156</v>
      </c>
      <c r="B2818">
        <v>1302.1500000000001</v>
      </c>
      <c r="C2818">
        <v>1294.3499999999999</v>
      </c>
      <c r="D2818">
        <v>1245.6500000000001</v>
      </c>
      <c r="E2818">
        <v>1262.0999999999999</v>
      </c>
      <c r="F2818">
        <v>1294.3499999999999</v>
      </c>
      <c r="G2818">
        <v>64060</v>
      </c>
      <c r="H2818" s="116"/>
      <c r="I2818" s="116"/>
      <c r="L2818" s="170">
        <v>46156</v>
      </c>
      <c r="M2818" s="116">
        <v>1293.5</v>
      </c>
      <c r="N2818" s="116">
        <v>1300</v>
      </c>
      <c r="O2818" s="116">
        <v>1245.5999999999999</v>
      </c>
      <c r="P2818" s="116">
        <v>1262.9000000000001</v>
      </c>
      <c r="Q2818" s="116">
        <v>1293.5</v>
      </c>
      <c r="R2818">
        <v>1154736</v>
      </c>
    </row>
    <row r="2819" spans="1:18" x14ac:dyDescent="0.25">
      <c r="A2819" s="170">
        <v>46157</v>
      </c>
      <c r="B2819">
        <v>1289.05</v>
      </c>
      <c r="C2819">
        <v>1231.0999999999999</v>
      </c>
      <c r="D2819">
        <v>1225.0999999999999</v>
      </c>
      <c r="E2819">
        <v>1262.2</v>
      </c>
      <c r="F2819">
        <v>1231.0999999999999</v>
      </c>
      <c r="G2819">
        <v>125649</v>
      </c>
      <c r="H2819" s="116"/>
      <c r="I2819" s="116"/>
      <c r="L2819" s="170">
        <v>46157</v>
      </c>
      <c r="M2819" s="116">
        <v>1230.7</v>
      </c>
      <c r="N2819" s="116">
        <v>1289.4000000000001</v>
      </c>
      <c r="O2819" s="116">
        <v>1224.5999999999999</v>
      </c>
      <c r="P2819" s="116">
        <v>1280.2</v>
      </c>
      <c r="Q2819" s="116">
        <v>1230.7</v>
      </c>
      <c r="R2819">
        <v>2400991</v>
      </c>
    </row>
    <row r="2820" spans="1:18" x14ac:dyDescent="0.25">
      <c r="A2820" s="170">
        <v>46160</v>
      </c>
      <c r="B2820">
        <v>1256.2</v>
      </c>
      <c r="C2820">
        <v>1252.4000000000001</v>
      </c>
      <c r="D2820">
        <v>1199.95</v>
      </c>
      <c r="E2820">
        <v>1206.5</v>
      </c>
      <c r="F2820">
        <v>1252.4000000000001</v>
      </c>
      <c r="G2820">
        <v>102598</v>
      </c>
      <c r="H2820" s="116"/>
      <c r="I2820" s="116"/>
      <c r="L2820" s="170">
        <v>46160</v>
      </c>
      <c r="M2820" s="116">
        <v>1252.8</v>
      </c>
      <c r="N2820" s="116">
        <v>1255.4000000000001</v>
      </c>
      <c r="O2820" s="116">
        <v>1198.5999999999999</v>
      </c>
      <c r="P2820" s="116">
        <v>1205.7</v>
      </c>
      <c r="Q2820" s="116">
        <v>1252.8</v>
      </c>
      <c r="R2820">
        <v>1502867</v>
      </c>
    </row>
    <row r="2821" spans="1:18" x14ac:dyDescent="0.25">
      <c r="A2821" s="170">
        <v>46161</v>
      </c>
      <c r="B2821">
        <v>1310.55</v>
      </c>
      <c r="C2821">
        <v>1302.8</v>
      </c>
      <c r="D2821">
        <v>1249.9000000000001</v>
      </c>
      <c r="E2821">
        <v>1249.95</v>
      </c>
      <c r="F2821">
        <v>1302.8</v>
      </c>
      <c r="G2821">
        <v>55781</v>
      </c>
      <c r="H2821" s="116"/>
      <c r="I2821" s="116"/>
      <c r="L2821" s="170">
        <v>46161</v>
      </c>
      <c r="M2821" s="116">
        <v>1302.5999999999999</v>
      </c>
      <c r="N2821" s="116">
        <v>1310</v>
      </c>
      <c r="O2821" s="116">
        <v>1251</v>
      </c>
      <c r="P2821" s="116">
        <v>1252.8</v>
      </c>
      <c r="Q2821" s="116">
        <v>1302.5999999999999</v>
      </c>
      <c r="R2821">
        <v>1272392</v>
      </c>
    </row>
    <row r="2822" spans="1:18" x14ac:dyDescent="0.25">
      <c r="A2822" s="170">
        <v>46162</v>
      </c>
      <c r="B2822">
        <v>1303.7</v>
      </c>
      <c r="C2822">
        <v>1296.3</v>
      </c>
      <c r="D2822">
        <v>1284</v>
      </c>
      <c r="E2822">
        <v>1298.9000000000001</v>
      </c>
      <c r="F2822">
        <v>1296.3</v>
      </c>
      <c r="G2822">
        <v>35258</v>
      </c>
      <c r="H2822" s="116"/>
      <c r="I2822" s="116"/>
      <c r="L2822" s="170">
        <v>46162</v>
      </c>
      <c r="M2822" s="116">
        <v>1295.8</v>
      </c>
      <c r="N2822" s="116">
        <v>1304.3</v>
      </c>
      <c r="O2822" s="116">
        <v>1284.3</v>
      </c>
      <c r="P2822" s="116">
        <v>1294.0999999999999</v>
      </c>
      <c r="Q2822" s="116">
        <v>1295.8</v>
      </c>
      <c r="R2822">
        <v>499899</v>
      </c>
    </row>
    <row r="2823" spans="1:18" x14ac:dyDescent="0.25">
      <c r="A2823" s="170">
        <v>46163</v>
      </c>
      <c r="B2823">
        <v>1310</v>
      </c>
      <c r="C2823">
        <v>1273.7</v>
      </c>
      <c r="D2823">
        <v>1262</v>
      </c>
      <c r="E2823">
        <v>1300</v>
      </c>
      <c r="F2823">
        <v>1273.7</v>
      </c>
      <c r="G2823">
        <v>43814</v>
      </c>
      <c r="H2823" s="116"/>
      <c r="I2823" s="116"/>
      <c r="L2823" s="170">
        <v>46163</v>
      </c>
      <c r="M2823" s="116">
        <v>1273.5</v>
      </c>
      <c r="N2823" s="116">
        <v>1311.5</v>
      </c>
      <c r="O2823" s="116">
        <v>1262.0999999999999</v>
      </c>
      <c r="P2823" s="116">
        <v>1300.2</v>
      </c>
      <c r="Q2823" s="116">
        <v>1273.5</v>
      </c>
      <c r="R2823">
        <v>1117551</v>
      </c>
    </row>
    <row r="2824" spans="1:18" x14ac:dyDescent="0.25">
      <c r="A2824" s="170">
        <v>46164</v>
      </c>
      <c r="B2824">
        <v>1280.7</v>
      </c>
      <c r="C2824">
        <v>1267.75</v>
      </c>
      <c r="D2824">
        <v>1263.3</v>
      </c>
      <c r="E2824">
        <v>1273.6500000000001</v>
      </c>
      <c r="F2824">
        <v>1267.75</v>
      </c>
      <c r="G2824">
        <v>24712</v>
      </c>
      <c r="H2824" s="116"/>
      <c r="I2824" s="116"/>
      <c r="L2824" s="170">
        <v>46164</v>
      </c>
      <c r="M2824" s="116">
        <v>1268.0999999999999</v>
      </c>
      <c r="N2824" s="116">
        <v>1281</v>
      </c>
      <c r="O2824" s="116">
        <v>1262.5999999999999</v>
      </c>
      <c r="P2824" s="116">
        <v>1274.9000000000001</v>
      </c>
      <c r="Q2824" s="116">
        <v>1268.0999999999999</v>
      </c>
      <c r="R2824">
        <v>832401</v>
      </c>
    </row>
    <row r="2825" spans="1:18" x14ac:dyDescent="0.25">
      <c r="A2825" s="170">
        <v>46167</v>
      </c>
      <c r="B2825">
        <v>1294.8</v>
      </c>
      <c r="C2825">
        <v>1284.55</v>
      </c>
      <c r="D2825">
        <v>1276.25</v>
      </c>
      <c r="E2825">
        <v>1292.45</v>
      </c>
      <c r="F2825">
        <v>1284.55</v>
      </c>
      <c r="G2825">
        <v>110152</v>
      </c>
      <c r="H2825" s="116"/>
      <c r="I2825" s="116"/>
      <c r="L2825" s="170">
        <v>46167</v>
      </c>
      <c r="M2825" s="116">
        <v>1284</v>
      </c>
      <c r="N2825" s="116">
        <v>1295</v>
      </c>
      <c r="O2825" s="116">
        <v>1276.3</v>
      </c>
      <c r="P2825" s="116">
        <v>1281</v>
      </c>
      <c r="Q2825" s="116">
        <v>1284</v>
      </c>
      <c r="R2825">
        <v>1052123</v>
      </c>
    </row>
    <row r="2826" spans="1:18" x14ac:dyDescent="0.25">
      <c r="A2826" s="170">
        <v>46168</v>
      </c>
      <c r="B2826">
        <v>1287.45</v>
      </c>
      <c r="C2826">
        <v>1270.3499999999999</v>
      </c>
      <c r="D2826">
        <v>1265</v>
      </c>
      <c r="E2826">
        <v>1281</v>
      </c>
      <c r="F2826">
        <v>1270.3499999999999</v>
      </c>
      <c r="G2826">
        <v>24782</v>
      </c>
      <c r="H2826" s="116"/>
      <c r="I2826" s="116"/>
      <c r="L2826" s="170">
        <v>46168</v>
      </c>
      <c r="M2826" s="116">
        <v>1271.4000000000001</v>
      </c>
      <c r="N2826" s="116">
        <v>1288.9000000000001</v>
      </c>
      <c r="O2826" s="116">
        <v>1263.5999999999999</v>
      </c>
      <c r="P2826" s="116">
        <v>1285.0999999999999</v>
      </c>
      <c r="Q2826" s="116">
        <v>1271.4000000000001</v>
      </c>
      <c r="R2826">
        <v>592885</v>
      </c>
    </row>
    <row r="2827" spans="1:18" x14ac:dyDescent="0.25">
      <c r="A2827" s="170">
        <v>46169</v>
      </c>
      <c r="B2827">
        <v>1283.6500000000001</v>
      </c>
      <c r="C2827">
        <v>1261.55</v>
      </c>
      <c r="D2827">
        <v>1249.0999999999999</v>
      </c>
      <c r="E2827">
        <v>1280.7</v>
      </c>
      <c r="F2827">
        <v>1261.55</v>
      </c>
      <c r="G2827">
        <v>22777</v>
      </c>
      <c r="H2827" s="116"/>
      <c r="I2827" s="116"/>
      <c r="L2827" s="170">
        <v>46169</v>
      </c>
      <c r="M2827" s="116">
        <v>1261.8</v>
      </c>
      <c r="N2827" s="116">
        <v>1284.9000000000001</v>
      </c>
      <c r="O2827" s="116">
        <v>1248.5999999999999</v>
      </c>
      <c r="P2827" s="116">
        <v>1272</v>
      </c>
      <c r="Q2827" s="116">
        <v>1261.8</v>
      </c>
      <c r="R2827">
        <v>849420</v>
      </c>
    </row>
    <row r="2828" spans="1:18" x14ac:dyDescent="0.25">
      <c r="A2828" s="170">
        <v>46171</v>
      </c>
      <c r="B2828">
        <v>1299</v>
      </c>
      <c r="C2828">
        <v>1249.3499999999999</v>
      </c>
      <c r="D2828">
        <v>1232</v>
      </c>
      <c r="E2828">
        <v>1262</v>
      </c>
      <c r="F2828">
        <v>1249.3499999999999</v>
      </c>
      <c r="G2828">
        <v>63673</v>
      </c>
      <c r="H2828" s="116"/>
      <c r="I2828" s="116"/>
      <c r="L2828" s="170">
        <v>46171</v>
      </c>
      <c r="M2828" s="116">
        <v>1245.7</v>
      </c>
      <c r="N2828" s="116">
        <v>1300</v>
      </c>
      <c r="O2828" s="116">
        <v>1232.2</v>
      </c>
      <c r="P2828" s="116">
        <v>1262</v>
      </c>
      <c r="Q2828" s="116">
        <v>1245.7</v>
      </c>
      <c r="R2828">
        <v>2960575</v>
      </c>
    </row>
    <row r="2829" spans="1:18" x14ac:dyDescent="0.25">
      <c r="A2829" s="170">
        <v>46174</v>
      </c>
      <c r="B2829">
        <v>1257.95</v>
      </c>
      <c r="C2829">
        <v>1227.3</v>
      </c>
      <c r="D2829">
        <v>1224.8499999999999</v>
      </c>
      <c r="E2829">
        <v>1257.95</v>
      </c>
      <c r="F2829">
        <v>1227.3</v>
      </c>
      <c r="G2829">
        <v>39733</v>
      </c>
      <c r="H2829" s="116"/>
      <c r="I2829" s="116"/>
      <c r="L2829" s="170">
        <v>46174</v>
      </c>
      <c r="M2829" s="116">
        <v>1228.4000000000001</v>
      </c>
      <c r="N2829" s="116">
        <v>1257.0999999999999</v>
      </c>
      <c r="O2829" s="116">
        <v>1224</v>
      </c>
      <c r="P2829" s="116">
        <v>1255</v>
      </c>
      <c r="Q2829" s="116">
        <v>1228.4000000000001</v>
      </c>
      <c r="R2829">
        <v>766252</v>
      </c>
    </row>
    <row r="2830" spans="1:18" x14ac:dyDescent="0.25">
      <c r="A2830" s="170">
        <v>46175</v>
      </c>
      <c r="B2830">
        <v>1243.5</v>
      </c>
      <c r="C2830">
        <v>1240.55</v>
      </c>
      <c r="D2830">
        <v>1203.95</v>
      </c>
      <c r="E2830">
        <v>1226.25</v>
      </c>
      <c r="F2830">
        <v>1240.55</v>
      </c>
      <c r="G2830">
        <v>22447</v>
      </c>
      <c r="H2830" s="116"/>
      <c r="I2830" s="116"/>
      <c r="L2830" s="170">
        <v>46175</v>
      </c>
      <c r="M2830" s="116">
        <v>1240.4000000000001</v>
      </c>
      <c r="N2830" s="116">
        <v>1244.3</v>
      </c>
      <c r="O2830" s="116">
        <v>1204</v>
      </c>
      <c r="P2830" s="116">
        <v>1220</v>
      </c>
      <c r="Q2830" s="116">
        <v>1240.4000000000001</v>
      </c>
      <c r="R2830">
        <v>1010910</v>
      </c>
    </row>
    <row r="2831" spans="1:18" x14ac:dyDescent="0.25">
      <c r="A2831" s="170">
        <v>46176</v>
      </c>
      <c r="B2831">
        <v>1241.6500000000001</v>
      </c>
      <c r="C2831">
        <v>1235.2</v>
      </c>
      <c r="D2831">
        <v>1208</v>
      </c>
      <c r="E2831">
        <v>1241.6500000000001</v>
      </c>
      <c r="F2831">
        <v>1235.2</v>
      </c>
      <c r="G2831">
        <v>30502</v>
      </c>
      <c r="H2831" s="116"/>
      <c r="I2831" s="116"/>
      <c r="L2831" s="170">
        <v>46176</v>
      </c>
      <c r="M2831" s="116">
        <v>1235</v>
      </c>
      <c r="N2831" s="116">
        <v>1241.4000000000001</v>
      </c>
      <c r="O2831" s="116">
        <v>1207.5999999999999</v>
      </c>
      <c r="P2831" s="116">
        <v>1239.8</v>
      </c>
      <c r="Q2831" s="116">
        <v>1235</v>
      </c>
      <c r="R2831">
        <v>562073</v>
      </c>
    </row>
    <row r="2832" spans="1:18" x14ac:dyDescent="0.25">
      <c r="A2832" s="170">
        <v>46177</v>
      </c>
      <c r="B2832">
        <v>1308</v>
      </c>
      <c r="C2832">
        <v>1286.0999999999999</v>
      </c>
      <c r="D2832">
        <v>1218.05</v>
      </c>
      <c r="E2832">
        <v>1218.05</v>
      </c>
      <c r="F2832">
        <v>1286.0999999999999</v>
      </c>
      <c r="G2832">
        <v>346346</v>
      </c>
      <c r="H2832" s="116"/>
      <c r="I2832" s="116"/>
      <c r="L2832" s="170">
        <v>46177</v>
      </c>
      <c r="M2832" s="116">
        <v>1286.5</v>
      </c>
      <c r="N2832" s="116">
        <v>1307.9000000000001</v>
      </c>
      <c r="O2832" s="116">
        <v>1218</v>
      </c>
      <c r="P2832" s="116">
        <v>1224</v>
      </c>
      <c r="Q2832" s="116">
        <v>1286.5</v>
      </c>
      <c r="R2832">
        <v>3317048</v>
      </c>
    </row>
    <row r="2833" spans="1:18" x14ac:dyDescent="0.25">
      <c r="A2833" s="170">
        <v>46178</v>
      </c>
      <c r="B2833">
        <v>1309.8</v>
      </c>
      <c r="C2833">
        <v>1297.4000000000001</v>
      </c>
      <c r="D2833">
        <v>1288.2</v>
      </c>
      <c r="E2833">
        <v>1294.05</v>
      </c>
      <c r="F2833">
        <v>1297.4000000000001</v>
      </c>
      <c r="G2833">
        <v>30857</v>
      </c>
      <c r="H2833" s="116"/>
      <c r="I2833" s="116"/>
      <c r="L2833" s="170">
        <v>46178</v>
      </c>
      <c r="M2833" s="116">
        <v>1298.3</v>
      </c>
      <c r="N2833" s="116">
        <v>1310</v>
      </c>
      <c r="O2833" s="116">
        <v>1288.3</v>
      </c>
      <c r="P2833" s="116">
        <v>1290.7</v>
      </c>
      <c r="Q2833" s="116">
        <v>1298.3</v>
      </c>
      <c r="R2833">
        <v>1415362</v>
      </c>
    </row>
    <row r="2834" spans="1:18" x14ac:dyDescent="0.25">
      <c r="A2834" s="170">
        <v>46181</v>
      </c>
      <c r="B2834">
        <v>1329</v>
      </c>
      <c r="C2834">
        <v>1276.9000000000001</v>
      </c>
      <c r="D2834">
        <v>1267</v>
      </c>
      <c r="E2834">
        <v>1290.5999999999999</v>
      </c>
      <c r="F2834">
        <v>1276.9000000000001</v>
      </c>
      <c r="G2834">
        <v>60148</v>
      </c>
      <c r="H2834" s="116"/>
      <c r="I2834" s="116"/>
      <c r="L2834" s="170">
        <v>46181</v>
      </c>
      <c r="M2834" s="116">
        <v>1276.2</v>
      </c>
      <c r="N2834" s="116">
        <v>1329.8</v>
      </c>
      <c r="O2834" s="116">
        <v>1266</v>
      </c>
      <c r="P2834" s="116">
        <v>1280</v>
      </c>
      <c r="Q2834" s="116">
        <v>1276.2</v>
      </c>
      <c r="R2834">
        <v>1530639</v>
      </c>
    </row>
    <row r="2835" spans="1:18" x14ac:dyDescent="0.25">
      <c r="A2835" s="170">
        <v>46182</v>
      </c>
      <c r="B2835">
        <v>1312.65</v>
      </c>
      <c r="C2835">
        <v>1304.8499999999999</v>
      </c>
      <c r="D2835">
        <v>1276.9000000000001</v>
      </c>
      <c r="E2835">
        <v>1276.9000000000001</v>
      </c>
      <c r="F2835">
        <v>1304.8499999999999</v>
      </c>
      <c r="G2835">
        <v>36962</v>
      </c>
      <c r="H2835" s="116"/>
      <c r="I2835" s="116"/>
      <c r="L2835" s="170">
        <v>46182</v>
      </c>
      <c r="M2835" s="116">
        <v>1304.4000000000001</v>
      </c>
      <c r="N2835" s="116">
        <v>1312</v>
      </c>
      <c r="O2835" s="116">
        <v>1278.8</v>
      </c>
      <c r="P2835" s="116">
        <v>1278.8</v>
      </c>
      <c r="Q2835" s="116">
        <v>1304.4000000000001</v>
      </c>
      <c r="R2835">
        <v>883516</v>
      </c>
    </row>
    <row r="2836" spans="1:18" x14ac:dyDescent="0.25">
      <c r="A2836" s="170">
        <v>46183</v>
      </c>
      <c r="B2836">
        <v>1318.15</v>
      </c>
      <c r="C2836">
        <v>1288.6500000000001</v>
      </c>
      <c r="D2836">
        <v>1284.4000000000001</v>
      </c>
      <c r="E2836">
        <v>1296.7</v>
      </c>
      <c r="F2836">
        <v>1288.6500000000001</v>
      </c>
      <c r="G2836">
        <v>47385</v>
      </c>
      <c r="H2836" s="116"/>
      <c r="I2836" s="116"/>
      <c r="L2836" s="170">
        <v>46183</v>
      </c>
      <c r="M2836" s="116">
        <v>1290</v>
      </c>
      <c r="N2836" s="116">
        <v>1318.7</v>
      </c>
      <c r="O2836" s="116">
        <v>1285</v>
      </c>
      <c r="P2836" s="116">
        <v>1300.5</v>
      </c>
      <c r="Q2836" s="116">
        <v>1290</v>
      </c>
      <c r="R2836">
        <v>578749</v>
      </c>
    </row>
    <row r="2837" spans="1:18" x14ac:dyDescent="0.25">
      <c r="A2837" s="170">
        <v>46184</v>
      </c>
      <c r="B2837">
        <v>1296</v>
      </c>
      <c r="C2837">
        <v>1276.7</v>
      </c>
      <c r="D2837">
        <v>1272</v>
      </c>
      <c r="E2837">
        <v>1288.6500000000001</v>
      </c>
      <c r="F2837">
        <v>1276.7</v>
      </c>
      <c r="G2837">
        <v>18925</v>
      </c>
      <c r="H2837" s="116"/>
      <c r="I2837" s="116"/>
      <c r="L2837" s="170">
        <v>46184</v>
      </c>
      <c r="M2837" s="116">
        <v>1277.3</v>
      </c>
      <c r="N2837" s="116">
        <v>1297</v>
      </c>
      <c r="O2837" s="116">
        <v>1272</v>
      </c>
      <c r="P2837" s="116">
        <v>1285</v>
      </c>
      <c r="Q2837" s="116">
        <v>1277.3</v>
      </c>
      <c r="R2837">
        <v>550616</v>
      </c>
    </row>
    <row r="2838" spans="1:18" x14ac:dyDescent="0.25">
      <c r="A2838" s="170">
        <v>46185</v>
      </c>
      <c r="B2838">
        <v>1302.95</v>
      </c>
      <c r="C2838">
        <v>1285.3</v>
      </c>
      <c r="D2838">
        <v>1275</v>
      </c>
      <c r="E2838">
        <v>1293.45</v>
      </c>
      <c r="F2838">
        <v>1285.3</v>
      </c>
      <c r="G2838">
        <v>15702</v>
      </c>
      <c r="H2838" s="116"/>
      <c r="I2838" s="116"/>
      <c r="L2838" s="170">
        <v>46185</v>
      </c>
      <c r="M2838" s="116">
        <v>1285.4000000000001</v>
      </c>
      <c r="N2838" s="116">
        <v>1305</v>
      </c>
      <c r="O2838" s="116">
        <v>1273.0999999999999</v>
      </c>
      <c r="P2838" s="116">
        <v>1285</v>
      </c>
      <c r="Q2838" s="116">
        <v>1285.4000000000001</v>
      </c>
      <c r="R2838">
        <v>548090</v>
      </c>
    </row>
    <row r="2839" spans="1:18" x14ac:dyDescent="0.25">
      <c r="A2839" s="170">
        <v>46188</v>
      </c>
      <c r="B2839">
        <v>1345</v>
      </c>
      <c r="C2839">
        <v>1326.85</v>
      </c>
      <c r="D2839">
        <v>1301.0999999999999</v>
      </c>
      <c r="E2839">
        <v>1301.0999999999999</v>
      </c>
      <c r="F2839">
        <v>1326.85</v>
      </c>
      <c r="G2839">
        <v>154766</v>
      </c>
      <c r="H2839" s="116"/>
      <c r="I2839" s="116"/>
      <c r="L2839" s="170">
        <v>46188</v>
      </c>
      <c r="M2839" s="116">
        <v>1326.4</v>
      </c>
      <c r="N2839" s="116">
        <v>1345</v>
      </c>
      <c r="O2839" s="116">
        <v>1301</v>
      </c>
      <c r="P2839" s="116">
        <v>1310</v>
      </c>
      <c r="Q2839" s="116">
        <v>1326.4</v>
      </c>
      <c r="R2839">
        <v>1855063</v>
      </c>
    </row>
    <row r="2840" spans="1:18" x14ac:dyDescent="0.25">
      <c r="A2840" s="170">
        <v>46189</v>
      </c>
      <c r="B2840">
        <v>1342.2</v>
      </c>
      <c r="C2840">
        <v>1327.35</v>
      </c>
      <c r="D2840">
        <v>1318</v>
      </c>
      <c r="E2840">
        <v>1328</v>
      </c>
      <c r="F2840">
        <v>1327.35</v>
      </c>
      <c r="G2840">
        <v>39210</v>
      </c>
      <c r="H2840" s="116"/>
      <c r="I2840" s="116"/>
      <c r="L2840" s="170">
        <v>46189</v>
      </c>
      <c r="M2840" s="116">
        <v>1327.6</v>
      </c>
      <c r="N2840" s="116">
        <v>1342.8</v>
      </c>
      <c r="O2840" s="116">
        <v>1318.8</v>
      </c>
      <c r="P2840" s="116">
        <v>1328.7</v>
      </c>
      <c r="Q2840" s="116">
        <v>1327.6</v>
      </c>
      <c r="R2840">
        <v>907947</v>
      </c>
    </row>
    <row r="2841" spans="1:18" x14ac:dyDescent="0.25">
      <c r="A2841" s="170">
        <v>46190</v>
      </c>
      <c r="B2841">
        <v>1381</v>
      </c>
      <c r="C2841">
        <v>1351</v>
      </c>
      <c r="D2841">
        <v>1326.6</v>
      </c>
      <c r="E2841">
        <v>1326.95</v>
      </c>
      <c r="F2841">
        <v>1351</v>
      </c>
      <c r="G2841">
        <v>76100</v>
      </c>
      <c r="H2841" s="116"/>
      <c r="I2841" s="116"/>
      <c r="L2841" s="170">
        <v>46190</v>
      </c>
      <c r="M2841" s="116">
        <v>1352.9</v>
      </c>
      <c r="N2841" s="116">
        <v>1381.8</v>
      </c>
      <c r="O2841" s="116">
        <v>1325.3</v>
      </c>
      <c r="P2841" s="116">
        <v>1326.3</v>
      </c>
      <c r="Q2841" s="116">
        <v>1352.9</v>
      </c>
      <c r="R2841">
        <v>1952284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2026-06-17T17:09:24Z</dcterms:modified>
  <cp:category/>
  <cp:contentStatus/>
</cp:coreProperties>
</file>